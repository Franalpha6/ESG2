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Buenaventura" sheetId="2" state="visible" r:id="rId2"/>
    <sheet xmlns:r="http://schemas.openxmlformats.org/officeDocument/2006/relationships" name="Volcan" sheetId="3" state="visible" r:id="rId3"/>
    <sheet xmlns:r="http://schemas.openxmlformats.org/officeDocument/2006/relationships" name="Minsur" sheetId="4" state="visible" r:id="rId4"/>
    <sheet xmlns:r="http://schemas.openxmlformats.org/officeDocument/2006/relationships" name="Nexa Resources Perú" sheetId="5" state="visible" r:id="rId5"/>
    <sheet xmlns:r="http://schemas.openxmlformats.org/officeDocument/2006/relationships" name="Hochschild" sheetId="6" state="visible" r:id="rId6"/>
    <sheet xmlns:r="http://schemas.openxmlformats.org/officeDocument/2006/relationships" name="Cerro Verde" sheetId="7" state="visible" r:id="rId7"/>
    <sheet xmlns:r="http://schemas.openxmlformats.org/officeDocument/2006/relationships" name="Hudbay" sheetId="8" state="visible" r:id="rId8"/>
    <sheet xmlns:r="http://schemas.openxmlformats.org/officeDocument/2006/relationships" name="Intercorp Perú" sheetId="9" state="visible" r:id="rId9"/>
    <sheet xmlns:r="http://schemas.openxmlformats.org/officeDocument/2006/relationships" name="Intercorp Perú1" sheetId="10" state="visible" r:id="rId10"/>
    <sheet xmlns:r="http://schemas.openxmlformats.org/officeDocument/2006/relationships" name="IFS" sheetId="11" state="visible" r:id="rId11"/>
    <sheet xmlns:r="http://schemas.openxmlformats.org/officeDocument/2006/relationships" name="Interbank" sheetId="12" state="visible" r:id="rId12"/>
    <sheet xmlns:r="http://schemas.openxmlformats.org/officeDocument/2006/relationships" name="BBVA" sheetId="13" state="visible" r:id="rId13"/>
    <sheet xmlns:r="http://schemas.openxmlformats.org/officeDocument/2006/relationships" name="MiBanco" sheetId="14" state="visible" r:id="rId14"/>
    <sheet xmlns:r="http://schemas.openxmlformats.org/officeDocument/2006/relationships" name="Banco de Crédito del Perú" sheetId="15" state="visible" r:id="rId15"/>
    <sheet xmlns:r="http://schemas.openxmlformats.org/officeDocument/2006/relationships" name="Credicorp" sheetId="16" state="visible" r:id="rId16"/>
    <sheet xmlns:r="http://schemas.openxmlformats.org/officeDocument/2006/relationships" name="Santander Perú" sheetId="17" state="visible" r:id="rId17"/>
    <sheet xmlns:r="http://schemas.openxmlformats.org/officeDocument/2006/relationships" name="Banbif" sheetId="18" state="visible" r:id="rId18"/>
    <sheet xmlns:r="http://schemas.openxmlformats.org/officeDocument/2006/relationships" name="Compartamos Banco" sheetId="19" state="visible" r:id="rId19"/>
    <sheet xmlns:r="http://schemas.openxmlformats.org/officeDocument/2006/relationships" name="Orygen" sheetId="20" state="visible" r:id="rId20"/>
    <sheet xmlns:r="http://schemas.openxmlformats.org/officeDocument/2006/relationships" name="Engie" sheetId="21" state="visible" r:id="rId21"/>
    <sheet xmlns:r="http://schemas.openxmlformats.org/officeDocument/2006/relationships" name="Orazen" sheetId="22" state="visible" r:id="rId22"/>
    <sheet xmlns:r="http://schemas.openxmlformats.org/officeDocument/2006/relationships" name="Unacem" sheetId="23" state="visible" r:id="rId23"/>
    <sheet xmlns:r="http://schemas.openxmlformats.org/officeDocument/2006/relationships" name="Pacasmayo" sheetId="24" state="visible" r:id="rId24"/>
    <sheet xmlns:r="http://schemas.openxmlformats.org/officeDocument/2006/relationships" name="Aenza" sheetId="25" state="visible" r:id="rId25"/>
    <sheet xmlns:r="http://schemas.openxmlformats.org/officeDocument/2006/relationships" name="Ferreycorp" sheetId="26" state="visible" r:id="rId26"/>
    <sheet xmlns:r="http://schemas.openxmlformats.org/officeDocument/2006/relationships" name="Puerto Chancay" sheetId="27" state="visible" r:id="rId27"/>
    <sheet xmlns:r="http://schemas.openxmlformats.org/officeDocument/2006/relationships" name="Hermes" sheetId="28" state="visible" r:id="rId28"/>
    <sheet xmlns:r="http://schemas.openxmlformats.org/officeDocument/2006/relationships" name="Inca Rail" sheetId="29" state="visible" r:id="rId29"/>
    <sheet xmlns:r="http://schemas.openxmlformats.org/officeDocument/2006/relationships" name="Lima Expresa" sheetId="30" state="visible" r:id="rId30"/>
    <sheet xmlns:r="http://schemas.openxmlformats.org/officeDocument/2006/relationships" name="Rutas de Lima" sheetId="31" state="visible" r:id="rId31"/>
    <sheet xmlns:r="http://schemas.openxmlformats.org/officeDocument/2006/relationships" name="Alicorp" sheetId="32" state="visible" r:id="rId32"/>
    <sheet xmlns:r="http://schemas.openxmlformats.org/officeDocument/2006/relationships" name="Casa Andina" sheetId="33" state="visible" r:id="rId33"/>
    <sheet xmlns:r="http://schemas.openxmlformats.org/officeDocument/2006/relationships" name="InRetail" sheetId="34" state="visible" r:id="rId34"/>
    <sheet xmlns:r="http://schemas.openxmlformats.org/officeDocument/2006/relationships" name="Intursa" sheetId="35" state="visible" r:id="rId35"/>
    <sheet xmlns:r="http://schemas.openxmlformats.org/officeDocument/2006/relationships" name="Jockey Plaza" sheetId="36" state="visible" r:id="rId36"/>
    <sheet xmlns:r="http://schemas.openxmlformats.org/officeDocument/2006/relationships" name="Primax" sheetId="37" state="visible" r:id="rId37"/>
    <sheet xmlns:r="http://schemas.openxmlformats.org/officeDocument/2006/relationships" name="Auna" sheetId="38" state="visible" r:id="rId38"/>
    <sheet xmlns:r="http://schemas.openxmlformats.org/officeDocument/2006/relationships" name="Pluz Energía" sheetId="39" state="visible" r:id="rId39"/>
    <sheet xmlns:r="http://schemas.openxmlformats.org/officeDocument/2006/relationships" name="Colegios Peruanos" sheetId="40" state="visible" r:id="rId40"/>
    <sheet xmlns:r="http://schemas.openxmlformats.org/officeDocument/2006/relationships" name="Tecsup" sheetId="41" state="visible" r:id="rId41"/>
    <sheet xmlns:r="http://schemas.openxmlformats.org/officeDocument/2006/relationships" name="Hunt Oil" sheetId="42" state="visible" r:id="rId42"/>
    <sheet xmlns:r="http://schemas.openxmlformats.org/officeDocument/2006/relationships" name="Exposición y Riesgo" sheetId="43" state="visible" r:id="rId43"/>
    <sheet xmlns:r="http://schemas.openxmlformats.org/officeDocument/2006/relationships" name="Equivalencias" sheetId="44" state="visible" r:id="rId44"/>
    <sheet xmlns:r="http://schemas.openxmlformats.org/officeDocument/2006/relationships" name="No mapeados" sheetId="45" state="visible" r:id="rId45"/>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00000"/>
  </numFmts>
  <fonts count="7">
    <font>
      <name val="Calibri"/>
      <family val="2"/>
      <color theme="1"/>
      <sz val="11"/>
      <scheme val="minor"/>
    </font>
    <font>
      <name val="Calibri"/>
      <b val="1"/>
      <color rgb="001E2E6E"/>
      <sz val="14"/>
    </font>
    <font>
      <name val="Calibri"/>
      <i val="1"/>
      <color rgb="00595959"/>
      <sz val="9"/>
    </font>
    <font>
      <name val="Calibri"/>
      <b val="1"/>
      <color rgb="00FFFFFF"/>
      <sz val="11"/>
    </font>
    <font>
      <name val="Calibri"/>
      <b val="1"/>
    </font>
    <font>
      <b val="1"/>
    </font>
    <font>
      <b val="1"/>
      <color rgb="001E2E6E"/>
    </font>
  </fonts>
  <fills count="3">
    <fill>
      <patternFill/>
    </fill>
    <fill>
      <patternFill patternType="gray125"/>
    </fill>
    <fill>
      <patternFill patternType="solid">
        <fgColor rgb="001E2E6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4" fontId="0" fillId="0" borderId="0" pivotButton="0" quotePrefix="0" xfId="0"/>
    <xf numFmtId="3" fontId="0" fillId="0" borderId="0" pivotButton="0" quotePrefix="0" xfId="0"/>
    <xf numFmtId="164" fontId="0" fillId="0" borderId="0" pivotButton="0" quotePrefix="0" xfId="0"/>
    <xf numFmtId="0" fontId="4" fillId="0" borderId="0" pivotButton="0" quotePrefix="0" xfId="0"/>
    <xf numFmtId="4" fontId="4" fillId="0" borderId="0" pivotButton="0" quotePrefix="0" xfId="0"/>
    <xf numFmtId="3" fontId="4" fillId="0" borderId="0" pivotButton="0" quotePrefix="0" xfId="0"/>
    <xf numFmtId="164" fontId="4" fillId="0" borderId="0" pivotButton="0" quotePrefix="0" xfId="0"/>
    <xf numFmtId="165" fontId="0" fillId="0" borderId="0" pivotButton="0" quotePrefix="0" xfId="0"/>
    <xf numFmtId="0" fontId="5" fillId="0" borderId="0" pivotButton="0" quotePrefix="0" xfId="0"/>
    <xf numFmtId="165" fontId="5" fillId="0" borderId="0" pivotButton="0" quotePrefix="0" xfId="0"/>
    <xf numFmtId="3" fontId="5" fillId="0" borderId="0" pivotButton="0" quotePrefix="0" xfId="0"/>
    <xf numFmtId="0" fontId="6"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ySplit="4" topLeftCell="A5" activePane="bottomLeft" state="frozen"/>
      <selection pane="bottomLeft" activeCell="A1" sqref="A1"/>
    </sheetView>
  </sheetViews>
  <sheetFormatPr baseColWidth="8" defaultRowHeight="15"/>
  <cols>
    <col width="26" customWidth="1" min="1" max="1"/>
    <col width="13" customWidth="1" min="2" max="2"/>
    <col width="22" customWidth="1" min="3" max="3"/>
    <col width="13" customWidth="1" min="4" max="4"/>
    <col width="22" customWidth="1" min="5" max="5"/>
    <col width="22" customWidth="1" min="6" max="6"/>
  </cols>
  <sheetData>
    <row r="1">
      <c r="A1" s="1" t="inlineStr">
        <is>
          <t>Exposición de cartera a riesgos físicos — Resumen por empresa</t>
        </is>
      </c>
    </row>
    <row r="2">
      <c r="A2" s="2" t="inlineStr">
        <is>
          <t>Generado: 2026-07-02 15:27  ·  Minería en TMF (Tonelada Métrica Fina) · Banca en miles de S/ colocados</t>
        </is>
      </c>
    </row>
    <row r="4">
      <c r="A4" s="3" t="inlineStr">
        <is>
          <t>Empresa (canónica)</t>
        </is>
      </c>
      <c r="B4" s="3" t="inlineStr">
        <is>
          <t>Sector</t>
        </is>
      </c>
      <c r="C4" s="3" t="inlineStr">
        <is>
          <t>Producción / Créditos</t>
        </is>
      </c>
      <c r="D4" s="3" t="inlineStr">
        <is>
          <t>N° distritos</t>
        </is>
      </c>
      <c r="E4" s="3" t="inlineStr">
        <is>
          <t>Exposición cartera (S/)</t>
        </is>
      </c>
      <c r="F4" s="3" t="inlineStr">
        <is>
          <t>% de la exposición total</t>
        </is>
      </c>
    </row>
    <row r="5">
      <c r="A5" t="inlineStr">
        <is>
          <t>Buenaventura</t>
        </is>
      </c>
      <c r="B5" t="inlineStr">
        <is>
          <t>Minería</t>
        </is>
      </c>
      <c r="C5" s="4" t="n">
        <v>15173.23</v>
      </c>
      <c r="D5" t="n">
        <v>5</v>
      </c>
      <c r="E5" s="5" t="n">
        <v>1220428492.28</v>
      </c>
      <c r="F5" s="6">
        <f>IF($E$46=0,0,E5/$E$46)</f>
        <v/>
      </c>
    </row>
    <row r="6">
      <c r="A6" t="inlineStr">
        <is>
          <t>Volcan</t>
        </is>
      </c>
      <c r="B6" t="inlineStr">
        <is>
          <t>Minería</t>
        </is>
      </c>
      <c r="C6" s="4" t="n">
        <v>17377.77</v>
      </c>
      <c r="D6" t="n">
        <v>2</v>
      </c>
      <c r="E6" s="5" t="n">
        <v>87650779.39</v>
      </c>
      <c r="F6" s="6">
        <f>IF($E$46=0,0,E6/$E$46)</f>
        <v/>
      </c>
    </row>
    <row r="7">
      <c r="A7" t="inlineStr">
        <is>
          <t>Minsur</t>
        </is>
      </c>
      <c r="B7" t="inlineStr">
        <is>
          <t>Minería</t>
        </is>
      </c>
      <c r="C7" s="4" t="n">
        <v>17060.47</v>
      </c>
      <c r="D7" t="n">
        <v>4</v>
      </c>
      <c r="E7" s="5" t="n">
        <v>1050478033.36</v>
      </c>
      <c r="F7" s="6">
        <f>IF($E$46=0,0,E7/$E$46)</f>
        <v/>
      </c>
    </row>
    <row r="8">
      <c r="A8" t="inlineStr">
        <is>
          <t>Nexa Resources Perú</t>
        </is>
      </c>
      <c r="B8" t="inlineStr">
        <is>
          <t>Minería</t>
        </is>
      </c>
      <c r="C8" s="4" t="n">
        <v>53278.98</v>
      </c>
      <c r="D8" t="n">
        <v>3</v>
      </c>
      <c r="E8" s="5" t="n">
        <v>279264749.9</v>
      </c>
      <c r="F8" s="6">
        <f>IF($E$46=0,0,E8/$E$46)</f>
        <v/>
      </c>
    </row>
    <row r="9">
      <c r="A9" t="inlineStr">
        <is>
          <t>Hochschild</t>
        </is>
      </c>
      <c r="B9" t="inlineStr">
        <is>
          <t>Minería</t>
        </is>
      </c>
      <c r="C9" s="4" t="n">
        <v>15.21</v>
      </c>
      <c r="D9" t="n">
        <v>1</v>
      </c>
      <c r="E9" s="5" t="n">
        <v>0</v>
      </c>
      <c r="F9" s="6">
        <f>IF($E$46=0,0,E9/$E$46)</f>
        <v/>
      </c>
    </row>
    <row r="10">
      <c r="A10" t="inlineStr">
        <is>
          <t>Cerro Verde</t>
        </is>
      </c>
      <c r="B10" t="inlineStr">
        <is>
          <t>Minería</t>
        </is>
      </c>
      <c r="C10" s="4" t="n">
        <v>32391.92</v>
      </c>
      <c r="D10" t="n">
        <v>1</v>
      </c>
      <c r="E10" s="5" t="n">
        <v>0</v>
      </c>
      <c r="F10" s="6">
        <f>IF($E$46=0,0,E10/$E$46)</f>
        <v/>
      </c>
    </row>
    <row r="11">
      <c r="A11" t="inlineStr">
        <is>
          <t>Hudbay</t>
        </is>
      </c>
      <c r="B11" t="inlineStr">
        <is>
          <t>Minería</t>
        </is>
      </c>
      <c r="C11" s="4" t="n">
        <v>6007.08</v>
      </c>
      <c r="D11" t="n">
        <v>1</v>
      </c>
      <c r="E11" s="5" t="n">
        <v>0</v>
      </c>
      <c r="F11" s="6">
        <f>IF($E$46=0,0,E11/$E$46)</f>
        <v/>
      </c>
    </row>
    <row r="12">
      <c r="A12" t="inlineStr">
        <is>
          <t>Intercorp Perú</t>
        </is>
      </c>
      <c r="B12" t="inlineStr">
        <is>
          <t>Financiero</t>
        </is>
      </c>
      <c r="C12" s="4" t="n">
        <v>49530942.83</v>
      </c>
      <c r="D12" t="n">
        <v>85</v>
      </c>
      <c r="E12" s="5" t="n">
        <v>92457701.98999999</v>
      </c>
      <c r="F12" s="6">
        <f>IF($E$46=0,0,E12/$E$46)</f>
        <v/>
      </c>
    </row>
    <row r="13">
      <c r="A13" t="inlineStr">
        <is>
          <t>Intercorp Perú</t>
        </is>
      </c>
      <c r="B13" t="inlineStr">
        <is>
          <t>Financiero</t>
        </is>
      </c>
      <c r="C13" s="4" t="n">
        <v>49530942.83</v>
      </c>
      <c r="D13" t="n">
        <v>85</v>
      </c>
      <c r="E13" s="5" t="n">
        <v>92457701.98999999</v>
      </c>
      <c r="F13" s="6">
        <f>IF($E$46=0,0,E13/$E$46)</f>
        <v/>
      </c>
    </row>
    <row r="14">
      <c r="A14" t="inlineStr">
        <is>
          <t>IFS</t>
        </is>
      </c>
      <c r="B14" t="inlineStr">
        <is>
          <t>Financiero</t>
        </is>
      </c>
      <c r="C14" s="4" t="n">
        <v>49530941.93</v>
      </c>
      <c r="D14" t="n">
        <v>80</v>
      </c>
      <c r="E14" s="5" t="n">
        <v>360921827.09</v>
      </c>
      <c r="F14" s="6">
        <f>IF($E$46=0,0,E14/$E$46)</f>
        <v/>
      </c>
    </row>
    <row r="15">
      <c r="A15" t="inlineStr">
        <is>
          <t>Interbank</t>
        </is>
      </c>
      <c r="B15" t="inlineStr">
        <is>
          <t>Financiero</t>
        </is>
      </c>
      <c r="C15" s="4" t="n">
        <v>49530941.93</v>
      </c>
      <c r="D15" t="n">
        <v>80</v>
      </c>
      <c r="E15" s="5" t="n">
        <v>41425633.28</v>
      </c>
      <c r="F15" s="6">
        <f>IF($E$46=0,0,E15/$E$46)</f>
        <v/>
      </c>
    </row>
    <row r="16">
      <c r="A16" t="inlineStr">
        <is>
          <t>BBVA</t>
        </is>
      </c>
      <c r="B16" t="inlineStr">
        <is>
          <t>Financiero</t>
        </is>
      </c>
      <c r="C16" s="4" t="n">
        <v>81411081.17</v>
      </c>
      <c r="D16" t="n">
        <v>108</v>
      </c>
      <c r="E16" s="5" t="n">
        <v>65938505.03</v>
      </c>
      <c r="F16" s="6">
        <f>IF($E$46=0,0,E16/$E$46)</f>
        <v/>
      </c>
    </row>
    <row r="17">
      <c r="A17" t="inlineStr">
        <is>
          <t>MiBanco</t>
        </is>
      </c>
      <c r="B17" t="inlineStr">
        <is>
          <t>Financiero</t>
        </is>
      </c>
      <c r="C17" s="4" t="n">
        <v>13524859.56</v>
      </c>
      <c r="D17" t="n">
        <v>212</v>
      </c>
      <c r="E17" s="5" t="n">
        <v>19578969.7</v>
      </c>
      <c r="F17" s="6">
        <f>IF($E$46=0,0,E17/$E$46)</f>
        <v/>
      </c>
    </row>
    <row r="18">
      <c r="A18" t="inlineStr">
        <is>
          <t>Banco de Crédito del Perú</t>
        </is>
      </c>
      <c r="B18" t="inlineStr">
        <is>
          <t>Financiero</t>
        </is>
      </c>
      <c r="C18" s="4" t="n">
        <v>122025524.11</v>
      </c>
      <c r="D18" t="n">
        <v>132</v>
      </c>
      <c r="E18" s="5" t="n">
        <v>350985963.17</v>
      </c>
      <c r="F18" s="6">
        <f>IF($E$46=0,0,E18/$E$46)</f>
        <v/>
      </c>
    </row>
    <row r="19">
      <c r="A19" t="inlineStr">
        <is>
          <t>Credicorp</t>
        </is>
      </c>
      <c r="B19" t="inlineStr">
        <is>
          <t>Financiero</t>
        </is>
      </c>
      <c r="C19" s="4" t="n">
        <v>135550383.67</v>
      </c>
      <c r="D19" t="n">
        <v>238</v>
      </c>
      <c r="E19" s="5" t="n">
        <v>1450946651.63</v>
      </c>
      <c r="F19" s="6">
        <f>IF($E$46=0,0,E19/$E$46)</f>
        <v/>
      </c>
    </row>
    <row r="20">
      <c r="A20" t="inlineStr">
        <is>
          <t>Santander Perú</t>
        </is>
      </c>
      <c r="B20" t="inlineStr">
        <is>
          <t>Financiero</t>
        </is>
      </c>
      <c r="C20" s="4" t="n">
        <v>5883552.44</v>
      </c>
      <c r="D20" t="n">
        <v>1</v>
      </c>
      <c r="E20" s="5" t="n">
        <v>51901086.23</v>
      </c>
      <c r="F20" s="6">
        <f>IF($E$46=0,0,E20/$E$46)</f>
        <v/>
      </c>
    </row>
    <row r="21">
      <c r="A21" t="inlineStr">
        <is>
          <t>Banbif</t>
        </is>
      </c>
      <c r="B21" t="inlineStr">
        <is>
          <t>Financiero</t>
        </is>
      </c>
      <c r="C21" s="4" t="n">
        <v>14597495.57</v>
      </c>
      <c r="D21" t="n">
        <v>41</v>
      </c>
      <c r="E21" s="5" t="n">
        <v>118585599.86</v>
      </c>
      <c r="F21" s="6">
        <f>IF($E$46=0,0,E21/$E$46)</f>
        <v/>
      </c>
    </row>
    <row r="22">
      <c r="A22" t="inlineStr">
        <is>
          <t>Compartamos Banco</t>
        </is>
      </c>
      <c r="B22" t="inlineStr">
        <is>
          <t>Financiero</t>
        </is>
      </c>
      <c r="C22" s="4" t="n">
        <v>4630734.23</v>
      </c>
      <c r="D22" t="n">
        <v>102</v>
      </c>
      <c r="E22" s="5" t="n">
        <v>32286039.99</v>
      </c>
      <c r="F22" s="6">
        <f>IF($E$46=0,0,E22/$E$46)</f>
        <v/>
      </c>
    </row>
    <row r="23">
      <c r="A23" t="inlineStr">
        <is>
          <t>Orygen</t>
        </is>
      </c>
      <c r="B23" t="inlineStr">
        <is>
          <t>Utilities</t>
        </is>
      </c>
      <c r="C23" s="4" t="n">
        <v>9967.120000000001</v>
      </c>
      <c r="D23" t="n">
        <v>7</v>
      </c>
      <c r="E23" s="5" t="n">
        <v>138972415.08</v>
      </c>
      <c r="F23" s="6">
        <f>IF($E$46=0,0,E23/$E$46)</f>
        <v/>
      </c>
    </row>
    <row r="24">
      <c r="A24" t="inlineStr">
        <is>
          <t>Engie</t>
        </is>
      </c>
      <c r="B24" t="inlineStr">
        <is>
          <t>Utilities</t>
        </is>
      </c>
      <c r="C24" s="4" t="n">
        <v>11078.67</v>
      </c>
      <c r="D24" t="n">
        <v>5</v>
      </c>
      <c r="E24" s="5" t="n">
        <v>220323924.93</v>
      </c>
      <c r="F24" s="6">
        <f>IF($E$46=0,0,E24/$E$46)</f>
        <v/>
      </c>
    </row>
    <row r="25">
      <c r="A25" t="inlineStr">
        <is>
          <t>Orazen</t>
        </is>
      </c>
      <c r="B25" t="inlineStr">
        <is>
          <t>Utilities</t>
        </is>
      </c>
      <c r="C25" s="4" t="n">
        <v>2254.5</v>
      </c>
      <c r="D25" t="n">
        <v>2</v>
      </c>
      <c r="E25" s="5" t="n">
        <v>0</v>
      </c>
      <c r="F25" s="6">
        <f>IF($E$46=0,0,E25/$E$46)</f>
        <v/>
      </c>
    </row>
    <row r="26">
      <c r="A26" t="inlineStr">
        <is>
          <t>Unacem</t>
        </is>
      </c>
      <c r="B26" t="inlineStr">
        <is>
          <t>Construcción</t>
        </is>
      </c>
      <c r="C26" s="4" t="n">
        <v>0</v>
      </c>
      <c r="D26" t="n">
        <v>0</v>
      </c>
      <c r="E26" s="5" t="n">
        <v>123979625.38</v>
      </c>
      <c r="F26" s="6">
        <f>IF($E$46=0,0,E26/$E$46)</f>
        <v/>
      </c>
    </row>
    <row r="27">
      <c r="A27" t="inlineStr">
        <is>
          <t>Pacasmayo</t>
        </is>
      </c>
      <c r="B27" t="inlineStr">
        <is>
          <t>Construcción</t>
        </is>
      </c>
      <c r="C27" s="4" t="n">
        <v>0</v>
      </c>
      <c r="D27" t="n">
        <v>0</v>
      </c>
      <c r="E27" s="5" t="n">
        <v>250961504.57</v>
      </c>
      <c r="F27" s="6">
        <f>IF($E$46=0,0,E27/$E$46)</f>
        <v/>
      </c>
    </row>
    <row r="28">
      <c r="A28" t="inlineStr">
        <is>
          <t>Aenza</t>
        </is>
      </c>
      <c r="B28" t="inlineStr">
        <is>
          <t>Infraestructura</t>
        </is>
      </c>
      <c r="C28" s="4" t="n">
        <v>9.869999999999999</v>
      </c>
      <c r="D28" t="n">
        <v>44</v>
      </c>
      <c r="E28" s="5" t="n">
        <v>59060164.61</v>
      </c>
      <c r="F28" s="6">
        <f>IF($E$46=0,0,E28/$E$46)</f>
        <v/>
      </c>
    </row>
    <row r="29">
      <c r="A29" t="inlineStr">
        <is>
          <t>Ferreycorp</t>
        </is>
      </c>
      <c r="B29" t="inlineStr">
        <is>
          <t>Infraestructura</t>
        </is>
      </c>
      <c r="C29" s="4" t="n">
        <v>1</v>
      </c>
      <c r="D29" t="n">
        <v>47</v>
      </c>
      <c r="E29" s="5" t="n">
        <v>536540054.54</v>
      </c>
      <c r="F29" s="6">
        <f>IF($E$46=0,0,E29/$E$46)</f>
        <v/>
      </c>
    </row>
    <row r="30">
      <c r="A30" t="inlineStr">
        <is>
          <t>Puerto Chancay</t>
        </is>
      </c>
      <c r="B30" t="inlineStr">
        <is>
          <t>Infraestructura</t>
        </is>
      </c>
      <c r="C30" s="4" t="n">
        <v>1</v>
      </c>
      <c r="D30" t="n">
        <v>1</v>
      </c>
      <c r="E30" s="5" t="n">
        <v>54821451.5</v>
      </c>
      <c r="F30" s="6">
        <f>IF($E$46=0,0,E30/$E$46)</f>
        <v/>
      </c>
    </row>
    <row r="31">
      <c r="A31" t="inlineStr">
        <is>
          <t>Hermes</t>
        </is>
      </c>
      <c r="B31" t="inlineStr">
        <is>
          <t>Infraestructura</t>
        </is>
      </c>
      <c r="C31" s="4" t="n">
        <v>1</v>
      </c>
      <c r="D31" t="n">
        <v>19</v>
      </c>
      <c r="E31" s="5" t="n">
        <v>6957636.35</v>
      </c>
      <c r="F31" s="6">
        <f>IF($E$46=0,0,E31/$E$46)</f>
        <v/>
      </c>
    </row>
    <row r="32">
      <c r="A32" t="inlineStr">
        <is>
          <t>Inca Rail</t>
        </is>
      </c>
      <c r="B32" t="inlineStr">
        <is>
          <t>Infraestructura</t>
        </is>
      </c>
      <c r="C32" s="4" t="n">
        <v>1</v>
      </c>
      <c r="D32" t="n">
        <v>4</v>
      </c>
      <c r="E32" s="5" t="n">
        <v>30547552.42</v>
      </c>
      <c r="F32" s="6">
        <f>IF($E$46=0,0,E32/$E$46)</f>
        <v/>
      </c>
    </row>
    <row r="33">
      <c r="A33" t="inlineStr">
        <is>
          <t>Lima Expresa</t>
        </is>
      </c>
      <c r="B33" t="inlineStr">
        <is>
          <t>Infraestructura</t>
        </is>
      </c>
      <c r="C33" s="4" t="n">
        <v>1</v>
      </c>
      <c r="D33" t="n">
        <v>6</v>
      </c>
      <c r="E33" s="5" t="n">
        <v>0</v>
      </c>
      <c r="F33" s="6">
        <f>IF($E$46=0,0,E33/$E$46)</f>
        <v/>
      </c>
    </row>
    <row r="34">
      <c r="A34" t="inlineStr">
        <is>
          <t>Rutas de Lima</t>
        </is>
      </c>
      <c r="B34" t="inlineStr">
        <is>
          <t>Infraestructura</t>
        </is>
      </c>
      <c r="C34" s="4" t="n">
        <v>1</v>
      </c>
      <c r="D34" t="n">
        <v>6</v>
      </c>
      <c r="E34" s="5" t="n">
        <v>80665720.31999999</v>
      </c>
      <c r="F34" s="6">
        <f>IF($E$46=0,0,E34/$E$46)</f>
        <v/>
      </c>
    </row>
    <row r="35">
      <c r="A35" t="inlineStr">
        <is>
          <t>Alicorp</t>
        </is>
      </c>
      <c r="B35" t="inlineStr">
        <is>
          <t>Consumo</t>
        </is>
      </c>
      <c r="C35" s="4" t="n">
        <v>1</v>
      </c>
      <c r="D35" t="n">
        <v>13</v>
      </c>
      <c r="E35" s="5" t="n">
        <v>94571804.73</v>
      </c>
      <c r="F35" s="6">
        <f>IF($E$46=0,0,E35/$E$46)</f>
        <v/>
      </c>
    </row>
    <row r="36">
      <c r="A36" t="inlineStr">
        <is>
          <t>Casa Andina</t>
        </is>
      </c>
      <c r="B36" t="inlineStr">
        <is>
          <t>Consumo</t>
        </is>
      </c>
      <c r="C36" s="4" t="n">
        <v>0.98</v>
      </c>
      <c r="D36" t="n">
        <v>32</v>
      </c>
      <c r="E36" s="5" t="n">
        <v>28177239.75</v>
      </c>
      <c r="F36" s="6">
        <f>IF($E$46=0,0,E36/$E$46)</f>
        <v/>
      </c>
    </row>
    <row r="37">
      <c r="A37" t="inlineStr">
        <is>
          <t>InRetail</t>
        </is>
      </c>
      <c r="B37" t="inlineStr">
        <is>
          <t>Consumo</t>
        </is>
      </c>
      <c r="C37" s="4" t="n">
        <v>1</v>
      </c>
      <c r="D37" t="n">
        <v>20</v>
      </c>
      <c r="E37" s="5" t="n">
        <v>0</v>
      </c>
      <c r="F37" s="6">
        <f>IF($E$46=0,0,E37/$E$46)</f>
        <v/>
      </c>
    </row>
    <row r="38">
      <c r="A38" t="inlineStr">
        <is>
          <t>Intursa</t>
        </is>
      </c>
      <c r="B38" t="inlineStr">
        <is>
          <t>Consumo</t>
        </is>
      </c>
      <c r="C38" s="4" t="n">
        <v>1</v>
      </c>
      <c r="D38" t="n">
        <v>5</v>
      </c>
      <c r="E38" s="5" t="n">
        <v>0</v>
      </c>
      <c r="F38" s="6">
        <f>IF($E$46=0,0,E38/$E$46)</f>
        <v/>
      </c>
    </row>
    <row r="39">
      <c r="A39" t="inlineStr">
        <is>
          <t>Jockey Plaza</t>
        </is>
      </c>
      <c r="B39" t="inlineStr">
        <is>
          <t>Consumo</t>
        </is>
      </c>
      <c r="C39" s="4" t="n">
        <v>1</v>
      </c>
      <c r="D39" t="n">
        <v>2</v>
      </c>
      <c r="E39" s="5" t="n">
        <v>57157115.75</v>
      </c>
      <c r="F39" s="6">
        <f>IF($E$46=0,0,E39/$E$46)</f>
        <v/>
      </c>
    </row>
    <row r="40">
      <c r="A40" t="inlineStr">
        <is>
          <t>Primax</t>
        </is>
      </c>
      <c r="B40" t="inlineStr">
        <is>
          <t>Consumo</t>
        </is>
      </c>
      <c r="C40" s="4" t="n">
        <v>0.99</v>
      </c>
      <c r="D40" t="n">
        <v>80</v>
      </c>
      <c r="E40" s="5" t="n">
        <v>51254539.18</v>
      </c>
      <c r="F40" s="6">
        <f>IF($E$46=0,0,E40/$E$46)</f>
        <v/>
      </c>
    </row>
    <row r="41">
      <c r="A41" t="inlineStr">
        <is>
          <t>Auna</t>
        </is>
      </c>
      <c r="B41" t="inlineStr">
        <is>
          <t>Salud</t>
        </is>
      </c>
      <c r="C41" s="4" t="n">
        <v>25</v>
      </c>
      <c r="D41" t="n">
        <v>9</v>
      </c>
      <c r="E41" s="5" t="n">
        <v>148605548.35</v>
      </c>
      <c r="F41" s="6">
        <f>IF($E$46=0,0,E41/$E$46)</f>
        <v/>
      </c>
    </row>
    <row r="42">
      <c r="A42" t="inlineStr">
        <is>
          <t>Pluz Energía</t>
        </is>
      </c>
      <c r="B42" t="inlineStr">
        <is>
          <t>Utilities</t>
        </is>
      </c>
      <c r="C42" s="4" t="n">
        <v>1</v>
      </c>
      <c r="D42" t="n">
        <v>58</v>
      </c>
      <c r="E42" s="5" t="n">
        <v>65141025.81</v>
      </c>
      <c r="F42" s="6">
        <f>IF($E$46=0,0,E42/$E$46)</f>
        <v/>
      </c>
    </row>
    <row r="43">
      <c r="A43" t="inlineStr">
        <is>
          <t>Colegios Peruanos</t>
        </is>
      </c>
      <c r="B43" t="inlineStr">
        <is>
          <t>Educación</t>
        </is>
      </c>
      <c r="C43" s="4" t="n">
        <v>1</v>
      </c>
      <c r="D43" t="n">
        <v>34</v>
      </c>
      <c r="E43" s="5" t="n">
        <v>0</v>
      </c>
      <c r="F43" s="6">
        <f>IF($E$46=0,0,E43/$E$46)</f>
        <v/>
      </c>
    </row>
    <row r="44">
      <c r="A44" t="inlineStr">
        <is>
          <t>Tecsup</t>
        </is>
      </c>
      <c r="B44" t="inlineStr">
        <is>
          <t>Educación</t>
        </is>
      </c>
      <c r="C44" s="4" t="n">
        <v>1</v>
      </c>
      <c r="D44" t="n">
        <v>3</v>
      </c>
      <c r="E44" s="5" t="n">
        <v>1764204.29</v>
      </c>
      <c r="F44" s="6">
        <f>IF($E$46=0,0,E44/$E$46)</f>
        <v/>
      </c>
    </row>
    <row r="45">
      <c r="A45" t="inlineStr">
        <is>
          <t>Hunt Oil</t>
        </is>
      </c>
      <c r="B45" t="inlineStr">
        <is>
          <t>Energía</t>
        </is>
      </c>
      <c r="C45" s="4" t="n">
        <v>0.4</v>
      </c>
      <c r="D45" t="n">
        <v>2</v>
      </c>
      <c r="E45" s="5" t="n">
        <v>87927410.65000001</v>
      </c>
      <c r="F45" s="6">
        <f>IF($E$46=0,0,E45/$E$46)</f>
        <v/>
      </c>
    </row>
    <row r="46">
      <c r="A46" s="7" t="inlineStr">
        <is>
          <t>TOTAL</t>
        </is>
      </c>
      <c r="B46" s="7" t="inlineStr"/>
      <c r="C46" s="8">
        <f>SUM(C5:C45)</f>
        <v/>
      </c>
      <c r="D46" s="7">
        <f>SUM(D5:D45)</f>
        <v/>
      </c>
      <c r="E46" s="9">
        <f>SUM(E5:E45)</f>
        <v/>
      </c>
      <c r="F46" s="10">
        <f>IF($E$46=0,0,SUM(E5:E45)/$E$46)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Buenaventura — Producción por distrito y exposición asignada</t>
        </is>
      </c>
    </row>
    <row r="2">
      <c r="A2" s="2" t="inlineStr">
        <is>
          <t>Producción total: 15,173.23 TMF   ·   Exposición en cartera: S/ 1,220,428,492   ·   Asignación: tmf_share</t>
        </is>
      </c>
    </row>
    <row r="4">
      <c r="A4" s="3" t="inlineStr">
        <is>
          <t>Departamento</t>
        </is>
      </c>
      <c r="B4" s="3" t="inlineStr">
        <is>
          <t>Provincia</t>
        </is>
      </c>
      <c r="C4" s="3" t="inlineStr">
        <is>
          <t>Distrito</t>
        </is>
      </c>
      <c r="D4" s="3" t="inlineStr">
        <is>
          <t>Ubigeo</t>
        </is>
      </c>
      <c r="E4" s="3" t="inlineStr">
        <is>
          <t>Unidades mineras</t>
        </is>
      </c>
      <c r="F4" s="3" t="inlineStr">
        <is>
          <t>Producción (TMF)</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OYON</t>
        </is>
      </c>
      <c r="C5" t="inlineStr">
        <is>
          <t>OYON</t>
        </is>
      </c>
      <c r="D5" t="inlineStr">
        <is>
          <t>150901</t>
        </is>
      </c>
      <c r="E5" t="inlineStr">
        <is>
          <t>CONC.UCHUCCHACUA</t>
        </is>
      </c>
      <c r="F5" s="11" t="n">
        <v>7910.4269</v>
      </c>
      <c r="G5" s="6">
        <f>IF($F$10=0,0,F5/$F$10)</f>
        <v/>
      </c>
      <c r="H5" s="5" t="n">
        <v>636259328.28</v>
      </c>
      <c r="I5" t="n">
        <v>5</v>
      </c>
      <c r="J5" t="n">
        <v>3</v>
      </c>
      <c r="K5" t="n">
        <v>3</v>
      </c>
      <c r="L5" s="5" t="n">
        <v>2332950870.34</v>
      </c>
    </row>
    <row r="6">
      <c r="A6" t="inlineStr">
        <is>
          <t>PASCO</t>
        </is>
      </c>
      <c r="B6" t="inlineStr">
        <is>
          <t>PASCO</t>
        </is>
      </c>
      <c r="C6" t="inlineStr">
        <is>
          <t>TINYAHUARCO</t>
        </is>
      </c>
      <c r="D6" t="inlineStr">
        <is>
          <t>190111</t>
        </is>
      </c>
      <c r="E6" t="inlineStr">
        <is>
          <t>HDA. DE BENEF. HUARAUCACA</t>
        </is>
      </c>
      <c r="F6" s="11" t="n">
        <v>6691.1737</v>
      </c>
      <c r="G6" s="6">
        <f>IF($F$10=0,0,F6/$F$10)</f>
        <v/>
      </c>
      <c r="H6" s="5" t="n">
        <v>538191139.0599999</v>
      </c>
      <c r="I6" t="n">
        <v>4</v>
      </c>
      <c r="J6" t="n">
        <v>3</v>
      </c>
      <c r="K6" t="n">
        <v>3</v>
      </c>
      <c r="L6" s="5" t="n">
        <v>1793970463.53</v>
      </c>
    </row>
    <row r="7">
      <c r="A7" t="inlineStr">
        <is>
          <t>AREQUIPA</t>
        </is>
      </c>
      <c r="B7" t="inlineStr">
        <is>
          <t>CAYLLOMA</t>
        </is>
      </c>
      <c r="C7" t="inlineStr">
        <is>
          <t>TAPAY</t>
        </is>
      </c>
      <c r="D7" t="inlineStr">
        <is>
          <t>040516</t>
        </is>
      </c>
      <c r="E7" t="inlineStr">
        <is>
          <t>TAMBOMAYO</t>
        </is>
      </c>
      <c r="F7" s="11" t="n">
        <v>453.6162</v>
      </c>
      <c r="G7" s="6">
        <f>IF($F$10=0,0,F7/$F$10)</f>
        <v/>
      </c>
      <c r="H7" s="5" t="n">
        <v>36485705.73</v>
      </c>
      <c r="I7" t="n">
        <v>4</v>
      </c>
      <c r="J7" t="n">
        <v>2</v>
      </c>
      <c r="K7" t="n">
        <v>3</v>
      </c>
      <c r="L7" s="5" t="n">
        <v>109457117.19</v>
      </c>
    </row>
    <row r="8">
      <c r="A8" t="inlineStr">
        <is>
          <t>HUANCAVELICA</t>
        </is>
      </c>
      <c r="B8" t="inlineStr">
        <is>
          <t>ANGARAES</t>
        </is>
      </c>
      <c r="C8" t="inlineStr">
        <is>
          <t>CCOCHACCASA</t>
        </is>
      </c>
      <c r="D8" t="inlineStr">
        <is>
          <t>090304</t>
        </is>
      </c>
      <c r="E8" t="inlineStr">
        <is>
          <t>PLANTA CONC.Y RELAVES</t>
        </is>
      </c>
      <c r="F8" s="11" t="n">
        <v>117.8144</v>
      </c>
      <c r="G8" s="6">
        <f>IF($F$10=0,0,F8/$F$10)</f>
        <v/>
      </c>
      <c r="H8" s="5" t="n">
        <v>9476168.52</v>
      </c>
      <c r="I8" t="n">
        <v>4</v>
      </c>
      <c r="J8" t="n">
        <v>2</v>
      </c>
      <c r="K8" t="n">
        <v>3</v>
      </c>
      <c r="L8" s="5" t="n">
        <v>28428505.57</v>
      </c>
    </row>
    <row r="9">
      <c r="A9" t="inlineStr">
        <is>
          <t>AREQUIPA</t>
        </is>
      </c>
      <c r="B9" t="inlineStr">
        <is>
          <t>CASTILLA</t>
        </is>
      </c>
      <c r="C9" t="inlineStr">
        <is>
          <t>ORCOPAMPA</t>
        </is>
      </c>
      <c r="D9" t="inlineStr">
        <is>
          <t>040409</t>
        </is>
      </c>
      <c r="E9" t="inlineStr">
        <is>
          <t>CONC. ORCOPAMPA</t>
        </is>
      </c>
      <c r="F9" s="11" t="n">
        <v>0.2008</v>
      </c>
      <c r="G9" s="6">
        <f>IF($F$10=0,0,F9/$F$10)</f>
        <v/>
      </c>
      <c r="H9" s="5" t="n">
        <v>16150.69</v>
      </c>
      <c r="I9" t="n">
        <v>4</v>
      </c>
      <c r="J9" t="n">
        <v>3</v>
      </c>
      <c r="K9" t="n">
        <v>4</v>
      </c>
      <c r="L9" s="5" t="n">
        <v>59219.21</v>
      </c>
    </row>
    <row r="10">
      <c r="A10" s="12" t="inlineStr">
        <is>
          <t>TOTAL</t>
        </is>
      </c>
      <c r="B10" t="inlineStr"/>
      <c r="C10" t="inlineStr"/>
      <c r="D10" t="inlineStr"/>
      <c r="E10" t="inlineStr"/>
      <c r="F10" s="13">
        <f>SUM(F5:F9)</f>
        <v/>
      </c>
      <c r="G10" t="inlineStr"/>
      <c r="H10" s="14">
        <f>SUM(H5:H9)</f>
        <v/>
      </c>
      <c r="I10" t="inlineStr"/>
      <c r="J10" t="inlineStr"/>
      <c r="K10" t="inlineStr"/>
      <c r="L10" s="14">
        <f>SUM(L5:L9)</f>
        <v/>
      </c>
    </row>
    <row r="13">
      <c r="A13" s="15" t="inlineStr">
        <is>
          <t>Detalle por mineral (unidad original)</t>
        </is>
      </c>
    </row>
    <row r="14">
      <c r="A14" s="3" t="inlineStr">
        <is>
          <t>Distrito</t>
        </is>
      </c>
      <c r="B14" s="3" t="inlineStr">
        <is>
          <t>Ubigeo</t>
        </is>
      </c>
      <c r="C14" s="3" t="inlineStr">
        <is>
          <t>Mineral</t>
        </is>
      </c>
      <c r="D14" s="3" t="inlineStr">
        <is>
          <t>Unidad</t>
        </is>
      </c>
      <c r="E14" s="3" t="inlineStr">
        <is>
          <t>Cantidad (orig.)</t>
        </is>
      </c>
      <c r="F14" s="3" t="inlineStr">
        <is>
          <t>TMF equiv.</t>
        </is>
      </c>
    </row>
    <row r="15">
      <c r="A15" t="inlineStr">
        <is>
          <t>OYON</t>
        </is>
      </c>
      <c r="B15" t="inlineStr">
        <is>
          <t>150901</t>
        </is>
      </c>
      <c r="C15" t="inlineStr">
        <is>
          <t>MANGANESO</t>
        </is>
      </c>
      <c r="D15" t="inlineStr">
        <is>
          <t>TMF</t>
        </is>
      </c>
      <c r="E15" s="11" t="n">
        <v>3540.3854</v>
      </c>
      <c r="F15" s="16" t="n">
        <v>3540.385352</v>
      </c>
    </row>
    <row r="16">
      <c r="A16" t="inlineStr">
        <is>
          <t>OYON</t>
        </is>
      </c>
      <c r="B16" t="inlineStr">
        <is>
          <t>150901</t>
        </is>
      </c>
      <c r="C16" t="inlineStr">
        <is>
          <t>PLATA</t>
        </is>
      </c>
      <c r="D16" t="inlineStr">
        <is>
          <t>Kg. f.</t>
        </is>
      </c>
      <c r="E16" s="11" t="n">
        <v>28638.0675</v>
      </c>
      <c r="F16" s="16" t="n">
        <v>28.638068</v>
      </c>
    </row>
    <row r="17">
      <c r="A17" t="inlineStr">
        <is>
          <t>OYON</t>
        </is>
      </c>
      <c r="B17" t="inlineStr">
        <is>
          <t>150901</t>
        </is>
      </c>
      <c r="C17" t="inlineStr">
        <is>
          <t>PLOMO</t>
        </is>
      </c>
      <c r="D17" t="inlineStr">
        <is>
          <t>TMF</t>
        </is>
      </c>
      <c r="E17" s="11" t="n">
        <v>1618.4698</v>
      </c>
      <c r="F17" s="16" t="n">
        <v>1618.469799</v>
      </c>
    </row>
    <row r="18">
      <c r="A18" t="inlineStr">
        <is>
          <t>OYON</t>
        </is>
      </c>
      <c r="B18" t="inlineStr">
        <is>
          <t>150901</t>
        </is>
      </c>
      <c r="C18" t="inlineStr">
        <is>
          <t>ZINC</t>
        </is>
      </c>
      <c r="D18" t="inlineStr">
        <is>
          <t>TMF</t>
        </is>
      </c>
      <c r="E18" s="11" t="n">
        <v>2722.9337</v>
      </c>
      <c r="F18" s="16" t="n">
        <v>2722.933731</v>
      </c>
    </row>
    <row r="19">
      <c r="A19" t="inlineStr">
        <is>
          <t>TINYAHUARCO</t>
        </is>
      </c>
      <c r="B19" t="inlineStr">
        <is>
          <t>190111</t>
        </is>
      </c>
      <c r="C19" t="inlineStr">
        <is>
          <t>ARSÉNICO</t>
        </is>
      </c>
      <c r="D19" t="inlineStr">
        <is>
          <t>TMF</t>
        </is>
      </c>
      <c r="E19" s="11" t="n">
        <v>1742.4884</v>
      </c>
      <c r="F19" s="16" t="n">
        <v>1742.488433</v>
      </c>
    </row>
    <row r="20">
      <c r="A20" t="inlineStr">
        <is>
          <t>TINYAHUARCO</t>
        </is>
      </c>
      <c r="B20" t="inlineStr">
        <is>
          <t>190111</t>
        </is>
      </c>
      <c r="C20" t="inlineStr">
        <is>
          <t>COBRE</t>
        </is>
      </c>
      <c r="D20" t="inlineStr">
        <is>
          <t>TMF</t>
        </is>
      </c>
      <c r="E20" s="11" t="n">
        <v>4906.6628</v>
      </c>
      <c r="F20" s="16" t="n">
        <v>4906.662794</v>
      </c>
    </row>
    <row r="21">
      <c r="A21" t="inlineStr">
        <is>
          <t>TINYAHUARCO</t>
        </is>
      </c>
      <c r="B21" t="inlineStr">
        <is>
          <t>190111</t>
        </is>
      </c>
      <c r="C21" t="inlineStr">
        <is>
          <t>ORO</t>
        </is>
      </c>
      <c r="D21" t="inlineStr">
        <is>
          <t>Grs. f.</t>
        </is>
      </c>
      <c r="E21" s="11" t="n">
        <v>63468.1217</v>
      </c>
      <c r="F21" s="16" t="n">
        <v>0.063468</v>
      </c>
    </row>
    <row r="22">
      <c r="A22" t="inlineStr">
        <is>
          <t>TINYAHUARCO</t>
        </is>
      </c>
      <c r="B22" t="inlineStr">
        <is>
          <t>190111</t>
        </is>
      </c>
      <c r="C22" t="inlineStr">
        <is>
          <t>PLATA</t>
        </is>
      </c>
      <c r="D22" t="inlineStr">
        <is>
          <t>Kg. f.</t>
        </is>
      </c>
      <c r="E22" s="11" t="n">
        <v>5032.1075</v>
      </c>
      <c r="F22" s="16" t="n">
        <v>5.032107</v>
      </c>
    </row>
    <row r="23">
      <c r="A23" t="inlineStr">
        <is>
          <t>TINYAHUARCO</t>
        </is>
      </c>
      <c r="B23" t="inlineStr">
        <is>
          <t>190111</t>
        </is>
      </c>
      <c r="C23" t="inlineStr">
        <is>
          <t>PLOMO</t>
        </is>
      </c>
      <c r="D23" t="inlineStr">
        <is>
          <t>TMF</t>
        </is>
      </c>
      <c r="E23" s="11" t="n">
        <v>11.5397</v>
      </c>
      <c r="F23" s="16" t="n">
        <v>11.539658</v>
      </c>
    </row>
    <row r="24">
      <c r="A24" t="inlineStr">
        <is>
          <t>TINYAHUARCO</t>
        </is>
      </c>
      <c r="B24" t="inlineStr">
        <is>
          <t>190111</t>
        </is>
      </c>
      <c r="C24" t="inlineStr">
        <is>
          <t>ZINC</t>
        </is>
      </c>
      <c r="D24" t="inlineStr">
        <is>
          <t>TMF</t>
        </is>
      </c>
      <c r="E24" s="11" t="n">
        <v>25.3872</v>
      </c>
      <c r="F24" s="16" t="n">
        <v>25.387249</v>
      </c>
    </row>
    <row r="25">
      <c r="A25" t="inlineStr">
        <is>
          <t>TAPAY</t>
        </is>
      </c>
      <c r="B25" t="inlineStr">
        <is>
          <t>040516</t>
        </is>
      </c>
      <c r="C25" t="inlineStr">
        <is>
          <t>ORO</t>
        </is>
      </c>
      <c r="D25" t="inlineStr">
        <is>
          <t>Grs. f.</t>
        </is>
      </c>
      <c r="E25" s="11" t="n">
        <v>56015.3414</v>
      </c>
      <c r="F25" s="16" t="n">
        <v>0.056015</v>
      </c>
    </row>
    <row r="26">
      <c r="A26" t="inlineStr">
        <is>
          <t>TAPAY</t>
        </is>
      </c>
      <c r="B26" t="inlineStr">
        <is>
          <t>040516</t>
        </is>
      </c>
      <c r="C26" t="inlineStr">
        <is>
          <t>PLATA</t>
        </is>
      </c>
      <c r="D26" t="inlineStr">
        <is>
          <t>Kg. f.</t>
        </is>
      </c>
      <c r="E26" s="11" t="n">
        <v>3601.2646</v>
      </c>
      <c r="F26" s="16" t="n">
        <v>3.601265</v>
      </c>
    </row>
    <row r="27">
      <c r="A27" t="inlineStr">
        <is>
          <t>TAPAY</t>
        </is>
      </c>
      <c r="B27" t="inlineStr">
        <is>
          <t>040516</t>
        </is>
      </c>
      <c r="C27" t="inlineStr">
        <is>
          <t>PLOMO</t>
        </is>
      </c>
      <c r="D27" t="inlineStr">
        <is>
          <t>TMF</t>
        </is>
      </c>
      <c r="E27" s="11" t="n">
        <v>188.7864</v>
      </c>
      <c r="F27" s="16" t="n">
        <v>188.786441</v>
      </c>
    </row>
    <row r="28">
      <c r="A28" t="inlineStr">
        <is>
          <t>TAPAY</t>
        </is>
      </c>
      <c r="B28" t="inlineStr">
        <is>
          <t>040516</t>
        </is>
      </c>
      <c r="C28" t="inlineStr">
        <is>
          <t>ZINC</t>
        </is>
      </c>
      <c r="D28" t="inlineStr">
        <is>
          <t>TMF</t>
        </is>
      </c>
      <c r="E28" s="11" t="n">
        <v>261.1724</v>
      </c>
      <c r="F28" s="16" t="n">
        <v>261.172433</v>
      </c>
    </row>
    <row r="29">
      <c r="A29" t="inlineStr">
        <is>
          <t>CCOCHACCASA</t>
        </is>
      </c>
      <c r="B29" t="inlineStr">
        <is>
          <t>090304</t>
        </is>
      </c>
      <c r="C29" t="inlineStr">
        <is>
          <t>ARSÉNICO</t>
        </is>
      </c>
      <c r="D29" t="inlineStr">
        <is>
          <t>TMF</t>
        </is>
      </c>
      <c r="E29" s="11" t="n">
        <v>54.0967</v>
      </c>
      <c r="F29" s="16" t="n">
        <v>54.096689</v>
      </c>
    </row>
    <row r="30">
      <c r="A30" t="inlineStr">
        <is>
          <t>CCOCHACCASA</t>
        </is>
      </c>
      <c r="B30" t="inlineStr">
        <is>
          <t>090304</t>
        </is>
      </c>
      <c r="C30" t="inlineStr">
        <is>
          <t>COBRE</t>
        </is>
      </c>
      <c r="D30" t="inlineStr">
        <is>
          <t>TMF</t>
        </is>
      </c>
      <c r="E30" s="11" t="n">
        <v>31.2537</v>
      </c>
      <c r="F30" s="16" t="n">
        <v>31.253727</v>
      </c>
    </row>
    <row r="31">
      <c r="A31" t="inlineStr">
        <is>
          <t>CCOCHACCASA</t>
        </is>
      </c>
      <c r="B31" t="inlineStr">
        <is>
          <t>090304</t>
        </is>
      </c>
      <c r="C31" t="inlineStr">
        <is>
          <t>ORO</t>
        </is>
      </c>
      <c r="D31" t="inlineStr">
        <is>
          <t>Grs. f.</t>
        </is>
      </c>
      <c r="E31" s="11" t="n">
        <v>23088.3344</v>
      </c>
      <c r="F31" s="16" t="n">
        <v>0.023088</v>
      </c>
    </row>
    <row r="32">
      <c r="A32" t="inlineStr">
        <is>
          <t>CCOCHACCASA</t>
        </is>
      </c>
      <c r="B32" t="inlineStr">
        <is>
          <t>090304</t>
        </is>
      </c>
      <c r="C32" t="inlineStr">
        <is>
          <t>PLATA</t>
        </is>
      </c>
      <c r="D32" t="inlineStr">
        <is>
          <t>Kg. f.</t>
        </is>
      </c>
      <c r="E32" s="11" t="n">
        <v>1519.4279</v>
      </c>
      <c r="F32" s="16" t="n">
        <v>1.519428</v>
      </c>
    </row>
    <row r="33">
      <c r="A33" t="inlineStr">
        <is>
          <t>CCOCHACCASA</t>
        </is>
      </c>
      <c r="B33" t="inlineStr">
        <is>
          <t>090304</t>
        </is>
      </c>
      <c r="C33" t="inlineStr">
        <is>
          <t>PLOMO</t>
        </is>
      </c>
      <c r="D33" t="inlineStr">
        <is>
          <t>TMF</t>
        </is>
      </c>
      <c r="E33" s="11" t="n">
        <v>30.9215</v>
      </c>
      <c r="F33" s="16" t="n">
        <v>30.921512</v>
      </c>
    </row>
    <row r="34">
      <c r="A34" t="inlineStr">
        <is>
          <t>ORCOPAMPA</t>
        </is>
      </c>
      <c r="B34" t="inlineStr">
        <is>
          <t>040409</t>
        </is>
      </c>
      <c r="C34" t="inlineStr">
        <is>
          <t>ORO</t>
        </is>
      </c>
      <c r="D34" t="inlineStr">
        <is>
          <t>Grs. f.</t>
        </is>
      </c>
      <c r="E34" s="11" t="n">
        <v>146605.3445</v>
      </c>
      <c r="F34" s="16" t="n">
        <v>0.146605</v>
      </c>
    </row>
    <row r="35">
      <c r="A35" t="inlineStr">
        <is>
          <t>ORCOPAMPA</t>
        </is>
      </c>
      <c r="B35" t="inlineStr">
        <is>
          <t>040409</t>
        </is>
      </c>
      <c r="C35" t="inlineStr">
        <is>
          <t>PLATA</t>
        </is>
      </c>
      <c r="D35" t="inlineStr">
        <is>
          <t>Kg. f.</t>
        </is>
      </c>
      <c r="E35" s="11" t="n">
        <v>54.1915</v>
      </c>
      <c r="F35" s="16" t="n">
        <v>0.054192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Volcan — Producción por distrito y exposición asignada</t>
        </is>
      </c>
    </row>
    <row r="2">
      <c r="A2" s="2" t="inlineStr">
        <is>
          <t>Producción total: 17,377.77 TMF   ·   Exposición en cartera: S/ 87,650,779   ·   Asignación: tmf_share</t>
        </is>
      </c>
    </row>
    <row r="4">
      <c r="A4" s="3" t="inlineStr">
        <is>
          <t>Departamento</t>
        </is>
      </c>
      <c r="B4" s="3" t="inlineStr">
        <is>
          <t>Provincia</t>
        </is>
      </c>
      <c r="C4" s="3" t="inlineStr">
        <is>
          <t>Distrito</t>
        </is>
      </c>
      <c r="D4" s="3" t="inlineStr">
        <is>
          <t>Ubigeo</t>
        </is>
      </c>
      <c r="E4" s="3" t="inlineStr">
        <is>
          <t>Unidades mineras</t>
        </is>
      </c>
      <c r="F4" s="3" t="inlineStr">
        <is>
          <t>Producción (TMF)</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JUNIN</t>
        </is>
      </c>
      <c r="B5" t="inlineStr">
        <is>
          <t>YAULI</t>
        </is>
      </c>
      <c r="C5" t="inlineStr">
        <is>
          <t>YAULI</t>
        </is>
      </c>
      <c r="D5" t="inlineStr">
        <is>
          <t>120810</t>
        </is>
      </c>
      <c r="E5" t="inlineStr">
        <is>
          <t>CONC. LA VICTORIA</t>
        </is>
      </c>
      <c r="F5" s="11" t="n">
        <v>8863.0807</v>
      </c>
      <c r="G5" s="6">
        <f>IF($F$7=0,0,F5/$F$7)</f>
        <v/>
      </c>
      <c r="H5" s="5" t="n">
        <v>44704017.88</v>
      </c>
      <c r="I5" t="n">
        <v>4</v>
      </c>
      <c r="J5" t="n">
        <v>3</v>
      </c>
      <c r="K5" t="n">
        <v>2</v>
      </c>
      <c r="L5" s="5" t="n">
        <v>134112053.65</v>
      </c>
    </row>
    <row r="6">
      <c r="A6" t="inlineStr">
        <is>
          <t>JUNIN</t>
        </is>
      </c>
      <c r="B6" t="inlineStr">
        <is>
          <t>YAULI</t>
        </is>
      </c>
      <c r="C6" t="inlineStr">
        <is>
          <t>HUAY-HUAY</t>
        </is>
      </c>
      <c r="D6" t="inlineStr">
        <is>
          <t>120803</t>
        </is>
      </c>
      <c r="E6" t="inlineStr">
        <is>
          <t>ANDAYCHAGUA</t>
        </is>
      </c>
      <c r="F6" s="11" t="n">
        <v>8514.684600000001</v>
      </c>
      <c r="G6" s="6">
        <f>IF($F$7=0,0,F6/$F$7)</f>
        <v/>
      </c>
      <c r="H6" s="5" t="n">
        <v>42946761.51</v>
      </c>
      <c r="L6" s="5" t="n">
        <v>0</v>
      </c>
    </row>
    <row r="7">
      <c r="A7" s="12" t="inlineStr">
        <is>
          <t>TOTAL</t>
        </is>
      </c>
      <c r="B7" t="inlineStr"/>
      <c r="C7" t="inlineStr"/>
      <c r="D7" t="inlineStr"/>
      <c r="E7" t="inlineStr"/>
      <c r="F7" s="13">
        <f>SUM(F5:F6)</f>
        <v/>
      </c>
      <c r="G7" t="inlineStr"/>
      <c r="H7" s="14">
        <f>SUM(H5:H6)</f>
        <v/>
      </c>
      <c r="I7" t="inlineStr"/>
      <c r="J7" t="inlineStr"/>
      <c r="K7" t="inlineStr"/>
      <c r="L7" s="14">
        <f>SUM(L5:L6)</f>
        <v/>
      </c>
    </row>
    <row r="10">
      <c r="A10" s="15" t="inlineStr">
        <is>
          <t>Detalle por mineral (unidad original)</t>
        </is>
      </c>
    </row>
    <row r="11">
      <c r="A11" s="3" t="inlineStr">
        <is>
          <t>Distrito</t>
        </is>
      </c>
      <c r="B11" s="3" t="inlineStr">
        <is>
          <t>Ubigeo</t>
        </is>
      </c>
      <c r="C11" s="3" t="inlineStr">
        <is>
          <t>Mineral</t>
        </is>
      </c>
      <c r="D11" s="3" t="inlineStr">
        <is>
          <t>Unidad</t>
        </is>
      </c>
      <c r="E11" s="3" t="inlineStr">
        <is>
          <t>Cantidad (orig.)</t>
        </is>
      </c>
      <c r="F11" s="3" t="inlineStr">
        <is>
          <t>TMF equiv.</t>
        </is>
      </c>
    </row>
    <row r="12">
      <c r="A12" t="inlineStr">
        <is>
          <t>YAULI</t>
        </is>
      </c>
      <c r="B12" t="inlineStr">
        <is>
          <t>120810</t>
        </is>
      </c>
      <c r="C12" t="inlineStr">
        <is>
          <t>COBRE</t>
        </is>
      </c>
      <c r="D12" t="inlineStr">
        <is>
          <t>TMF</t>
        </is>
      </c>
      <c r="E12" s="11" t="n">
        <v>168.4339</v>
      </c>
      <c r="F12" s="16" t="n">
        <v>168.433919</v>
      </c>
    </row>
    <row r="13">
      <c r="A13" t="inlineStr">
        <is>
          <t>YAULI</t>
        </is>
      </c>
      <c r="B13" t="inlineStr">
        <is>
          <t>120810</t>
        </is>
      </c>
      <c r="C13" t="inlineStr">
        <is>
          <t>PLATA</t>
        </is>
      </c>
      <c r="D13" t="inlineStr">
        <is>
          <t>Kg. f.</t>
        </is>
      </c>
      <c r="E13" s="11" t="n">
        <v>12128.9369</v>
      </c>
      <c r="F13" s="16" t="n">
        <v>12.128937</v>
      </c>
    </row>
    <row r="14">
      <c r="A14" t="inlineStr">
        <is>
          <t>YAULI</t>
        </is>
      </c>
      <c r="B14" t="inlineStr">
        <is>
          <t>120810</t>
        </is>
      </c>
      <c r="C14" t="inlineStr">
        <is>
          <t>PLOMO</t>
        </is>
      </c>
      <c r="D14" t="inlineStr">
        <is>
          <t>TMF</t>
        </is>
      </c>
      <c r="E14" s="11" t="n">
        <v>1016.9739</v>
      </c>
      <c r="F14" s="16" t="n">
        <v>1016.973857</v>
      </c>
    </row>
    <row r="15">
      <c r="A15" t="inlineStr">
        <is>
          <t>YAULI</t>
        </is>
      </c>
      <c r="B15" t="inlineStr">
        <is>
          <t>120810</t>
        </is>
      </c>
      <c r="C15" t="inlineStr">
        <is>
          <t>ZINC</t>
        </is>
      </c>
      <c r="D15" t="inlineStr">
        <is>
          <t>TMF</t>
        </is>
      </c>
      <c r="E15" s="11" t="n">
        <v>7665.5439</v>
      </c>
      <c r="F15" s="16" t="n">
        <v>7665.543949</v>
      </c>
    </row>
    <row r="16">
      <c r="A16" t="inlineStr">
        <is>
          <t>HUAY-HUAY</t>
        </is>
      </c>
      <c r="B16" t="inlineStr">
        <is>
          <t>120803</t>
        </is>
      </c>
      <c r="C16" t="inlineStr">
        <is>
          <t>COBRE</t>
        </is>
      </c>
      <c r="D16" t="inlineStr">
        <is>
          <t>TMF</t>
        </is>
      </c>
      <c r="E16" s="11" t="n">
        <v>76.5347</v>
      </c>
      <c r="F16" s="16" t="n">
        <v>76.534657</v>
      </c>
    </row>
    <row r="17">
      <c r="A17" t="inlineStr">
        <is>
          <t>HUAY-HUAY</t>
        </is>
      </c>
      <c r="B17" t="inlineStr">
        <is>
          <t>120803</t>
        </is>
      </c>
      <c r="C17" t="inlineStr">
        <is>
          <t>PLATA</t>
        </is>
      </c>
      <c r="D17" t="inlineStr">
        <is>
          <t>Kg. f.</t>
        </is>
      </c>
      <c r="E17" s="11" t="n">
        <v>4314.8559</v>
      </c>
      <c r="F17" s="16" t="n">
        <v>4.314856</v>
      </c>
    </row>
    <row r="18">
      <c r="A18" t="inlineStr">
        <is>
          <t>HUAY-HUAY</t>
        </is>
      </c>
      <c r="B18" t="inlineStr">
        <is>
          <t>120803</t>
        </is>
      </c>
      <c r="C18" t="inlineStr">
        <is>
          <t>PLOMO</t>
        </is>
      </c>
      <c r="D18" t="inlineStr">
        <is>
          <t>TMF</t>
        </is>
      </c>
      <c r="E18" s="11" t="n">
        <v>1481.0869</v>
      </c>
      <c r="F18" s="16" t="n">
        <v>1481.086949</v>
      </c>
    </row>
    <row r="19">
      <c r="A19" t="inlineStr">
        <is>
          <t>HUAY-HUAY</t>
        </is>
      </c>
      <c r="B19" t="inlineStr">
        <is>
          <t>120803</t>
        </is>
      </c>
      <c r="C19" t="inlineStr">
        <is>
          <t>ZINC</t>
        </is>
      </c>
      <c r="D19" t="inlineStr">
        <is>
          <t>TMF</t>
        </is>
      </c>
      <c r="E19" s="11" t="n">
        <v>6952.7481</v>
      </c>
      <c r="F19" s="16" t="n">
        <v>6952.748111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Minsur — Producción por distrito y exposición asignada</t>
        </is>
      </c>
    </row>
    <row r="2">
      <c r="A2" s="2" t="inlineStr">
        <is>
          <t>Producción total: 17,060.47 TMF   ·   Exposición en cartera: S/ 1,050,478,033   ·   Asignación: tmf_share</t>
        </is>
      </c>
    </row>
    <row r="4">
      <c r="A4" s="3" t="inlineStr">
        <is>
          <t>Departamento</t>
        </is>
      </c>
      <c r="B4" s="3" t="inlineStr">
        <is>
          <t>Provincia</t>
        </is>
      </c>
      <c r="C4" s="3" t="inlineStr">
        <is>
          <t>Distrito</t>
        </is>
      </c>
      <c r="D4" s="3" t="inlineStr">
        <is>
          <t>Ubigeo</t>
        </is>
      </c>
      <c r="E4" s="3" t="inlineStr">
        <is>
          <t>Unidades mineras</t>
        </is>
      </c>
      <c r="F4" s="3" t="inlineStr">
        <is>
          <t>Producción (TMF)</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ICA</t>
        </is>
      </c>
      <c r="B5" t="inlineStr">
        <is>
          <t>NAZCA</t>
        </is>
      </c>
      <c r="C5" t="inlineStr">
        <is>
          <t>MARCONA</t>
        </is>
      </c>
      <c r="D5" t="inlineStr">
        <is>
          <t>110304</t>
        </is>
      </c>
      <c r="E5" t="inlineStr">
        <is>
          <t>PLANTA DE OXIDOS Y PLANTA DE SULFUROS</t>
        </is>
      </c>
      <c r="F5" s="11" t="n">
        <v>11154.7531</v>
      </c>
      <c r="G5" s="6">
        <f>IF($F$9=0,0,F5/$F$9)</f>
        <v/>
      </c>
      <c r="H5" s="5" t="n">
        <v>686840452.85</v>
      </c>
      <c r="I5" t="n">
        <v>3</v>
      </c>
      <c r="J5" t="n">
        <v>4</v>
      </c>
      <c r="L5" s="5" t="n">
        <v>2403941584.98</v>
      </c>
    </row>
    <row r="6">
      <c r="A6" t="inlineStr">
        <is>
          <t>PUNO</t>
        </is>
      </c>
      <c r="B6" t="inlineStr">
        <is>
          <t>MELGAR</t>
        </is>
      </c>
      <c r="C6" t="inlineStr">
        <is>
          <t>ANTAUTA</t>
        </is>
      </c>
      <c r="D6" t="inlineStr">
        <is>
          <t>210802</t>
        </is>
      </c>
      <c r="E6" t="inlineStr">
        <is>
          <t>PLANTA DE CONC.SAN RAFAEL</t>
        </is>
      </c>
      <c r="F6" s="11" t="n">
        <v>3033.0752</v>
      </c>
      <c r="G6" s="6">
        <f>IF($F$9=0,0,F6/$F$9)</f>
        <v/>
      </c>
      <c r="H6" s="5" t="n">
        <v>186757943.41</v>
      </c>
      <c r="I6" t="n">
        <v>4</v>
      </c>
      <c r="J6" t="n">
        <v>2</v>
      </c>
      <c r="K6" t="n">
        <v>3</v>
      </c>
      <c r="L6" s="5" t="n">
        <v>560273830.23</v>
      </c>
    </row>
    <row r="7">
      <c r="A7" t="inlineStr">
        <is>
          <t>ICA</t>
        </is>
      </c>
      <c r="B7" t="inlineStr">
        <is>
          <t>PISCO</t>
        </is>
      </c>
      <c r="C7" t="inlineStr">
        <is>
          <t>PARACAS</t>
        </is>
      </c>
      <c r="D7" t="inlineStr">
        <is>
          <t>110505</t>
        </is>
      </c>
      <c r="E7" t="inlineStr">
        <is>
          <t>FUNSUR</t>
        </is>
      </c>
      <c r="F7" s="11" t="n">
        <v>2872.3131</v>
      </c>
      <c r="G7" s="6">
        <f>IF($F$9=0,0,F7/$F$9)</f>
        <v/>
      </c>
      <c r="H7" s="5" t="n">
        <v>176859212.74</v>
      </c>
      <c r="I7" t="n">
        <v>3</v>
      </c>
      <c r="J7" t="n">
        <v>4</v>
      </c>
      <c r="L7" s="5" t="n">
        <v>619007244.59</v>
      </c>
    </row>
    <row r="8">
      <c r="A8" t="inlineStr">
        <is>
          <t>TACNA</t>
        </is>
      </c>
      <c r="B8" t="inlineStr">
        <is>
          <t>TACNA</t>
        </is>
      </c>
      <c r="C8" t="inlineStr">
        <is>
          <t>PALCA</t>
        </is>
      </c>
      <c r="D8" t="inlineStr">
        <is>
          <t>230107</t>
        </is>
      </c>
      <c r="E8" t="inlineStr">
        <is>
          <t>CONCESION DE BENEFICIO PUCAMARCA</t>
        </is>
      </c>
      <c r="F8" s="11" t="n">
        <v>0.3317</v>
      </c>
      <c r="G8" s="6">
        <f>IF($F$9=0,0,F8/$F$9)</f>
        <v/>
      </c>
      <c r="H8" s="5" t="n">
        <v>20424.36</v>
      </c>
      <c r="I8" t="n">
        <v>4</v>
      </c>
      <c r="J8" t="n">
        <v>2</v>
      </c>
      <c r="K8" t="n">
        <v>4</v>
      </c>
      <c r="L8" s="5" t="n">
        <v>68081.2</v>
      </c>
    </row>
    <row r="9">
      <c r="A9" s="12" t="inlineStr">
        <is>
          <t>TOTAL</t>
        </is>
      </c>
      <c r="B9" t="inlineStr"/>
      <c r="C9" t="inlineStr"/>
      <c r="D9" t="inlineStr"/>
      <c r="E9" t="inlineStr"/>
      <c r="F9" s="13">
        <f>SUM(F5:F8)</f>
        <v/>
      </c>
      <c r="G9" t="inlineStr"/>
      <c r="H9" s="14">
        <f>SUM(H5:H8)</f>
        <v/>
      </c>
      <c r="I9" t="inlineStr"/>
      <c r="J9" t="inlineStr"/>
      <c r="K9" t="inlineStr"/>
      <c r="L9" s="14">
        <f>SUM(L5:L8)</f>
        <v/>
      </c>
    </row>
    <row r="12">
      <c r="A12" s="15" t="inlineStr">
        <is>
          <t>Detalle por mineral (unidad original)</t>
        </is>
      </c>
    </row>
    <row r="13">
      <c r="A13" s="3" t="inlineStr">
        <is>
          <t>Distrito</t>
        </is>
      </c>
      <c r="B13" s="3" t="inlineStr">
        <is>
          <t>Ubigeo</t>
        </is>
      </c>
      <c r="C13" s="3" t="inlineStr">
        <is>
          <t>Mineral</t>
        </is>
      </c>
      <c r="D13" s="3" t="inlineStr">
        <is>
          <t>Unidad</t>
        </is>
      </c>
      <c r="E13" s="3" t="inlineStr">
        <is>
          <t>Cantidad (orig.)</t>
        </is>
      </c>
      <c r="F13" s="3" t="inlineStr">
        <is>
          <t>TMF equiv.</t>
        </is>
      </c>
    </row>
    <row r="14">
      <c r="A14" t="inlineStr">
        <is>
          <t>MARCONA</t>
        </is>
      </c>
      <c r="B14" t="inlineStr">
        <is>
          <t>110304</t>
        </is>
      </c>
      <c r="C14" t="inlineStr">
        <is>
          <t>COBRE</t>
        </is>
      </c>
      <c r="D14" t="inlineStr">
        <is>
          <t>TMF</t>
        </is>
      </c>
      <c r="E14" s="11" t="n">
        <v>11145.8635</v>
      </c>
      <c r="F14" s="16" t="n">
        <v>11145.86352</v>
      </c>
    </row>
    <row r="15">
      <c r="A15" t="inlineStr">
        <is>
          <t>MARCONA</t>
        </is>
      </c>
      <c r="B15" t="inlineStr">
        <is>
          <t>110304</t>
        </is>
      </c>
      <c r="C15" t="inlineStr">
        <is>
          <t>PLATA</t>
        </is>
      </c>
      <c r="D15" t="inlineStr">
        <is>
          <t>Kg. f.</t>
        </is>
      </c>
      <c r="E15" s="11" t="n">
        <v>8889.5574</v>
      </c>
      <c r="F15" s="16" t="n">
        <v>8.889557</v>
      </c>
    </row>
    <row r="16">
      <c r="A16" t="inlineStr">
        <is>
          <t>ANTAUTA</t>
        </is>
      </c>
      <c r="B16" t="inlineStr">
        <is>
          <t>210802</t>
        </is>
      </c>
      <c r="C16" t="inlineStr">
        <is>
          <t>ESTAÑO</t>
        </is>
      </c>
      <c r="D16" t="inlineStr">
        <is>
          <t>TMF</t>
        </is>
      </c>
      <c r="E16" s="11" t="n">
        <v>3033.0752</v>
      </c>
      <c r="F16" s="16" t="n">
        <v>3033.0752</v>
      </c>
    </row>
    <row r="17">
      <c r="A17" t="inlineStr">
        <is>
          <t>PARACAS</t>
        </is>
      </c>
      <c r="B17" t="inlineStr">
        <is>
          <t>110505</t>
        </is>
      </c>
      <c r="C17" t="inlineStr">
        <is>
          <t>ESTAÑO</t>
        </is>
      </c>
      <c r="D17" t="inlineStr">
        <is>
          <t>TMF</t>
        </is>
      </c>
      <c r="E17" s="11" t="n">
        <v>2872.3131</v>
      </c>
      <c r="F17" s="16" t="n">
        <v>2872.313125</v>
      </c>
    </row>
    <row r="18">
      <c r="A18" t="inlineStr">
        <is>
          <t>PALCA</t>
        </is>
      </c>
      <c r="B18" t="inlineStr">
        <is>
          <t>230107</t>
        </is>
      </c>
      <c r="C18" t="inlineStr">
        <is>
          <t>ORO</t>
        </is>
      </c>
      <c r="D18" t="inlineStr">
        <is>
          <t>Grs. f.</t>
        </is>
      </c>
      <c r="E18" s="11" t="n">
        <v>129038.2512</v>
      </c>
      <c r="F18" s="16" t="n">
        <v>0.129038</v>
      </c>
    </row>
    <row r="19">
      <c r="A19" t="inlineStr">
        <is>
          <t>PALCA</t>
        </is>
      </c>
      <c r="B19" t="inlineStr">
        <is>
          <t>230107</t>
        </is>
      </c>
      <c r="C19" t="inlineStr">
        <is>
          <t>PLATA</t>
        </is>
      </c>
      <c r="D19" t="inlineStr">
        <is>
          <t>Kg. f.</t>
        </is>
      </c>
      <c r="E19" s="11" t="n">
        <v>202.6672</v>
      </c>
      <c r="F19" s="16" t="n">
        <v>0.202667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Nexa Resources Perú — Producción por distrito y exposición asignada</t>
        </is>
      </c>
    </row>
    <row r="2">
      <c r="A2" s="2" t="inlineStr">
        <is>
          <t>Producción total: 53,278.98 TMF   ·   Exposición en cartera: S/ 279,264,750   ·   Asignación: tmf_share</t>
        </is>
      </c>
    </row>
    <row r="4">
      <c r="A4" s="3" t="inlineStr">
        <is>
          <t>Departamento</t>
        </is>
      </c>
      <c r="B4" s="3" t="inlineStr">
        <is>
          <t>Provincia</t>
        </is>
      </c>
      <c r="C4" s="3" t="inlineStr">
        <is>
          <t>Distrito</t>
        </is>
      </c>
      <c r="D4" s="3" t="inlineStr">
        <is>
          <t>Ubigeo</t>
        </is>
      </c>
      <c r="E4" s="3" t="inlineStr">
        <is>
          <t>Unidades mineras</t>
        </is>
      </c>
      <c r="F4" s="3" t="inlineStr">
        <is>
          <t>Producción (TMF)</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LURIGANCHO</t>
        </is>
      </c>
      <c r="D5" t="inlineStr">
        <is>
          <t>150118</t>
        </is>
      </c>
      <c r="E5" t="inlineStr">
        <is>
          <t>REFINERIA DE ZINC CAJAMARQUILLA</t>
        </is>
      </c>
      <c r="F5" s="11" t="n">
        <v>31287.374</v>
      </c>
      <c r="G5" s="6">
        <f>IF($F$8=0,0,F5/$F$8)</f>
        <v/>
      </c>
      <c r="H5" s="5" t="n">
        <v>133847272.7</v>
      </c>
      <c r="I5" t="n">
        <v>5</v>
      </c>
      <c r="J5" t="n">
        <v>4</v>
      </c>
      <c r="L5" s="5" t="n">
        <v>602312727.16</v>
      </c>
    </row>
    <row r="6">
      <c r="A6" t="inlineStr">
        <is>
          <t>ICA</t>
        </is>
      </c>
      <c r="B6" t="inlineStr">
        <is>
          <t>CHINCHA</t>
        </is>
      </c>
      <c r="C6" t="inlineStr">
        <is>
          <t>CHAVIN</t>
        </is>
      </c>
      <c r="D6" t="inlineStr">
        <is>
          <t>110203</t>
        </is>
      </c>
      <c r="E6" t="inlineStr">
        <is>
          <t>CERRO LINDO</t>
        </is>
      </c>
      <c r="F6" s="11" t="n">
        <v>11977.8818</v>
      </c>
      <c r="G6" s="6">
        <f>IF($F$8=0,0,F6/$F$8)</f>
        <v/>
      </c>
      <c r="H6" s="5" t="n">
        <v>51241334.78</v>
      </c>
      <c r="I6" t="n">
        <v>4</v>
      </c>
      <c r="J6" t="n">
        <v>1</v>
      </c>
      <c r="K6" t="n">
        <v>4</v>
      </c>
      <c r="L6" s="5" t="n">
        <v>153724004.35</v>
      </c>
    </row>
    <row r="7">
      <c r="A7" t="inlineStr">
        <is>
          <t>PASCO</t>
        </is>
      </c>
      <c r="B7" t="inlineStr">
        <is>
          <t>PASCO</t>
        </is>
      </c>
      <c r="C7" t="inlineStr">
        <is>
          <t>SAN FRANCISCO DE ASIS DE YARUSYACAN</t>
        </is>
      </c>
      <c r="D7" t="inlineStr">
        <is>
          <t>190108</t>
        </is>
      </c>
      <c r="E7" t="inlineStr">
        <is>
          <t>ACUMULACION AQUILES 101, CHICRIN Nº 2</t>
        </is>
      </c>
      <c r="F7" s="11" t="n">
        <v>10013.7269</v>
      </c>
      <c r="G7" s="6">
        <f>IF($F$8=0,0,F7/$F$8)</f>
        <v/>
      </c>
      <c r="H7" s="5" t="n">
        <v>42838687.28</v>
      </c>
      <c r="I7" t="n">
        <v>4</v>
      </c>
      <c r="J7" t="n">
        <v>2</v>
      </c>
      <c r="K7" t="n">
        <v>3</v>
      </c>
      <c r="L7" s="5" t="n">
        <v>128516061.83</v>
      </c>
    </row>
    <row r="8">
      <c r="A8" s="12" t="inlineStr">
        <is>
          <t>TOTAL</t>
        </is>
      </c>
      <c r="B8" t="inlineStr"/>
      <c r="C8" t="inlineStr"/>
      <c r="D8" t="inlineStr"/>
      <c r="E8" t="inlineStr"/>
      <c r="F8" s="13">
        <f>SUM(F5:F7)</f>
        <v/>
      </c>
      <c r="G8" t="inlineStr"/>
      <c r="H8" s="14">
        <f>SUM(H5:H7)</f>
        <v/>
      </c>
      <c r="I8" t="inlineStr"/>
      <c r="J8" t="inlineStr"/>
      <c r="K8" t="inlineStr"/>
      <c r="L8" s="14">
        <f>SUM(L5:L7)</f>
        <v/>
      </c>
    </row>
    <row r="11">
      <c r="A11" s="15" t="inlineStr">
        <is>
          <t>Detalle por mineral (unidad original)</t>
        </is>
      </c>
    </row>
    <row r="12">
      <c r="A12" s="3" t="inlineStr">
        <is>
          <t>Distrito</t>
        </is>
      </c>
      <c r="B12" s="3" t="inlineStr">
        <is>
          <t>Ubigeo</t>
        </is>
      </c>
      <c r="C12" s="3" t="inlineStr">
        <is>
          <t>Mineral</t>
        </is>
      </c>
      <c r="D12" s="3" t="inlineStr">
        <is>
          <t>Unidad</t>
        </is>
      </c>
      <c r="E12" s="3" t="inlineStr">
        <is>
          <t>Cantidad (orig.)</t>
        </is>
      </c>
      <c r="F12" s="3" t="inlineStr">
        <is>
          <t>TMF equiv.</t>
        </is>
      </c>
    </row>
    <row r="13">
      <c r="A13" t="inlineStr">
        <is>
          <t>LURIGANCHO</t>
        </is>
      </c>
      <c r="B13" t="inlineStr">
        <is>
          <t>150118</t>
        </is>
      </c>
      <c r="C13" t="inlineStr">
        <is>
          <t>CADMIO</t>
        </is>
      </c>
      <c r="D13" t="inlineStr">
        <is>
          <t>TMF</t>
        </is>
      </c>
      <c r="E13" s="11" t="n">
        <v>61.0921</v>
      </c>
      <c r="F13" s="16" t="n">
        <v>61.092057</v>
      </c>
    </row>
    <row r="14">
      <c r="A14" t="inlineStr">
        <is>
          <t>LURIGANCHO</t>
        </is>
      </c>
      <c r="B14" t="inlineStr">
        <is>
          <t>150118</t>
        </is>
      </c>
      <c r="C14" t="inlineStr">
        <is>
          <t>COBRE</t>
        </is>
      </c>
      <c r="D14" t="inlineStr">
        <is>
          <t>TMF</t>
        </is>
      </c>
      <c r="E14" s="11" t="n">
        <v>430.5431</v>
      </c>
      <c r="F14" s="16" t="n">
        <v>430.54314</v>
      </c>
    </row>
    <row r="15">
      <c r="A15" t="inlineStr">
        <is>
          <t>LURIGANCHO</t>
        </is>
      </c>
      <c r="B15" t="inlineStr">
        <is>
          <t>150118</t>
        </is>
      </c>
      <c r="C15" t="inlineStr">
        <is>
          <t>PLATA</t>
        </is>
      </c>
      <c r="D15" t="inlineStr">
        <is>
          <t>Kg. f.</t>
        </is>
      </c>
      <c r="E15" s="11" t="n">
        <v>4237.3511</v>
      </c>
      <c r="F15" s="16" t="n">
        <v>4.237351</v>
      </c>
    </row>
    <row r="16">
      <c r="A16" t="inlineStr">
        <is>
          <t>LURIGANCHO</t>
        </is>
      </c>
      <c r="B16" t="inlineStr">
        <is>
          <t>150118</t>
        </is>
      </c>
      <c r="C16" t="inlineStr">
        <is>
          <t>ZINC</t>
        </is>
      </c>
      <c r="D16" t="inlineStr">
        <is>
          <t>TMF</t>
        </is>
      </c>
      <c r="E16" s="11" t="n">
        <v>30791.5015</v>
      </c>
      <c r="F16" s="16" t="n">
        <v>30791.501496</v>
      </c>
    </row>
    <row r="17">
      <c r="A17" t="inlineStr">
        <is>
          <t>CHAVIN</t>
        </is>
      </c>
      <c r="B17" t="inlineStr">
        <is>
          <t>110203</t>
        </is>
      </c>
      <c r="C17" t="inlineStr">
        <is>
          <t>COBRE</t>
        </is>
      </c>
      <c r="D17" t="inlineStr">
        <is>
          <t>TMF</t>
        </is>
      </c>
      <c r="E17" s="11" t="n">
        <v>2350.9662</v>
      </c>
      <c r="F17" s="16" t="n">
        <v>2350.9662</v>
      </c>
    </row>
    <row r="18">
      <c r="A18" t="inlineStr">
        <is>
          <t>CHAVIN</t>
        </is>
      </c>
      <c r="B18" t="inlineStr">
        <is>
          <t>110203</t>
        </is>
      </c>
      <c r="C18" t="inlineStr">
        <is>
          <t>PLATA</t>
        </is>
      </c>
      <c r="D18" t="inlineStr">
        <is>
          <t>Kg. f.</t>
        </is>
      </c>
      <c r="E18" s="11" t="n">
        <v>10976.872</v>
      </c>
      <c r="F18" s="16" t="n">
        <v>10.976872</v>
      </c>
    </row>
    <row r="19">
      <c r="A19" t="inlineStr">
        <is>
          <t>CHAVIN</t>
        </is>
      </c>
      <c r="B19" t="inlineStr">
        <is>
          <t>110203</t>
        </is>
      </c>
      <c r="C19" t="inlineStr">
        <is>
          <t>PLOMO</t>
        </is>
      </c>
      <c r="D19" t="inlineStr">
        <is>
          <t>TMF</t>
        </is>
      </c>
      <c r="E19" s="11" t="n">
        <v>1183.8267</v>
      </c>
      <c r="F19" s="16" t="n">
        <v>1183.8267</v>
      </c>
    </row>
    <row r="20">
      <c r="A20" t="inlineStr">
        <is>
          <t>CHAVIN</t>
        </is>
      </c>
      <c r="B20" t="inlineStr">
        <is>
          <t>110203</t>
        </is>
      </c>
      <c r="C20" t="inlineStr">
        <is>
          <t>ZINC</t>
        </is>
      </c>
      <c r="D20" t="inlineStr">
        <is>
          <t>TMF</t>
        </is>
      </c>
      <c r="E20" s="11" t="n">
        <v>8432.111999999999</v>
      </c>
      <c r="F20" s="16" t="n">
        <v>8432.111999999999</v>
      </c>
    </row>
    <row r="21">
      <c r="A21" t="inlineStr">
        <is>
          <t>SAN FRANCISCO DE ASIS DE YARUSYACAN</t>
        </is>
      </c>
      <c r="B21" t="inlineStr">
        <is>
          <t>190108</t>
        </is>
      </c>
      <c r="C21" t="inlineStr">
        <is>
          <t>BISMUTO</t>
        </is>
      </c>
      <c r="D21" t="inlineStr">
        <is>
          <t>TMF</t>
        </is>
      </c>
      <c r="E21" s="11" t="n">
        <v>20.3257</v>
      </c>
      <c r="F21" s="16" t="n">
        <v>20.325702</v>
      </c>
    </row>
    <row r="22">
      <c r="A22" t="inlineStr">
        <is>
          <t>SAN FRANCISCO DE ASIS DE YARUSYACAN</t>
        </is>
      </c>
      <c r="B22" t="inlineStr">
        <is>
          <t>190108</t>
        </is>
      </c>
      <c r="C22" t="inlineStr">
        <is>
          <t>COBRE</t>
        </is>
      </c>
      <c r="D22" t="inlineStr">
        <is>
          <t>TMF</t>
        </is>
      </c>
      <c r="E22" s="11" t="n">
        <v>293.073</v>
      </c>
      <c r="F22" s="16" t="n">
        <v>293.072958</v>
      </c>
    </row>
    <row r="23">
      <c r="A23" t="inlineStr">
        <is>
          <t>SAN FRANCISCO DE ASIS DE YARUSYACAN</t>
        </is>
      </c>
      <c r="B23" t="inlineStr">
        <is>
          <t>190108</t>
        </is>
      </c>
      <c r="C23" t="inlineStr">
        <is>
          <t>ORO</t>
        </is>
      </c>
      <c r="D23" t="inlineStr">
        <is>
          <t>Grs. f.</t>
        </is>
      </c>
      <c r="E23" s="11" t="n">
        <v>56493.2043</v>
      </c>
      <c r="F23" s="16" t="n">
        <v>0.056493</v>
      </c>
    </row>
    <row r="24">
      <c r="A24" t="inlineStr">
        <is>
          <t>SAN FRANCISCO DE ASIS DE YARUSYACAN</t>
        </is>
      </c>
      <c r="B24" t="inlineStr">
        <is>
          <t>190108</t>
        </is>
      </c>
      <c r="C24" t="inlineStr">
        <is>
          <t>PLATA</t>
        </is>
      </c>
      <c r="D24" t="inlineStr">
        <is>
          <t>Kg. f.</t>
        </is>
      </c>
      <c r="E24" s="11" t="n">
        <v>15874.5529</v>
      </c>
      <c r="F24" s="16" t="n">
        <v>15.874553</v>
      </c>
    </row>
    <row r="25">
      <c r="A25" t="inlineStr">
        <is>
          <t>SAN FRANCISCO DE ASIS DE YARUSYACAN</t>
        </is>
      </c>
      <c r="B25" t="inlineStr">
        <is>
          <t>190108</t>
        </is>
      </c>
      <c r="C25" t="inlineStr">
        <is>
          <t>PLOMO</t>
        </is>
      </c>
      <c r="D25" t="inlineStr">
        <is>
          <t>TMF</t>
        </is>
      </c>
      <c r="E25" s="11" t="n">
        <v>3761.3991</v>
      </c>
      <c r="F25" s="16" t="n">
        <v>3761.39907</v>
      </c>
    </row>
    <row r="26">
      <c r="A26" t="inlineStr">
        <is>
          <t>SAN FRANCISCO DE ASIS DE YARUSYACAN</t>
        </is>
      </c>
      <c r="B26" t="inlineStr">
        <is>
          <t>190108</t>
        </is>
      </c>
      <c r="C26" t="inlineStr">
        <is>
          <t>ZINC</t>
        </is>
      </c>
      <c r="D26" t="inlineStr">
        <is>
          <t>TMF</t>
        </is>
      </c>
      <c r="E26" s="11" t="n">
        <v>5922.9981</v>
      </c>
      <c r="F26" s="16" t="n">
        <v>5922.998103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Hochschild — Producción por distrito y exposición asignada</t>
        </is>
      </c>
    </row>
    <row r="2">
      <c r="A2" s="2" t="inlineStr">
        <is>
          <t>Producción total: 15.21 TMF   ·   Exposición en cartera: S/ 0   ·   Asignación: tmf_share</t>
        </is>
      </c>
    </row>
    <row r="4">
      <c r="A4" s="3" t="inlineStr">
        <is>
          <t>Departamento</t>
        </is>
      </c>
      <c r="B4" s="3" t="inlineStr">
        <is>
          <t>Provincia</t>
        </is>
      </c>
      <c r="C4" s="3" t="inlineStr">
        <is>
          <t>Distrito</t>
        </is>
      </c>
      <c r="D4" s="3" t="inlineStr">
        <is>
          <t>Ubigeo</t>
        </is>
      </c>
      <c r="E4" s="3" t="inlineStr">
        <is>
          <t>Unidades mineras</t>
        </is>
      </c>
      <c r="F4" s="3" t="inlineStr">
        <is>
          <t>Producción (TMF)</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AYACUCHO</t>
        </is>
      </c>
      <c r="B5" t="inlineStr">
        <is>
          <t>PAUCAR DEL SARA SARA</t>
        </is>
      </c>
      <c r="C5" t="inlineStr">
        <is>
          <t>OYOLO</t>
        </is>
      </c>
      <c r="D5" t="inlineStr">
        <is>
          <t>050806</t>
        </is>
      </c>
      <c r="E5" t="inlineStr">
        <is>
          <t>INMACULADA</t>
        </is>
      </c>
      <c r="F5" s="11" t="n">
        <v>15.2102</v>
      </c>
      <c r="G5" s="6">
        <f>IF($F$6=0,0,F5/$F$6)</f>
        <v/>
      </c>
      <c r="H5" s="5" t="n">
        <v>0</v>
      </c>
      <c r="L5" s="5" t="n">
        <v>0</v>
      </c>
    </row>
    <row r="6">
      <c r="A6" s="12" t="inlineStr">
        <is>
          <t>TOTAL</t>
        </is>
      </c>
      <c r="B6" t="inlineStr"/>
      <c r="C6" t="inlineStr"/>
      <c r="D6" t="inlineStr"/>
      <c r="E6" t="inlineStr"/>
      <c r="F6" s="13">
        <f>SUM(F5:F5)</f>
        <v/>
      </c>
      <c r="G6" t="inlineStr"/>
      <c r="H6" s="14">
        <f>SUM(H5:H5)</f>
        <v/>
      </c>
      <c r="I6" t="inlineStr"/>
      <c r="J6" t="inlineStr"/>
      <c r="K6" t="inlineStr"/>
      <c r="L6" s="14">
        <f>SUM(L5:L5)</f>
        <v/>
      </c>
    </row>
    <row r="9">
      <c r="A9" s="15" t="inlineStr">
        <is>
          <t>Detalle por mineral (unidad original)</t>
        </is>
      </c>
    </row>
    <row r="10">
      <c r="A10" s="3" t="inlineStr">
        <is>
          <t>Distrito</t>
        </is>
      </c>
      <c r="B10" s="3" t="inlineStr">
        <is>
          <t>Ubigeo</t>
        </is>
      </c>
      <c r="C10" s="3" t="inlineStr">
        <is>
          <t>Mineral</t>
        </is>
      </c>
      <c r="D10" s="3" t="inlineStr">
        <is>
          <t>Unidad</t>
        </is>
      </c>
      <c r="E10" s="3" t="inlineStr">
        <is>
          <t>Cantidad (orig.)</t>
        </is>
      </c>
      <c r="F10" s="3" t="inlineStr">
        <is>
          <t>TMF equiv.</t>
        </is>
      </c>
    </row>
    <row r="11">
      <c r="A11" t="inlineStr">
        <is>
          <t>OYOLO</t>
        </is>
      </c>
      <c r="B11" t="inlineStr">
        <is>
          <t>050806</t>
        </is>
      </c>
      <c r="C11" t="inlineStr">
        <is>
          <t>ORO</t>
        </is>
      </c>
      <c r="D11" t="inlineStr">
        <is>
          <t>Grs. f.</t>
        </is>
      </c>
      <c r="E11" s="11" t="n">
        <v>360819</v>
      </c>
      <c r="F11" s="16" t="n">
        <v>0.360819</v>
      </c>
    </row>
    <row r="12">
      <c r="A12" t="inlineStr">
        <is>
          <t>OYOLO</t>
        </is>
      </c>
      <c r="B12" t="inlineStr">
        <is>
          <t>050806</t>
        </is>
      </c>
      <c r="C12" t="inlineStr">
        <is>
          <t>PLATA</t>
        </is>
      </c>
      <c r="D12" t="inlineStr">
        <is>
          <t>Kg. f.</t>
        </is>
      </c>
      <c r="E12" s="11" t="n">
        <v>14849.3372</v>
      </c>
      <c r="F12" s="16" t="n">
        <v>14.849337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Cerro Verde — Producción por distrito y exposición asignada</t>
        </is>
      </c>
    </row>
    <row r="2">
      <c r="A2" s="2" t="inlineStr">
        <is>
          <t>Producción total: 32,391.92 TMF   ·   Exposición en cartera: S/ 0   ·   Asignación: tmf_share</t>
        </is>
      </c>
    </row>
    <row r="4">
      <c r="A4" s="3" t="inlineStr">
        <is>
          <t>Departamento</t>
        </is>
      </c>
      <c r="B4" s="3" t="inlineStr">
        <is>
          <t>Provincia</t>
        </is>
      </c>
      <c r="C4" s="3" t="inlineStr">
        <is>
          <t>Distrito</t>
        </is>
      </c>
      <c r="D4" s="3" t="inlineStr">
        <is>
          <t>Ubigeo</t>
        </is>
      </c>
      <c r="E4" s="3" t="inlineStr">
        <is>
          <t>Unidades mineras</t>
        </is>
      </c>
      <c r="F4" s="3" t="inlineStr">
        <is>
          <t>Producción (TMF)</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AREQUIPA</t>
        </is>
      </c>
      <c r="B5" t="inlineStr">
        <is>
          <t>AREQUIPA</t>
        </is>
      </c>
      <c r="C5" t="inlineStr">
        <is>
          <t>YARABAMBA</t>
        </is>
      </c>
      <c r="D5" t="inlineStr">
        <is>
          <t>040127</t>
        </is>
      </c>
      <c r="E5" t="inlineStr">
        <is>
          <t>PLANTA DE BENEFICIO CERRO VERDE</t>
        </is>
      </c>
      <c r="F5" s="11" t="n">
        <v>32391.9176</v>
      </c>
      <c r="G5" s="6">
        <f>IF($F$6=0,0,F5/$F$6)</f>
        <v/>
      </c>
      <c r="H5" s="5" t="n">
        <v>0</v>
      </c>
      <c r="L5" s="5" t="n">
        <v>0</v>
      </c>
    </row>
    <row r="6">
      <c r="A6" s="12" t="inlineStr">
        <is>
          <t>TOTAL</t>
        </is>
      </c>
      <c r="B6" t="inlineStr"/>
      <c r="C6" t="inlineStr"/>
      <c r="D6" t="inlineStr"/>
      <c r="E6" t="inlineStr"/>
      <c r="F6" s="13">
        <f>SUM(F5:F5)</f>
        <v/>
      </c>
      <c r="G6" t="inlineStr"/>
      <c r="H6" s="14">
        <f>SUM(H5:H5)</f>
        <v/>
      </c>
      <c r="I6" t="inlineStr"/>
      <c r="J6" t="inlineStr"/>
      <c r="K6" t="inlineStr"/>
      <c r="L6" s="14">
        <f>SUM(L5:L5)</f>
        <v/>
      </c>
    </row>
    <row r="9">
      <c r="A9" s="15" t="inlineStr">
        <is>
          <t>Detalle por mineral (unidad original)</t>
        </is>
      </c>
    </row>
    <row r="10">
      <c r="A10" s="3" t="inlineStr">
        <is>
          <t>Distrito</t>
        </is>
      </c>
      <c r="B10" s="3" t="inlineStr">
        <is>
          <t>Ubigeo</t>
        </is>
      </c>
      <c r="C10" s="3" t="inlineStr">
        <is>
          <t>Mineral</t>
        </is>
      </c>
      <c r="D10" s="3" t="inlineStr">
        <is>
          <t>Unidad</t>
        </is>
      </c>
      <c r="E10" s="3" t="inlineStr">
        <is>
          <t>Cantidad (orig.)</t>
        </is>
      </c>
      <c r="F10" s="3" t="inlineStr">
        <is>
          <t>TMF equiv.</t>
        </is>
      </c>
    </row>
    <row r="11">
      <c r="A11" t="inlineStr">
        <is>
          <t>YARABAMBA</t>
        </is>
      </c>
      <c r="B11" t="inlineStr">
        <is>
          <t>040127</t>
        </is>
      </c>
      <c r="C11" t="inlineStr">
        <is>
          <t>COBRE</t>
        </is>
      </c>
      <c r="D11" t="inlineStr">
        <is>
          <t>TMF</t>
        </is>
      </c>
      <c r="E11" s="11" t="n">
        <v>31615.3753</v>
      </c>
      <c r="F11" s="16" t="n">
        <v>31615.375297</v>
      </c>
    </row>
    <row r="12">
      <c r="A12" t="inlineStr">
        <is>
          <t>YARABAMBA</t>
        </is>
      </c>
      <c r="B12" t="inlineStr">
        <is>
          <t>040127</t>
        </is>
      </c>
      <c r="C12" t="inlineStr">
        <is>
          <t>MOLIBDENO</t>
        </is>
      </c>
      <c r="D12" t="inlineStr">
        <is>
          <t>TMF</t>
        </is>
      </c>
      <c r="E12" s="11" t="n">
        <v>776.5423</v>
      </c>
      <c r="F12" s="16" t="n">
        <v>776.542325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Hudbay — Producción por distrito y exposición asignada</t>
        </is>
      </c>
    </row>
    <row r="2">
      <c r="A2" s="2" t="inlineStr">
        <is>
          <t>Producción total: 6,007.08 TMF   ·   Exposición en cartera: S/ 0   ·   Asignación: tmf_share</t>
        </is>
      </c>
    </row>
    <row r="4">
      <c r="A4" s="3" t="inlineStr">
        <is>
          <t>Departamento</t>
        </is>
      </c>
      <c r="B4" s="3" t="inlineStr">
        <is>
          <t>Provincia</t>
        </is>
      </c>
      <c r="C4" s="3" t="inlineStr">
        <is>
          <t>Distrito</t>
        </is>
      </c>
      <c r="D4" s="3" t="inlineStr">
        <is>
          <t>Ubigeo</t>
        </is>
      </c>
      <c r="E4" s="3" t="inlineStr">
        <is>
          <t>Unidades mineras</t>
        </is>
      </c>
      <c r="F4" s="3" t="inlineStr">
        <is>
          <t>Producción (TMF)</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CUSCO</t>
        </is>
      </c>
      <c r="B5" t="inlineStr">
        <is>
          <t>CHUMBIVILCAS</t>
        </is>
      </c>
      <c r="C5" t="inlineStr">
        <is>
          <t>VELILLE</t>
        </is>
      </c>
      <c r="D5" t="inlineStr">
        <is>
          <t>080708</t>
        </is>
      </c>
      <c r="E5" t="inlineStr">
        <is>
          <t>CONSTANCIA</t>
        </is>
      </c>
      <c r="F5" s="11" t="n">
        <v>6007.084</v>
      </c>
      <c r="G5" s="6">
        <f>IF($F$6=0,0,F5/$F$6)</f>
        <v/>
      </c>
      <c r="H5" s="5" t="n">
        <v>0</v>
      </c>
      <c r="L5" s="5" t="n">
        <v>0</v>
      </c>
    </row>
    <row r="6">
      <c r="A6" s="12" t="inlineStr">
        <is>
          <t>TOTAL</t>
        </is>
      </c>
      <c r="B6" t="inlineStr"/>
      <c r="C6" t="inlineStr"/>
      <c r="D6" t="inlineStr"/>
      <c r="E6" t="inlineStr"/>
      <c r="F6" s="13">
        <f>SUM(F5:F5)</f>
        <v/>
      </c>
      <c r="G6" t="inlineStr"/>
      <c r="H6" s="14">
        <f>SUM(H5:H5)</f>
        <v/>
      </c>
      <c r="I6" t="inlineStr"/>
      <c r="J6" t="inlineStr"/>
      <c r="K6" t="inlineStr"/>
      <c r="L6" s="14">
        <f>SUM(L5:L5)</f>
        <v/>
      </c>
    </row>
    <row r="9">
      <c r="A9" s="15" t="inlineStr">
        <is>
          <t>Detalle por mineral (unidad original)</t>
        </is>
      </c>
    </row>
    <row r="10">
      <c r="A10" s="3" t="inlineStr">
        <is>
          <t>Distrito</t>
        </is>
      </c>
      <c r="B10" s="3" t="inlineStr">
        <is>
          <t>Ubigeo</t>
        </is>
      </c>
      <c r="C10" s="3" t="inlineStr">
        <is>
          <t>Mineral</t>
        </is>
      </c>
      <c r="D10" s="3" t="inlineStr">
        <is>
          <t>Unidad</t>
        </is>
      </c>
      <c r="E10" s="3" t="inlineStr">
        <is>
          <t>Cantidad (orig.)</t>
        </is>
      </c>
      <c r="F10" s="3" t="inlineStr">
        <is>
          <t>TMF equiv.</t>
        </is>
      </c>
    </row>
    <row r="11">
      <c r="A11" t="inlineStr">
        <is>
          <t>VELILLE</t>
        </is>
      </c>
      <c r="B11" t="inlineStr">
        <is>
          <t>080708</t>
        </is>
      </c>
      <c r="C11" t="inlineStr">
        <is>
          <t>COBRE</t>
        </is>
      </c>
      <c r="D11" t="inlineStr">
        <is>
          <t>TMF</t>
        </is>
      </c>
      <c r="E11" s="11" t="n">
        <v>5920.4644</v>
      </c>
      <c r="F11" s="16" t="n">
        <v>5920.464425</v>
      </c>
    </row>
    <row r="12">
      <c r="A12" t="inlineStr">
        <is>
          <t>VELILLE</t>
        </is>
      </c>
      <c r="B12" t="inlineStr">
        <is>
          <t>080708</t>
        </is>
      </c>
      <c r="C12" t="inlineStr">
        <is>
          <t>MOLIBDENO</t>
        </is>
      </c>
      <c r="D12" t="inlineStr">
        <is>
          <t>TMF</t>
        </is>
      </c>
      <c r="E12" s="11" t="n">
        <v>81.07769999999999</v>
      </c>
      <c r="F12" s="16" t="n">
        <v>81.077662</v>
      </c>
    </row>
    <row r="13">
      <c r="A13" t="inlineStr">
        <is>
          <t>VELILLE</t>
        </is>
      </c>
      <c r="B13" t="inlineStr">
        <is>
          <t>080708</t>
        </is>
      </c>
      <c r="C13" t="inlineStr">
        <is>
          <t>ORO</t>
        </is>
      </c>
      <c r="D13" t="inlineStr">
        <is>
          <t>Grs. f.</t>
        </is>
      </c>
      <c r="E13" s="11" t="n">
        <v>191002.9332</v>
      </c>
      <c r="F13" s="16" t="n">
        <v>0.191003</v>
      </c>
    </row>
    <row r="14">
      <c r="A14" t="inlineStr">
        <is>
          <t>VELILLE</t>
        </is>
      </c>
      <c r="B14" t="inlineStr">
        <is>
          <t>080708</t>
        </is>
      </c>
      <c r="C14" t="inlineStr">
        <is>
          <t>PLATA</t>
        </is>
      </c>
      <c r="D14" t="inlineStr">
        <is>
          <t>Kg. f.</t>
        </is>
      </c>
      <c r="E14" s="11" t="n">
        <v>5350.8736</v>
      </c>
      <c r="F14" s="16" t="n">
        <v>5.350874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72"/>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Intercorp Perú — Créditos colocados por distrito y exposición asignada</t>
        </is>
      </c>
    </row>
    <row r="2">
      <c r="A2" s="2" t="inlineStr">
        <is>
          <t>Créditos colocados total: 49,530,942.83 Miles S/   ·   Exposición en cartera: S/ 92,457,702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LIMA</t>
        </is>
      </c>
      <c r="D5" t="inlineStr">
        <is>
          <t>150101</t>
        </is>
      </c>
      <c r="E5" t="inlineStr">
        <is>
          <t>Inkafarma 2 de Mayo, Inkafarma Elio, Inkafarma Riva Agüero, Inkafarma Uruguay, MiFarma Aviación, MiFarma Huallaga, MiFarma Miguel Iglesias, MiFarma Tacna, MiFarma Unión</t>
        </is>
      </c>
      <c r="F5" s="11" t="n">
        <v>22385471.5266</v>
      </c>
      <c r="G5" s="6">
        <f>IF($F$125=0,0,F5/$F$125)</f>
        <v/>
      </c>
      <c r="H5" s="5" t="n">
        <v>25071712.85</v>
      </c>
      <c r="I5" t="n">
        <v>2</v>
      </c>
      <c r="J5" t="n">
        <v>4</v>
      </c>
      <c r="L5" s="5" t="n">
        <v>75215138.55</v>
      </c>
    </row>
    <row r="6">
      <c r="A6" t="inlineStr">
        <is>
          <t>LIMA</t>
        </is>
      </c>
      <c r="B6" t="inlineStr">
        <is>
          <t>LIMA</t>
        </is>
      </c>
      <c r="C6" t="inlineStr">
        <is>
          <t>SAN ISIDRO</t>
        </is>
      </c>
      <c r="D6" t="inlineStr">
        <is>
          <t>150131</t>
        </is>
      </c>
      <c r="E6" t="inlineStr">
        <is>
          <t>Inkafarma Ignacio Merino, Inkafarma Llano Zapata, MiFarma Aramburú, Vivanda Dos de Mayo, Vivanda Libertadores, Vivanda Pezet</t>
        </is>
      </c>
      <c r="F6" s="11" t="n">
        <v>7856949.2896</v>
      </c>
      <c r="G6" s="6">
        <f>IF($F$125=0,0,F6/$F$125)</f>
        <v/>
      </c>
      <c r="H6" s="5" t="n">
        <v>8799777.85</v>
      </c>
      <c r="I6" t="n">
        <v>1</v>
      </c>
      <c r="J6" t="n">
        <v>4</v>
      </c>
      <c r="L6" s="5" t="n">
        <v>21999444.62</v>
      </c>
    </row>
    <row r="7">
      <c r="A7" t="inlineStr">
        <is>
          <t>LIMA</t>
        </is>
      </c>
      <c r="B7" t="inlineStr">
        <is>
          <t>LIMA</t>
        </is>
      </c>
      <c r="C7" t="inlineStr">
        <is>
          <t>LA VICTORIA</t>
        </is>
      </c>
      <c r="D7" t="inlineStr">
        <is>
          <t>150115</t>
        </is>
      </c>
      <c r="E7" t="inlineStr">
        <is>
          <t>Inkafarma Bausate y Meza, Inkafarma Canadá, MiFarma Alzamora 147, MiFarma Canadá 903, MiFarma México, MiFarma Víctor Alzamora</t>
        </is>
      </c>
      <c r="F7" s="11" t="n">
        <v>6681545.7373</v>
      </c>
      <c r="G7" s="6">
        <f>IF($F$125=0,0,F7/$F$125)</f>
        <v/>
      </c>
      <c r="H7" s="5" t="n">
        <v>7483326.67</v>
      </c>
      <c r="I7" t="n">
        <v>1</v>
      </c>
      <c r="J7" t="n">
        <v>3</v>
      </c>
      <c r="L7" s="5" t="n">
        <v>14966653.34</v>
      </c>
    </row>
    <row r="8">
      <c r="A8" t="inlineStr">
        <is>
          <t>LA LIBERTAD</t>
        </is>
      </c>
      <c r="B8" t="inlineStr">
        <is>
          <t>TRUJILLO</t>
        </is>
      </c>
      <c r="C8" t="inlineStr">
        <is>
          <t>TRUJILLO</t>
        </is>
      </c>
      <c r="D8" t="inlineStr">
        <is>
          <t>130101</t>
        </is>
      </c>
      <c r="E8" t="inlineStr">
        <is>
          <t>Makro Trujillo, Mall Plaza Trujillo</t>
        </is>
      </c>
      <c r="F8" s="11" t="n">
        <v>1647816.371</v>
      </c>
      <c r="G8" s="6">
        <f>IF($F$125=0,0,F8/$F$125)</f>
        <v/>
      </c>
      <c r="H8" s="5" t="n">
        <v>1845553.21</v>
      </c>
      <c r="I8" t="n">
        <v>1</v>
      </c>
      <c r="J8" t="n">
        <v>5</v>
      </c>
      <c r="L8" s="5" t="n">
        <v>5536659.64</v>
      </c>
    </row>
    <row r="9">
      <c r="A9" t="inlineStr">
        <is>
          <t>LIMA</t>
        </is>
      </c>
      <c r="B9" t="inlineStr">
        <is>
          <t>LIMA</t>
        </is>
      </c>
      <c r="C9" t="inlineStr">
        <is>
          <t>SANTIAGO DE SURCO</t>
        </is>
      </c>
      <c r="D9" t="inlineStr">
        <is>
          <t>150140</t>
        </is>
      </c>
      <c r="E9" t="inlineStr">
        <is>
          <t>—</t>
        </is>
      </c>
      <c r="F9" s="11" t="n">
        <v>705927.7001</v>
      </c>
      <c r="G9" s="6">
        <f>IF($F$125=0,0,F9/$F$125)</f>
        <v/>
      </c>
      <c r="H9" s="5" t="n">
        <v>790638.54</v>
      </c>
      <c r="I9" t="n">
        <v>1</v>
      </c>
      <c r="J9" t="n">
        <v>3</v>
      </c>
      <c r="L9" s="5" t="n">
        <v>1581277.09</v>
      </c>
    </row>
    <row r="10">
      <c r="A10" t="inlineStr">
        <is>
          <t>AREQUIPA</t>
        </is>
      </c>
      <c r="B10" t="inlineStr">
        <is>
          <t>AREQUIPA</t>
        </is>
      </c>
      <c r="C10" t="inlineStr">
        <is>
          <t>AREQUIPA</t>
        </is>
      </c>
      <c r="D10" t="inlineStr">
        <is>
          <t>040101</t>
        </is>
      </c>
      <c r="E10" t="inlineStr">
        <is>
          <t>—</t>
        </is>
      </c>
      <c r="F10" s="11" t="n">
        <v>637519.2946</v>
      </c>
      <c r="G10" s="6">
        <f>IF($F$125=0,0,F10/$F$125)</f>
        <v/>
      </c>
      <c r="H10" s="5" t="n">
        <v>714021.1800000001</v>
      </c>
      <c r="I10" t="n">
        <v>2</v>
      </c>
      <c r="J10" t="n">
        <v>5</v>
      </c>
      <c r="L10" s="5" t="n">
        <v>2499074.11</v>
      </c>
    </row>
    <row r="11">
      <c r="A11" t="inlineStr">
        <is>
          <t>LAMBAYEQUE</t>
        </is>
      </c>
      <c r="B11" t="inlineStr">
        <is>
          <t>CHICLAYO</t>
        </is>
      </c>
      <c r="C11" t="inlineStr">
        <is>
          <t>CHICLAYO</t>
        </is>
      </c>
      <c r="D11" t="inlineStr">
        <is>
          <t>140101</t>
        </is>
      </c>
      <c r="E11" t="inlineStr">
        <is>
          <t>Makro Chiclayo, Mall Plaza Chiclayo</t>
        </is>
      </c>
      <c r="F11" s="11" t="n">
        <v>577316.63</v>
      </c>
      <c r="G11" s="6">
        <f>IF($F$125=0,0,F11/$F$125)</f>
        <v/>
      </c>
      <c r="H11" s="5" t="n">
        <v>646594.23</v>
      </c>
      <c r="I11" t="n">
        <v>1</v>
      </c>
      <c r="J11" t="n">
        <v>4</v>
      </c>
      <c r="L11" s="5" t="n">
        <v>1616485.58</v>
      </c>
    </row>
    <row r="12">
      <c r="A12" t="inlineStr">
        <is>
          <t>PIURA</t>
        </is>
      </c>
      <c r="B12" t="inlineStr">
        <is>
          <t>PIURA</t>
        </is>
      </c>
      <c r="C12" t="inlineStr">
        <is>
          <t>PIURA</t>
        </is>
      </c>
      <c r="D12" t="inlineStr">
        <is>
          <t>200101</t>
        </is>
      </c>
      <c r="E12" t="inlineStr">
        <is>
          <t>Mall Plaza Piura</t>
        </is>
      </c>
      <c r="F12" s="11" t="n">
        <v>549051.7502</v>
      </c>
      <c r="G12" s="6">
        <f>IF($F$125=0,0,F12/$F$125)</f>
        <v/>
      </c>
      <c r="H12" s="5" t="n">
        <v>614937.59</v>
      </c>
      <c r="I12" t="n">
        <v>1</v>
      </c>
      <c r="J12" t="n">
        <v>5</v>
      </c>
      <c r="L12" s="5" t="n">
        <v>1844812.76</v>
      </c>
    </row>
    <row r="13">
      <c r="A13" t="inlineStr">
        <is>
          <t>LIMA</t>
        </is>
      </c>
      <c r="B13" t="inlineStr">
        <is>
          <t>LIMA</t>
        </is>
      </c>
      <c r="C13" t="inlineStr">
        <is>
          <t>MIRAFLORES</t>
        </is>
      </c>
      <c r="D13" t="inlineStr">
        <is>
          <t>150122</t>
        </is>
      </c>
      <c r="E13" t="inlineStr">
        <is>
          <t>Inkafarma Arequipa, Inkafarma Benavides 1901, Inkafarma Benavides 425, Inkafarma Pardo, Vivanda Benavides, Vivanda Miraflores, Vivanda Pardo</t>
        </is>
      </c>
      <c r="F13" s="11" t="n">
        <v>543905.1094</v>
      </c>
      <c r="G13" s="6">
        <f>IF($F$125=0,0,F13/$F$125)</f>
        <v/>
      </c>
      <c r="H13" s="5" t="n">
        <v>609173.35</v>
      </c>
      <c r="I13" t="n">
        <v>2</v>
      </c>
      <c r="J13" t="n">
        <v>4</v>
      </c>
      <c r="L13" s="5" t="n">
        <v>1827520.06</v>
      </c>
    </row>
    <row r="14">
      <c r="A14" t="inlineStr">
        <is>
          <t>ICA</t>
        </is>
      </c>
      <c r="B14" t="inlineStr">
        <is>
          <t>ICA</t>
        </is>
      </c>
      <c r="C14" t="inlineStr">
        <is>
          <t>ICA</t>
        </is>
      </c>
      <c r="D14" t="inlineStr">
        <is>
          <t>110101</t>
        </is>
      </c>
      <c r="E14" t="inlineStr">
        <is>
          <t>Inkafarma Sol de Ica, Makro Ica</t>
        </is>
      </c>
      <c r="F14" s="11" t="n">
        <v>477275.9654</v>
      </c>
      <c r="G14" s="6">
        <f>IF($F$125=0,0,F14/$F$125)</f>
        <v/>
      </c>
      <c r="H14" s="5" t="n">
        <v>534548.76</v>
      </c>
      <c r="I14" t="n">
        <v>1</v>
      </c>
      <c r="J14" t="n">
        <v>5</v>
      </c>
      <c r="L14" s="5" t="n">
        <v>1603646.27</v>
      </c>
    </row>
    <row r="15">
      <c r="A15" t="inlineStr">
        <is>
          <t>JUNIN</t>
        </is>
      </c>
      <c r="B15" t="inlineStr">
        <is>
          <t>HUANCAYO</t>
        </is>
      </c>
      <c r="C15" t="inlineStr">
        <is>
          <t>HUANCAYO</t>
        </is>
      </c>
      <c r="D15" t="inlineStr">
        <is>
          <t>120101</t>
        </is>
      </c>
      <c r="E15" t="inlineStr">
        <is>
          <t>Inkafarma Cajamarca, Mall Plaza Huancayo</t>
        </is>
      </c>
      <c r="F15" s="11" t="n">
        <v>344334.1533</v>
      </c>
      <c r="G15" s="6">
        <f>IF($F$125=0,0,F15/$F$125)</f>
        <v/>
      </c>
      <c r="H15" s="5" t="n">
        <v>385654.02</v>
      </c>
      <c r="I15" t="n">
        <v>4</v>
      </c>
      <c r="J15" t="n">
        <v>2</v>
      </c>
      <c r="K15" t="n">
        <v>3</v>
      </c>
      <c r="L15" s="5" t="n">
        <v>1156962.05</v>
      </c>
    </row>
    <row r="16">
      <c r="A16" t="inlineStr">
        <is>
          <t>LIMA</t>
        </is>
      </c>
      <c r="B16" t="inlineStr">
        <is>
          <t>LIMA</t>
        </is>
      </c>
      <c r="C16" t="inlineStr">
        <is>
          <t>SAN BORJA</t>
        </is>
      </c>
      <c r="D16" t="inlineStr">
        <is>
          <t>150130</t>
        </is>
      </c>
      <c r="E16" t="inlineStr">
        <is>
          <t>Inkafarma Angamos, Inkafarma Aviación, Inkafarma San Borja Sur, Inkafarma San Luis</t>
        </is>
      </c>
      <c r="F16" s="11" t="n">
        <v>341077.4555</v>
      </c>
      <c r="G16" s="6">
        <f>IF($F$125=0,0,F16/$F$125)</f>
        <v/>
      </c>
      <c r="H16" s="5" t="n">
        <v>382006.52</v>
      </c>
      <c r="I16" t="n">
        <v>1</v>
      </c>
      <c r="J16" t="n">
        <v>2</v>
      </c>
      <c r="L16" s="5" t="n">
        <v>573009.78</v>
      </c>
    </row>
    <row r="17">
      <c r="A17" t="inlineStr">
        <is>
          <t>CUSCO</t>
        </is>
      </c>
      <c r="B17" t="inlineStr">
        <is>
          <t>CUSCO</t>
        </is>
      </c>
      <c r="C17" t="inlineStr">
        <is>
          <t>CUSCO</t>
        </is>
      </c>
      <c r="D17" t="inlineStr">
        <is>
          <t>080101</t>
        </is>
      </c>
      <c r="E17" t="inlineStr">
        <is>
          <t>Makro Cusco</t>
        </is>
      </c>
      <c r="F17" s="11" t="n">
        <v>327466.2482</v>
      </c>
      <c r="G17" s="6">
        <f>IF($F$125=0,0,F17/$F$125)</f>
        <v/>
      </c>
      <c r="H17" s="5" t="n">
        <v>366761.97</v>
      </c>
      <c r="I17" t="n">
        <v>4</v>
      </c>
      <c r="J17" t="n">
        <v>2</v>
      </c>
      <c r="K17" t="n">
        <v>3</v>
      </c>
      <c r="L17" s="5" t="n">
        <v>1100285.92</v>
      </c>
    </row>
    <row r="18">
      <c r="A18" t="inlineStr">
        <is>
          <t>CAJAMARCA</t>
        </is>
      </c>
      <c r="B18" t="inlineStr">
        <is>
          <t>JAEN</t>
        </is>
      </c>
      <c r="C18" t="inlineStr">
        <is>
          <t>JAEN</t>
        </is>
      </c>
      <c r="D18" t="inlineStr">
        <is>
          <t>060801</t>
        </is>
      </c>
      <c r="E18" t="inlineStr">
        <is>
          <t>—</t>
        </is>
      </c>
      <c r="F18" s="11" t="n">
        <v>287256.4805</v>
      </c>
      <c r="G18" s="6">
        <f>IF($F$125=0,0,F18/$F$125)</f>
        <v/>
      </c>
      <c r="H18" s="5" t="n">
        <v>321727.06</v>
      </c>
      <c r="I18" t="n">
        <v>4</v>
      </c>
      <c r="J18" t="n">
        <v>3</v>
      </c>
      <c r="K18" t="n">
        <v>2</v>
      </c>
      <c r="L18" s="5" t="n">
        <v>965181.1899999999</v>
      </c>
    </row>
    <row r="19">
      <c r="A19" t="inlineStr">
        <is>
          <t>CAJAMARCA</t>
        </is>
      </c>
      <c r="B19" t="inlineStr">
        <is>
          <t>CAJAMARCA</t>
        </is>
      </c>
      <c r="C19" t="inlineStr">
        <is>
          <t>CAJAMARCA</t>
        </is>
      </c>
      <c r="D19" t="inlineStr">
        <is>
          <t>060101</t>
        </is>
      </c>
      <c r="E19" t="inlineStr">
        <is>
          <t>Makro Cajamarca, Mall Plaza Cajamarca</t>
        </is>
      </c>
      <c r="F19" s="11" t="n">
        <v>268308.1283</v>
      </c>
      <c r="G19" s="6">
        <f>IF($F$125=0,0,F19/$F$125)</f>
        <v/>
      </c>
      <c r="H19" s="5" t="n">
        <v>300504.92</v>
      </c>
      <c r="I19" t="n">
        <v>4</v>
      </c>
      <c r="J19" t="n">
        <v>4</v>
      </c>
      <c r="K19" t="n">
        <v>3</v>
      </c>
      <c r="L19" s="5" t="n">
        <v>1101851.38</v>
      </c>
    </row>
    <row r="20">
      <c r="A20" t="inlineStr">
        <is>
          <t>LORETO</t>
        </is>
      </c>
      <c r="B20" t="inlineStr">
        <is>
          <t>MAYNAS</t>
        </is>
      </c>
      <c r="C20" t="inlineStr">
        <is>
          <t>IQUITOS</t>
        </is>
      </c>
      <c r="D20" t="inlineStr">
        <is>
          <t>160101</t>
        </is>
      </c>
      <c r="E20" t="inlineStr">
        <is>
          <t>—</t>
        </is>
      </c>
      <c r="F20" s="11" t="n">
        <v>265417.6659</v>
      </c>
      <c r="G20" s="6">
        <f>IF($F$125=0,0,F20/$F$125)</f>
        <v/>
      </c>
      <c r="H20" s="5" t="n">
        <v>297267.6</v>
      </c>
      <c r="I20" t="n">
        <v>3</v>
      </c>
      <c r="J20" t="n">
        <v>4</v>
      </c>
      <c r="K20" t="n">
        <v>2</v>
      </c>
      <c r="L20" s="5" t="n">
        <v>891802.8100000001</v>
      </c>
    </row>
    <row r="21">
      <c r="A21" t="inlineStr">
        <is>
          <t>ANCASH</t>
        </is>
      </c>
      <c r="B21" t="inlineStr">
        <is>
          <t>SANTA</t>
        </is>
      </c>
      <c r="C21" t="inlineStr">
        <is>
          <t>CHIMBOTE</t>
        </is>
      </c>
      <c r="D21" t="inlineStr">
        <is>
          <t>021801</t>
        </is>
      </c>
      <c r="E21" t="inlineStr">
        <is>
          <t>—</t>
        </is>
      </c>
      <c r="F21" s="11" t="n">
        <v>255104.7509</v>
      </c>
      <c r="G21" s="6">
        <f>IF($F$125=0,0,F21/$F$125)</f>
        <v/>
      </c>
      <c r="H21" s="5" t="n">
        <v>285717.15</v>
      </c>
      <c r="I21" t="n">
        <v>5</v>
      </c>
      <c r="J21" t="n">
        <v>4</v>
      </c>
      <c r="K21" t="n">
        <v>3</v>
      </c>
      <c r="L21" s="5" t="n">
        <v>1142868.59</v>
      </c>
    </row>
    <row r="22">
      <c r="A22" t="inlineStr">
        <is>
          <t>SAN MARTIN</t>
        </is>
      </c>
      <c r="B22" t="inlineStr">
        <is>
          <t>SAN MARTIN</t>
        </is>
      </c>
      <c r="C22" t="inlineStr">
        <is>
          <t>TARAPOTO</t>
        </is>
      </c>
      <c r="D22" t="inlineStr">
        <is>
          <t>220901</t>
        </is>
      </c>
      <c r="E22" t="inlineStr">
        <is>
          <t>—</t>
        </is>
      </c>
      <c r="F22" s="11" t="n">
        <v>239590.9401</v>
      </c>
      <c r="G22" s="6">
        <f>IF($F$125=0,0,F22/$F$125)</f>
        <v/>
      </c>
      <c r="H22" s="5" t="n">
        <v>268341.69</v>
      </c>
      <c r="I22" t="n">
        <v>4</v>
      </c>
      <c r="J22" t="n">
        <v>4</v>
      </c>
      <c r="K22" t="n">
        <v>2</v>
      </c>
      <c r="L22" s="5" t="n">
        <v>894472.3</v>
      </c>
    </row>
    <row r="23">
      <c r="A23" t="inlineStr">
        <is>
          <t>ICA</t>
        </is>
      </c>
      <c r="B23" t="inlineStr">
        <is>
          <t>CHINCHA</t>
        </is>
      </c>
      <c r="C23" t="inlineStr">
        <is>
          <t>CHINCHA ALTA</t>
        </is>
      </c>
      <c r="D23" t="inlineStr">
        <is>
          <t>110201</t>
        </is>
      </c>
      <c r="E23" t="inlineStr">
        <is>
          <t>—</t>
        </is>
      </c>
      <c r="F23" s="11" t="n">
        <v>222378.0303</v>
      </c>
      <c r="G23" s="6">
        <f>IF($F$125=0,0,F23/$F$125)</f>
        <v/>
      </c>
      <c r="H23" s="5" t="n">
        <v>249063.24</v>
      </c>
      <c r="I23" t="n">
        <v>4</v>
      </c>
      <c r="J23" t="n">
        <v>4</v>
      </c>
      <c r="L23" s="5" t="n">
        <v>996252.97</v>
      </c>
    </row>
    <row r="24">
      <c r="A24" t="inlineStr">
        <is>
          <t>AYACUCHO</t>
        </is>
      </c>
      <c r="B24" t="inlineStr">
        <is>
          <t>HUAMANGA</t>
        </is>
      </c>
      <c r="C24" t="inlineStr">
        <is>
          <t>AYACUCHO</t>
        </is>
      </c>
      <c r="D24" t="inlineStr">
        <is>
          <t>050101</t>
        </is>
      </c>
      <c r="E24" t="inlineStr">
        <is>
          <t>—</t>
        </is>
      </c>
      <c r="F24" s="11" t="n">
        <v>219388.8248</v>
      </c>
      <c r="G24" s="6">
        <f>IF($F$125=0,0,F24/$F$125)</f>
        <v/>
      </c>
      <c r="H24" s="5" t="n">
        <v>245715.33</v>
      </c>
      <c r="I24" t="n">
        <v>4</v>
      </c>
      <c r="J24" t="n">
        <v>3</v>
      </c>
      <c r="K24" t="n">
        <v>4</v>
      </c>
      <c r="L24" s="5" t="n">
        <v>900956.23</v>
      </c>
    </row>
    <row r="25">
      <c r="A25" t="inlineStr">
        <is>
          <t>TACNA</t>
        </is>
      </c>
      <c r="B25" t="inlineStr">
        <is>
          <t>TACNA</t>
        </is>
      </c>
      <c r="C25" t="inlineStr">
        <is>
          <t>TACNA</t>
        </is>
      </c>
      <c r="D25" t="inlineStr">
        <is>
          <t>230101</t>
        </is>
      </c>
      <c r="E25" t="inlineStr">
        <is>
          <t>—</t>
        </is>
      </c>
      <c r="F25" s="11" t="n">
        <v>213414.9748</v>
      </c>
      <c r="G25" s="6">
        <f>IF($F$125=0,0,F25/$F$125)</f>
        <v/>
      </c>
      <c r="H25" s="5" t="n">
        <v>239024.63</v>
      </c>
      <c r="I25" t="n">
        <v>3</v>
      </c>
      <c r="J25" t="n">
        <v>3</v>
      </c>
      <c r="L25" s="5" t="n">
        <v>717073.88</v>
      </c>
    </row>
    <row r="26">
      <c r="A26" t="inlineStr">
        <is>
          <t>LIMA</t>
        </is>
      </c>
      <c r="B26" t="inlineStr">
        <is>
          <t>LIMA</t>
        </is>
      </c>
      <c r="C26" t="inlineStr">
        <is>
          <t>SANTA ANITA</t>
        </is>
      </c>
      <c r="D26" t="inlineStr">
        <is>
          <t>150137</t>
        </is>
      </c>
      <c r="E26" t="inlineStr">
        <is>
          <t>Makro Santa Anita</t>
        </is>
      </c>
      <c r="F26" s="11" t="n">
        <v>211991.1513</v>
      </c>
      <c r="G26" s="6">
        <f>IF($F$125=0,0,F26/$F$125)</f>
        <v/>
      </c>
      <c r="H26" s="5" t="n">
        <v>237429.94</v>
      </c>
      <c r="I26" t="n">
        <v>2</v>
      </c>
      <c r="J26" t="n">
        <v>4</v>
      </c>
      <c r="L26" s="5" t="n">
        <v>712289.83</v>
      </c>
    </row>
    <row r="27">
      <c r="A27" t="inlineStr">
        <is>
          <t>ANCASH</t>
        </is>
      </c>
      <c r="B27" t="inlineStr">
        <is>
          <t>HUARAZ</t>
        </is>
      </c>
      <c r="C27" t="inlineStr">
        <is>
          <t>HUARAZ</t>
        </is>
      </c>
      <c r="D27" t="inlineStr">
        <is>
          <t>020101</t>
        </is>
      </c>
      <c r="E27" t="inlineStr">
        <is>
          <t>—</t>
        </is>
      </c>
      <c r="F27" s="11" t="n">
        <v>208193.107</v>
      </c>
      <c r="G27" s="6">
        <f>IF($F$125=0,0,F27/$F$125)</f>
        <v/>
      </c>
      <c r="H27" s="5" t="n">
        <v>233176.14</v>
      </c>
      <c r="I27" t="n">
        <v>4</v>
      </c>
      <c r="J27" t="n">
        <v>3</v>
      </c>
      <c r="K27" t="n">
        <v>4</v>
      </c>
      <c r="L27" s="5" t="n">
        <v>854979.17</v>
      </c>
    </row>
    <row r="28">
      <c r="A28" t="inlineStr">
        <is>
          <t>PUNO</t>
        </is>
      </c>
      <c r="B28" t="inlineStr">
        <is>
          <t>SAN ROMAN</t>
        </is>
      </c>
      <c r="C28" t="inlineStr">
        <is>
          <t>JULIACA</t>
        </is>
      </c>
      <c r="D28" t="inlineStr">
        <is>
          <t>211101</t>
        </is>
      </c>
      <c r="E28" t="inlineStr">
        <is>
          <t>—</t>
        </is>
      </c>
      <c r="F28" s="11" t="n">
        <v>196283.3693</v>
      </c>
      <c r="G28" s="6">
        <f>IF($F$125=0,0,F28/$F$125)</f>
        <v/>
      </c>
      <c r="H28" s="5" t="n">
        <v>219837.24</v>
      </c>
      <c r="I28" t="n">
        <v>3</v>
      </c>
      <c r="J28" t="n">
        <v>1</v>
      </c>
      <c r="K28" t="n">
        <v>4</v>
      </c>
      <c r="L28" s="5" t="n">
        <v>586232.64</v>
      </c>
    </row>
    <row r="29">
      <c r="A29" t="inlineStr">
        <is>
          <t>HUANUCO</t>
        </is>
      </c>
      <c r="B29" t="inlineStr">
        <is>
          <t>HUANUCO</t>
        </is>
      </c>
      <c r="C29" t="inlineStr">
        <is>
          <t>HUANUCO</t>
        </is>
      </c>
      <c r="D29" t="inlineStr">
        <is>
          <t>100101</t>
        </is>
      </c>
      <c r="E29" t="inlineStr">
        <is>
          <t>Mall Plaza Huánuco</t>
        </is>
      </c>
      <c r="F29" s="11" t="n">
        <v>188283.6005</v>
      </c>
      <c r="G29" s="6">
        <f>IF($F$125=0,0,F29/$F$125)</f>
        <v/>
      </c>
      <c r="H29" s="5" t="n">
        <v>210877.5</v>
      </c>
      <c r="I29" t="n">
        <v>4</v>
      </c>
      <c r="J29" t="n">
        <v>3</v>
      </c>
      <c r="K29" t="n">
        <v>4</v>
      </c>
      <c r="L29" s="5" t="n">
        <v>773217.52</v>
      </c>
    </row>
    <row r="30">
      <c r="A30" t="inlineStr">
        <is>
          <t>LIMA</t>
        </is>
      </c>
      <c r="B30" t="inlineStr">
        <is>
          <t>LIMA</t>
        </is>
      </c>
      <c r="C30" t="inlineStr">
        <is>
          <t>LOS OLIVOS</t>
        </is>
      </c>
      <c r="D30" t="inlineStr">
        <is>
          <t>150117</t>
        </is>
      </c>
      <c r="E30" t="inlineStr">
        <is>
          <t>MiFarma Próceres</t>
        </is>
      </c>
      <c r="F30" s="11" t="n">
        <v>185986.8856</v>
      </c>
      <c r="G30" s="6">
        <f>IF($F$125=0,0,F30/$F$125)</f>
        <v/>
      </c>
      <c r="H30" s="5" t="n">
        <v>208305.19</v>
      </c>
      <c r="I30" t="n">
        <v>1</v>
      </c>
      <c r="J30" t="n">
        <v>4</v>
      </c>
      <c r="L30" s="5" t="n">
        <v>520762.96</v>
      </c>
    </row>
    <row r="31">
      <c r="A31" t="inlineStr">
        <is>
          <t>JUNIN</t>
        </is>
      </c>
      <c r="B31" t="inlineStr">
        <is>
          <t>HUANCAYO</t>
        </is>
      </c>
      <c r="C31" t="inlineStr">
        <is>
          <t>EL TAMBO</t>
        </is>
      </c>
      <c r="D31" t="inlineStr">
        <is>
          <t>120114</t>
        </is>
      </c>
      <c r="E31" t="inlineStr">
        <is>
          <t>—</t>
        </is>
      </c>
      <c r="F31" s="11" t="n">
        <v>175485.9232</v>
      </c>
      <c r="G31" s="6">
        <f>IF($F$125=0,0,F31/$F$125)</f>
        <v/>
      </c>
      <c r="H31" s="5" t="n">
        <v>196544.11</v>
      </c>
      <c r="I31" t="n">
        <v>4</v>
      </c>
      <c r="J31" t="n">
        <v>2</v>
      </c>
      <c r="K31" t="n">
        <v>3</v>
      </c>
      <c r="L31" s="5" t="n">
        <v>589632.34</v>
      </c>
    </row>
    <row r="32">
      <c r="A32" t="inlineStr">
        <is>
          <t>LIMA</t>
        </is>
      </c>
      <c r="B32" t="inlineStr">
        <is>
          <t>LIMA</t>
        </is>
      </c>
      <c r="C32" t="inlineStr">
        <is>
          <t>JESUS MARIA</t>
        </is>
      </c>
      <c r="D32" t="inlineStr">
        <is>
          <t>150113</t>
        </is>
      </c>
      <c r="E32" t="inlineStr">
        <is>
          <t>Inkafarma Domingo Cueto, Inkafarma Salaverry</t>
        </is>
      </c>
      <c r="F32" s="11" t="n">
        <v>171720.8501</v>
      </c>
      <c r="G32" s="6">
        <f>IF($F$125=0,0,F32/$F$125)</f>
        <v/>
      </c>
      <c r="H32" s="5" t="n">
        <v>192327.24</v>
      </c>
      <c r="I32" t="n">
        <v>1</v>
      </c>
      <c r="J32" t="n">
        <v>4</v>
      </c>
      <c r="L32" s="5" t="n">
        <v>480818.09</v>
      </c>
    </row>
    <row r="33">
      <c r="A33" t="inlineStr">
        <is>
          <t>AREQUIPA</t>
        </is>
      </c>
      <c r="B33" t="inlineStr">
        <is>
          <t>AREQUIPA</t>
        </is>
      </c>
      <c r="C33" t="inlineStr">
        <is>
          <t>CAYMA</t>
        </is>
      </c>
      <c r="D33" t="inlineStr">
        <is>
          <t>040103</t>
        </is>
      </c>
      <c r="E33" t="inlineStr">
        <is>
          <t>Mall Plaza Cayma</t>
        </is>
      </c>
      <c r="F33" s="11" t="n">
        <v>162142.3149</v>
      </c>
      <c r="G33" s="6">
        <f>IF($F$125=0,0,F33/$F$125)</f>
        <v/>
      </c>
      <c r="H33" s="5" t="n">
        <v>181599.28</v>
      </c>
      <c r="I33" t="n">
        <v>4</v>
      </c>
      <c r="J33" t="n">
        <v>3</v>
      </c>
      <c r="K33" t="n">
        <v>4</v>
      </c>
      <c r="L33" s="5" t="n">
        <v>665864.03</v>
      </c>
    </row>
    <row r="34">
      <c r="A34" t="inlineStr">
        <is>
          <t>CALLAO</t>
        </is>
      </c>
      <c r="B34" t="inlineStr">
        <is>
          <t>CALLAO</t>
        </is>
      </c>
      <c r="C34" t="inlineStr">
        <is>
          <t>BELLAVISTA</t>
        </is>
      </c>
      <c r="D34" t="inlineStr">
        <is>
          <t>070102</t>
        </is>
      </c>
      <c r="E34" t="inlineStr">
        <is>
          <t>Inkafarma Guardia Chalaca</t>
        </is>
      </c>
      <c r="F34" s="11" t="n">
        <v>159691.5486</v>
      </c>
      <c r="G34" s="6">
        <f>IF($F$125=0,0,F34/$F$125)</f>
        <v/>
      </c>
      <c r="H34" s="5" t="n">
        <v>178854.43</v>
      </c>
      <c r="I34" t="n">
        <v>1</v>
      </c>
      <c r="J34" t="n">
        <v>4</v>
      </c>
      <c r="L34" s="5" t="n">
        <v>447136.06</v>
      </c>
    </row>
    <row r="35">
      <c r="A35" t="inlineStr">
        <is>
          <t>LIMA</t>
        </is>
      </c>
      <c r="B35" t="inlineStr">
        <is>
          <t>LIMA</t>
        </is>
      </c>
      <c r="C35" t="inlineStr">
        <is>
          <t>SAN JUAN DE LURIGANCHO</t>
        </is>
      </c>
      <c r="D35" t="inlineStr">
        <is>
          <t>150132</t>
        </is>
      </c>
      <c r="E35" t="inlineStr">
        <is>
          <t>Inkafarma 13 de Enero, Inkafarma Gran Chimú, Makro San Juan de Lurigancho, MiFarma Vara de Oro</t>
        </is>
      </c>
      <c r="F35" s="11" t="n">
        <v>152995.9253</v>
      </c>
      <c r="G35" s="6">
        <f>IF($F$125=0,0,F35/$F$125)</f>
        <v/>
      </c>
      <c r="H35" s="5" t="n">
        <v>171355.33</v>
      </c>
      <c r="I35" t="n">
        <v>5</v>
      </c>
      <c r="J35" t="n">
        <v>2</v>
      </c>
      <c r="L35" s="5" t="n">
        <v>599743.66</v>
      </c>
    </row>
    <row r="36">
      <c r="A36" t="inlineStr">
        <is>
          <t>AREQUIPA</t>
        </is>
      </c>
      <c r="B36" t="inlineStr">
        <is>
          <t>AREQUIPA</t>
        </is>
      </c>
      <c r="C36" t="inlineStr">
        <is>
          <t>YANAHUARA</t>
        </is>
      </c>
      <c r="D36" t="inlineStr">
        <is>
          <t>040126</t>
        </is>
      </c>
      <c r="E36" t="inlineStr">
        <is>
          <t>—</t>
        </is>
      </c>
      <c r="F36" s="11" t="n">
        <v>149473.5188</v>
      </c>
      <c r="G36" s="6">
        <f>IF($F$125=0,0,F36/$F$125)</f>
        <v/>
      </c>
      <c r="H36" s="5" t="n">
        <v>167410.24</v>
      </c>
      <c r="I36" t="n">
        <v>2</v>
      </c>
      <c r="J36" t="n">
        <v>5</v>
      </c>
      <c r="L36" s="5" t="n">
        <v>585935.84</v>
      </c>
    </row>
    <row r="37">
      <c r="A37" t="inlineStr">
        <is>
          <t>UCAYALI</t>
        </is>
      </c>
      <c r="B37" t="inlineStr">
        <is>
          <t>CORONEL PORTILLO</t>
        </is>
      </c>
      <c r="C37" t="inlineStr">
        <is>
          <t>CALLERIA</t>
        </is>
      </c>
      <c r="D37" t="inlineStr">
        <is>
          <t>250101</t>
        </is>
      </c>
      <c r="E37" t="inlineStr">
        <is>
          <t>—</t>
        </is>
      </c>
      <c r="F37" s="11" t="n">
        <v>139233.2887</v>
      </c>
      <c r="G37" s="6">
        <f>IF($F$125=0,0,F37/$F$125)</f>
        <v/>
      </c>
      <c r="H37" s="5" t="n">
        <v>155941.19</v>
      </c>
      <c r="I37" t="n">
        <v>4</v>
      </c>
      <c r="J37" t="n">
        <v>4</v>
      </c>
      <c r="K37" t="n">
        <v>2</v>
      </c>
      <c r="L37" s="5" t="n">
        <v>519803.96</v>
      </c>
    </row>
    <row r="38">
      <c r="A38" t="inlineStr">
        <is>
          <t>LIMA</t>
        </is>
      </c>
      <c r="B38" t="inlineStr">
        <is>
          <t>LIMA</t>
        </is>
      </c>
      <c r="C38" t="inlineStr">
        <is>
          <t>SAN JUAN DE MIRAFLORES</t>
        </is>
      </c>
      <c r="D38" t="inlineStr">
        <is>
          <t>150133</t>
        </is>
      </c>
      <c r="E38" t="inlineStr">
        <is>
          <t>Makro San Juan de Miraflores</t>
        </is>
      </c>
      <c r="F38" s="11" t="n">
        <v>137385.7792</v>
      </c>
      <c r="G38" s="6">
        <f>IF($F$125=0,0,F38/$F$125)</f>
        <v/>
      </c>
      <c r="H38" s="5" t="n">
        <v>153871.98</v>
      </c>
      <c r="I38" t="n">
        <v>2</v>
      </c>
      <c r="J38" t="n">
        <v>3</v>
      </c>
      <c r="L38" s="5" t="n">
        <v>384679.95</v>
      </c>
    </row>
    <row r="39">
      <c r="A39" t="inlineStr">
        <is>
          <t>LIMA</t>
        </is>
      </c>
      <c r="B39" t="inlineStr">
        <is>
          <t>LIMA</t>
        </is>
      </c>
      <c r="C39" t="inlineStr">
        <is>
          <t>CHORRILLOS</t>
        </is>
      </c>
      <c r="D39" t="inlineStr">
        <is>
          <t>150108</t>
        </is>
      </c>
      <c r="E39" t="inlineStr">
        <is>
          <t>Inkafarma Defensores del Morro, Inkafarma Guardia Civil, Inkafarma Paseo de la República, Makro Chorrillos, MiFarma Alameda Sur</t>
        </is>
      </c>
      <c r="F39" s="11" t="n">
        <v>132619.747</v>
      </c>
      <c r="G39" s="6">
        <f>IF($F$125=0,0,F39/$F$125)</f>
        <v/>
      </c>
      <c r="H39" s="5" t="n">
        <v>148534.03</v>
      </c>
      <c r="I39" t="n">
        <v>2</v>
      </c>
      <c r="J39" t="n">
        <v>4</v>
      </c>
      <c r="L39" s="5" t="n">
        <v>445602.08</v>
      </c>
    </row>
    <row r="40">
      <c r="A40" t="inlineStr">
        <is>
          <t>LIMA</t>
        </is>
      </c>
      <c r="B40" t="inlineStr">
        <is>
          <t>LIMA</t>
        </is>
      </c>
      <c r="C40" t="inlineStr">
        <is>
          <t>INDEPENDENCIA</t>
        </is>
      </c>
      <c r="D40" t="inlineStr">
        <is>
          <t>150112</t>
        </is>
      </c>
      <c r="E40" t="inlineStr">
        <is>
          <t>Makro Independencia</t>
        </is>
      </c>
      <c r="F40" s="11" t="n">
        <v>127337.0562</v>
      </c>
      <c r="G40" s="6">
        <f>IF($F$125=0,0,F40/$F$125)</f>
        <v/>
      </c>
      <c r="H40" s="5" t="n">
        <v>142617.42</v>
      </c>
      <c r="I40" t="n">
        <v>5</v>
      </c>
      <c r="J40" t="n">
        <v>2</v>
      </c>
      <c r="L40" s="5" t="n">
        <v>499160.96</v>
      </c>
    </row>
    <row r="41">
      <c r="A41" t="inlineStr">
        <is>
          <t>CALLAO</t>
        </is>
      </c>
      <c r="B41" t="inlineStr">
        <is>
          <t>CALLAO</t>
        </is>
      </c>
      <c r="C41" t="inlineStr">
        <is>
          <t>CALLAO</t>
        </is>
      </c>
      <c r="D41" t="inlineStr">
        <is>
          <t>070101</t>
        </is>
      </c>
      <c r="E41" t="inlineStr">
        <is>
          <t>MiFarma Bocanegra, MiFarma Sáenz Peña</t>
        </is>
      </c>
      <c r="F41" s="11" t="n">
        <v>112980.2853</v>
      </c>
      <c r="G41" s="6">
        <f>IF($F$125=0,0,F41/$F$125)</f>
        <v/>
      </c>
      <c r="H41" s="5" t="n">
        <v>126537.84</v>
      </c>
      <c r="I41" t="n">
        <v>1</v>
      </c>
      <c r="J41" t="n">
        <v>5</v>
      </c>
      <c r="L41" s="5" t="n">
        <v>379613.53</v>
      </c>
    </row>
    <row r="42">
      <c r="A42" t="inlineStr">
        <is>
          <t>LIMA</t>
        </is>
      </c>
      <c r="B42" t="inlineStr">
        <is>
          <t>LIMA</t>
        </is>
      </c>
      <c r="C42" t="inlineStr">
        <is>
          <t>LA MOLINA</t>
        </is>
      </c>
      <c r="D42" t="inlineStr">
        <is>
          <t>150114</t>
        </is>
      </c>
      <c r="E42" t="inlineStr">
        <is>
          <t>Inkafarma Los Analistas, MiFarma Camacho, MiFarma Flora Tristán, MiFarma Huarochirí, MiFarma Salamanca</t>
        </is>
      </c>
      <c r="F42" s="11" t="n">
        <v>104154.0468</v>
      </c>
      <c r="G42" s="6">
        <f>IF($F$125=0,0,F42/$F$125)</f>
        <v/>
      </c>
      <c r="H42" s="5" t="n">
        <v>116652.46</v>
      </c>
      <c r="I42" t="n">
        <v>4</v>
      </c>
      <c r="J42" t="n">
        <v>3</v>
      </c>
      <c r="L42" s="5" t="n">
        <v>408283.62</v>
      </c>
    </row>
    <row r="43">
      <c r="A43" t="inlineStr">
        <is>
          <t>LIMA</t>
        </is>
      </c>
      <c r="B43" t="inlineStr">
        <is>
          <t>HUAURA</t>
        </is>
      </c>
      <c r="C43" t="inlineStr">
        <is>
          <t>HUACHO</t>
        </is>
      </c>
      <c r="D43" t="inlineStr">
        <is>
          <t>150801</t>
        </is>
      </c>
      <c r="E43" t="inlineStr">
        <is>
          <t>—</t>
        </is>
      </c>
      <c r="F43" s="11" t="n">
        <v>99444.6136</v>
      </c>
      <c r="G43" s="6">
        <f>IF($F$125=0,0,F43/$F$125)</f>
        <v/>
      </c>
      <c r="H43" s="5" t="n">
        <v>111377.9</v>
      </c>
      <c r="I43" t="n">
        <v>3</v>
      </c>
      <c r="J43" t="n">
        <v>3</v>
      </c>
      <c r="L43" s="5" t="n">
        <v>334133.7</v>
      </c>
    </row>
    <row r="44">
      <c r="A44" t="inlineStr">
        <is>
          <t>PUNO</t>
        </is>
      </c>
      <c r="B44" t="inlineStr">
        <is>
          <t>PUNO</t>
        </is>
      </c>
      <c r="C44" t="inlineStr">
        <is>
          <t>PUNO</t>
        </is>
      </c>
      <c r="D44" t="inlineStr">
        <is>
          <t>210101</t>
        </is>
      </c>
      <c r="E44" t="inlineStr">
        <is>
          <t>—</t>
        </is>
      </c>
      <c r="F44" s="11" t="n">
        <v>96744.9016</v>
      </c>
      <c r="G44" s="6">
        <f>IF($F$125=0,0,F44/$F$125)</f>
        <v/>
      </c>
      <c r="H44" s="5" t="n">
        <v>108354.22</v>
      </c>
      <c r="I44" t="n">
        <v>4</v>
      </c>
      <c r="J44" t="n">
        <v>3</v>
      </c>
      <c r="K44" t="n">
        <v>3</v>
      </c>
      <c r="L44" s="5" t="n">
        <v>361180.75</v>
      </c>
    </row>
    <row r="45">
      <c r="A45" t="inlineStr">
        <is>
          <t>LIMA</t>
        </is>
      </c>
      <c r="B45" t="inlineStr">
        <is>
          <t>LIMA</t>
        </is>
      </c>
      <c r="C45" t="inlineStr">
        <is>
          <t>SAN MARTIN DE PORRES</t>
        </is>
      </c>
      <c r="D45" t="inlineStr">
        <is>
          <t>150135</t>
        </is>
      </c>
      <c r="E45" t="inlineStr">
        <is>
          <t>—</t>
        </is>
      </c>
      <c r="F45" s="11" t="n">
        <v>94629.3054</v>
      </c>
      <c r="G45" s="6">
        <f>IF($F$125=0,0,F45/$F$125)</f>
        <v/>
      </c>
      <c r="H45" s="5" t="n">
        <v>105984.76</v>
      </c>
      <c r="I45" t="n">
        <v>2</v>
      </c>
      <c r="J45" t="n">
        <v>5</v>
      </c>
      <c r="L45" s="5" t="n">
        <v>370946.65</v>
      </c>
    </row>
    <row r="46">
      <c r="A46" t="inlineStr">
        <is>
          <t>AREQUIPA</t>
        </is>
      </c>
      <c r="B46" t="inlineStr">
        <is>
          <t>AREQUIPA</t>
        </is>
      </c>
      <c r="C46" t="inlineStr">
        <is>
          <t>PAUCARPATA</t>
        </is>
      </c>
      <c r="D46" t="inlineStr">
        <is>
          <t>040112</t>
        </is>
      </c>
      <c r="E46" t="inlineStr">
        <is>
          <t>—</t>
        </is>
      </c>
      <c r="F46" s="11" t="n">
        <v>83449.56299999999</v>
      </c>
      <c r="G46" s="6">
        <f>IF($F$125=0,0,F46/$F$125)</f>
        <v/>
      </c>
      <c r="H46" s="5" t="n">
        <v>93463.45</v>
      </c>
      <c r="I46" t="n">
        <v>5</v>
      </c>
      <c r="J46" t="n">
        <v>4</v>
      </c>
      <c r="K46" t="n">
        <v>2</v>
      </c>
      <c r="L46" s="5" t="n">
        <v>342699.33</v>
      </c>
    </row>
    <row r="47">
      <c r="A47" t="inlineStr">
        <is>
          <t>PIURA</t>
        </is>
      </c>
      <c r="B47" t="inlineStr">
        <is>
          <t>SULLANA</t>
        </is>
      </c>
      <c r="C47" t="inlineStr">
        <is>
          <t>SULLANA</t>
        </is>
      </c>
      <c r="D47" t="inlineStr">
        <is>
          <t>200601</t>
        </is>
      </c>
      <c r="E47" t="inlineStr">
        <is>
          <t>—</t>
        </is>
      </c>
      <c r="F47" s="11" t="n">
        <v>82754.4412</v>
      </c>
      <c r="G47" s="6">
        <f>IF($F$125=0,0,F47/$F$125)</f>
        <v/>
      </c>
      <c r="H47" s="5" t="n">
        <v>92684.92</v>
      </c>
      <c r="I47" t="n">
        <v>2</v>
      </c>
      <c r="J47" t="n">
        <v>5</v>
      </c>
      <c r="K47" t="n">
        <v>2</v>
      </c>
      <c r="L47" s="5" t="n">
        <v>278054.75</v>
      </c>
    </row>
    <row r="48">
      <c r="A48" t="inlineStr">
        <is>
          <t>APURIMAC</t>
        </is>
      </c>
      <c r="B48" t="inlineStr">
        <is>
          <t>ABANCAY</t>
        </is>
      </c>
      <c r="C48" t="inlineStr">
        <is>
          <t>ABANCAY</t>
        </is>
      </c>
      <c r="D48" t="inlineStr">
        <is>
          <t>030101</t>
        </is>
      </c>
      <c r="E48" t="inlineStr">
        <is>
          <t>—</t>
        </is>
      </c>
      <c r="F48" s="11" t="n">
        <v>74959.8602</v>
      </c>
      <c r="G48" s="6">
        <f>IF($F$125=0,0,F48/$F$125)</f>
        <v/>
      </c>
      <c r="H48" s="5" t="n">
        <v>83954.99000000001</v>
      </c>
      <c r="I48" t="n">
        <v>4</v>
      </c>
      <c r="J48" t="n">
        <v>2</v>
      </c>
      <c r="K48" t="n">
        <v>3</v>
      </c>
      <c r="L48" s="5" t="n">
        <v>251864.98</v>
      </c>
    </row>
    <row r="49">
      <c r="A49" t="inlineStr">
        <is>
          <t>LIMA</t>
        </is>
      </c>
      <c r="B49" t="inlineStr">
        <is>
          <t>LIMA</t>
        </is>
      </c>
      <c r="C49" t="inlineStr">
        <is>
          <t>BREÑA</t>
        </is>
      </c>
      <c r="D49" t="inlineStr">
        <is>
          <t>150105</t>
        </is>
      </c>
      <c r="E49" t="inlineStr">
        <is>
          <t>—</t>
        </is>
      </c>
      <c r="F49" s="11" t="n">
        <v>74835.9277</v>
      </c>
      <c r="G49" s="6">
        <f>IF($F$125=0,0,F49/$F$125)</f>
        <v/>
      </c>
      <c r="H49" s="5" t="n">
        <v>83816.19</v>
      </c>
      <c r="I49" t="n">
        <v>1</v>
      </c>
      <c r="J49" t="n">
        <v>3</v>
      </c>
      <c r="L49" s="5" t="n">
        <v>167632.38</v>
      </c>
    </row>
    <row r="50">
      <c r="A50" t="inlineStr">
        <is>
          <t>MADRE DE DIOS</t>
        </is>
      </c>
      <c r="B50" t="inlineStr">
        <is>
          <t>TAMBOPATA</t>
        </is>
      </c>
      <c r="C50" t="inlineStr">
        <is>
          <t>TAMBOPATA</t>
        </is>
      </c>
      <c r="D50" t="inlineStr">
        <is>
          <t>170101</t>
        </is>
      </c>
      <c r="E50" t="inlineStr">
        <is>
          <t>—</t>
        </is>
      </c>
      <c r="F50" s="11" t="n">
        <v>71075.2812</v>
      </c>
      <c r="G50" s="6">
        <f>IF($F$125=0,0,F50/$F$125)</f>
        <v/>
      </c>
      <c r="H50" s="5" t="n">
        <v>79604.27</v>
      </c>
      <c r="I50" t="n">
        <v>3</v>
      </c>
      <c r="J50" t="n">
        <v>2</v>
      </c>
      <c r="K50" t="n">
        <v>2</v>
      </c>
      <c r="L50" s="5" t="n">
        <v>185743.29</v>
      </c>
    </row>
    <row r="51">
      <c r="A51" t="inlineStr">
        <is>
          <t>LIMA</t>
        </is>
      </c>
      <c r="B51" t="inlineStr">
        <is>
          <t>LIMA</t>
        </is>
      </c>
      <c r="C51" t="inlineStr">
        <is>
          <t>LINCE</t>
        </is>
      </c>
      <c r="D51" t="inlineStr">
        <is>
          <t>150116</t>
        </is>
      </c>
      <c r="E51" t="inlineStr">
        <is>
          <t>Inkafarma Ignacio Merino Lince, MiFarma Risso</t>
        </is>
      </c>
      <c r="F51" s="11" t="n">
        <v>68728.8416</v>
      </c>
      <c r="G51" s="6">
        <f>IF($F$125=0,0,F51/$F$125)</f>
        <v/>
      </c>
      <c r="H51" s="5" t="n">
        <v>76976.25999999999</v>
      </c>
      <c r="I51" t="n">
        <v>1</v>
      </c>
      <c r="J51" t="n">
        <v>4</v>
      </c>
      <c r="L51" s="5" t="n">
        <v>192440.64</v>
      </c>
    </row>
    <row r="52">
      <c r="A52" t="inlineStr">
        <is>
          <t>TUMBES</t>
        </is>
      </c>
      <c r="B52" t="inlineStr">
        <is>
          <t>TUMBES</t>
        </is>
      </c>
      <c r="C52" t="inlineStr">
        <is>
          <t>TUMBES</t>
        </is>
      </c>
      <c r="D52" t="inlineStr">
        <is>
          <t>240101</t>
        </is>
      </c>
      <c r="E52" t="inlineStr">
        <is>
          <t>—</t>
        </is>
      </c>
      <c r="F52" s="11" t="n">
        <v>63380.2978</v>
      </c>
      <c r="G52" s="6">
        <f>IF($F$125=0,0,F52/$F$125)</f>
        <v/>
      </c>
      <c r="H52" s="5" t="n">
        <v>70985.89</v>
      </c>
      <c r="I52" t="n">
        <v>3</v>
      </c>
      <c r="J52" t="n">
        <v>5</v>
      </c>
      <c r="K52" t="n">
        <v>4</v>
      </c>
      <c r="L52" s="5" t="n">
        <v>283943.56</v>
      </c>
    </row>
    <row r="53">
      <c r="A53" t="inlineStr">
        <is>
          <t>LIMA</t>
        </is>
      </c>
      <c r="B53" t="inlineStr">
        <is>
          <t>LIMA</t>
        </is>
      </c>
      <c r="C53" t="inlineStr">
        <is>
          <t>MAGDALENA VIEJA</t>
        </is>
      </c>
      <c r="D53" t="inlineStr">
        <is>
          <t>150121</t>
        </is>
      </c>
      <c r="E53" t="inlineStr">
        <is>
          <t>—</t>
        </is>
      </c>
      <c r="F53" s="11" t="n">
        <v>61416.1928</v>
      </c>
      <c r="G53" s="6">
        <f>IF($F$125=0,0,F53/$F$125)</f>
        <v/>
      </c>
      <c r="H53" s="5" t="n">
        <v>68786.09</v>
      </c>
      <c r="I53" t="n">
        <v>1</v>
      </c>
      <c r="J53" t="n">
        <v>4</v>
      </c>
      <c r="L53" s="5" t="n">
        <v>171965.24</v>
      </c>
    </row>
    <row r="54">
      <c r="A54" t="inlineStr">
        <is>
          <t>LIMA</t>
        </is>
      </c>
      <c r="B54" t="inlineStr">
        <is>
          <t>LIMA</t>
        </is>
      </c>
      <c r="C54" t="inlineStr">
        <is>
          <t>ATE</t>
        </is>
      </c>
      <c r="D54" t="inlineStr">
        <is>
          <t>150103</t>
        </is>
      </c>
      <c r="E54" t="inlineStr">
        <is>
          <t>MiFarma Javier Prado Ate</t>
        </is>
      </c>
      <c r="F54" s="11" t="n">
        <v>60788.2322</v>
      </c>
      <c r="G54" s="6">
        <f>IF($F$125=0,0,F54/$F$125)</f>
        <v/>
      </c>
      <c r="H54" s="5" t="n">
        <v>68082.78</v>
      </c>
      <c r="I54" t="n">
        <v>4</v>
      </c>
      <c r="J54" t="n">
        <v>3</v>
      </c>
      <c r="L54" s="5" t="n">
        <v>238289.73</v>
      </c>
    </row>
    <row r="55">
      <c r="A55" t="inlineStr">
        <is>
          <t>ICA</t>
        </is>
      </c>
      <c r="B55" t="inlineStr">
        <is>
          <t>PISCO</t>
        </is>
      </c>
      <c r="C55" t="inlineStr">
        <is>
          <t>PISCO</t>
        </is>
      </c>
      <c r="D55" t="inlineStr">
        <is>
          <t>110501</t>
        </is>
      </c>
      <c r="E55" t="inlineStr">
        <is>
          <t>—</t>
        </is>
      </c>
      <c r="F55" s="11" t="n">
        <v>59363.8795</v>
      </c>
      <c r="G55" s="6">
        <f>IF($F$125=0,0,F55/$F$125)</f>
        <v/>
      </c>
      <c r="H55" s="5" t="n">
        <v>66487.5</v>
      </c>
      <c r="I55" t="n">
        <v>3</v>
      </c>
      <c r="J55" t="n">
        <v>5</v>
      </c>
      <c r="L55" s="5" t="n">
        <v>265950.02</v>
      </c>
    </row>
    <row r="56">
      <c r="A56" t="inlineStr">
        <is>
          <t>MOQUEGUA</t>
        </is>
      </c>
      <c r="B56" t="inlineStr">
        <is>
          <t>MARISCAL NIETO</t>
        </is>
      </c>
      <c r="C56" t="inlineStr">
        <is>
          <t>MOQUEGUA</t>
        </is>
      </c>
      <c r="D56" t="inlineStr">
        <is>
          <t>180101</t>
        </is>
      </c>
      <c r="E56" t="inlineStr">
        <is>
          <t>—</t>
        </is>
      </c>
      <c r="F56" s="11" t="n">
        <v>57048.3772</v>
      </c>
      <c r="G56" s="6">
        <f>IF($F$125=0,0,F56/$F$125)</f>
        <v/>
      </c>
      <c r="H56" s="5" t="n">
        <v>63894.14</v>
      </c>
      <c r="I56" t="n">
        <v>4</v>
      </c>
      <c r="J56" t="n">
        <v>4</v>
      </c>
      <c r="L56" s="5" t="n">
        <v>255576.57</v>
      </c>
    </row>
    <row r="57">
      <c r="A57" t="inlineStr">
        <is>
          <t>LIMA</t>
        </is>
      </c>
      <c r="B57" t="inlineStr">
        <is>
          <t>CAÑETE</t>
        </is>
      </c>
      <c r="C57" t="inlineStr">
        <is>
          <t>SAN VICENTE DE CAÑETE</t>
        </is>
      </c>
      <c r="D57" t="inlineStr">
        <is>
          <t>150501</t>
        </is>
      </c>
      <c r="E57" t="inlineStr">
        <is>
          <t>—</t>
        </is>
      </c>
      <c r="F57" s="11" t="n">
        <v>51283.9942</v>
      </c>
      <c r="G57" s="6">
        <f>IF($F$125=0,0,F57/$F$125)</f>
        <v/>
      </c>
      <c r="H57" s="5" t="n">
        <v>57438.04</v>
      </c>
      <c r="I57" t="n">
        <v>3</v>
      </c>
      <c r="J57" t="n">
        <v>5</v>
      </c>
      <c r="L57" s="5" t="n">
        <v>229752.15</v>
      </c>
    </row>
    <row r="58">
      <c r="A58" t="inlineStr">
        <is>
          <t>LIMA</t>
        </is>
      </c>
      <c r="B58" t="inlineStr">
        <is>
          <t>LIMA</t>
        </is>
      </c>
      <c r="C58" t="inlineStr">
        <is>
          <t>BARRANCO</t>
        </is>
      </c>
      <c r="D58" t="inlineStr">
        <is>
          <t>150104</t>
        </is>
      </c>
      <c r="E58" t="inlineStr">
        <is>
          <t>MiFarma Prol. San Martín</t>
        </is>
      </c>
      <c r="F58" s="11" t="n">
        <v>49775.6545</v>
      </c>
      <c r="G58" s="6">
        <f>IF($F$125=0,0,F58/$F$125)</f>
        <v/>
      </c>
      <c r="H58" s="5" t="n">
        <v>55748.7</v>
      </c>
      <c r="I58" t="n">
        <v>1</v>
      </c>
      <c r="J58" t="n">
        <v>4</v>
      </c>
      <c r="L58" s="5" t="n">
        <v>139371.75</v>
      </c>
    </row>
    <row r="59">
      <c r="A59" t="inlineStr">
        <is>
          <t>JUNIN</t>
        </is>
      </c>
      <c r="B59" t="inlineStr">
        <is>
          <t>CHANCHAMAYO</t>
        </is>
      </c>
      <c r="C59" t="inlineStr">
        <is>
          <t>CHANCHAMAYO</t>
        </is>
      </c>
      <c r="D59" t="inlineStr">
        <is>
          <t>120301</t>
        </is>
      </c>
      <c r="E59" t="inlineStr">
        <is>
          <t>—</t>
        </is>
      </c>
      <c r="F59" s="11" t="n">
        <v>43978.8228</v>
      </c>
      <c r="G59" s="6">
        <f>IF($F$125=0,0,F59/$F$125)</f>
        <v/>
      </c>
      <c r="H59" s="5" t="n">
        <v>49256.25</v>
      </c>
      <c r="I59" t="n">
        <v>5</v>
      </c>
      <c r="J59" t="n">
        <v>2</v>
      </c>
      <c r="K59" t="n">
        <v>3</v>
      </c>
      <c r="L59" s="5" t="n">
        <v>164187.51</v>
      </c>
    </row>
    <row r="60">
      <c r="A60" t="inlineStr">
        <is>
          <t>LIMA</t>
        </is>
      </c>
      <c r="B60" t="inlineStr">
        <is>
          <t>LIMA</t>
        </is>
      </c>
      <c r="C60" t="inlineStr">
        <is>
          <t>VILLA EL SALVADOR</t>
        </is>
      </c>
      <c r="D60" t="inlineStr">
        <is>
          <t>150142</t>
        </is>
      </c>
      <c r="E60" t="inlineStr">
        <is>
          <t>Inkafarma Lima VES, Inkafarma Velasco Alvarado</t>
        </is>
      </c>
      <c r="F60" s="11" t="n">
        <v>43027.7335</v>
      </c>
      <c r="G60" s="6">
        <f>IF($F$125=0,0,F60/$F$125)</f>
        <v/>
      </c>
      <c r="H60" s="5" t="n">
        <v>48191.03</v>
      </c>
      <c r="I60" t="n">
        <v>1</v>
      </c>
      <c r="J60" t="n">
        <v>3</v>
      </c>
      <c r="L60" s="5" t="n">
        <v>96382.06</v>
      </c>
    </row>
    <row r="61">
      <c r="A61" t="inlineStr">
        <is>
          <t>ICA</t>
        </is>
      </c>
      <c r="B61" t="inlineStr">
        <is>
          <t>NAZCA</t>
        </is>
      </c>
      <c r="C61" t="inlineStr">
        <is>
          <t>NAZCA</t>
        </is>
      </c>
      <c r="D61" t="inlineStr">
        <is>
          <t>110301</t>
        </is>
      </c>
      <c r="E61" t="inlineStr">
        <is>
          <t>—</t>
        </is>
      </c>
      <c r="F61" s="11" t="n">
        <v>38411.4783</v>
      </c>
      <c r="G61" s="6">
        <f>IF($F$125=0,0,F61/$F$125)</f>
        <v/>
      </c>
      <c r="H61" s="5" t="n">
        <v>43020.83</v>
      </c>
      <c r="I61" t="n">
        <v>3</v>
      </c>
      <c r="J61" t="n">
        <v>5</v>
      </c>
      <c r="L61" s="5" t="n">
        <v>172083.32</v>
      </c>
    </row>
    <row r="62">
      <c r="A62" t="inlineStr">
        <is>
          <t>LIMA</t>
        </is>
      </c>
      <c r="B62" t="inlineStr">
        <is>
          <t>HUARAL</t>
        </is>
      </c>
      <c r="C62" t="inlineStr">
        <is>
          <t>HUARAL</t>
        </is>
      </c>
      <c r="D62" t="inlineStr">
        <is>
          <t>150601</t>
        </is>
      </c>
      <c r="E62" t="inlineStr">
        <is>
          <t>Inkafarma Calle Derecha</t>
        </is>
      </c>
      <c r="F62" s="11" t="n">
        <v>38291.6875</v>
      </c>
      <c r="G62" s="6">
        <f>IF($F$125=0,0,F62/$F$125)</f>
        <v/>
      </c>
      <c r="H62" s="5" t="n">
        <v>42886.66</v>
      </c>
      <c r="I62" t="n">
        <v>4</v>
      </c>
      <c r="J62" t="n">
        <v>4</v>
      </c>
      <c r="L62" s="5" t="n">
        <v>171546.66</v>
      </c>
    </row>
    <row r="63">
      <c r="A63" t="inlineStr">
        <is>
          <t>PIURA</t>
        </is>
      </c>
      <c r="B63" t="inlineStr">
        <is>
          <t>TALARA</t>
        </is>
      </c>
      <c r="C63" t="inlineStr">
        <is>
          <t>PARIÑAS</t>
        </is>
      </c>
      <c r="D63" t="inlineStr">
        <is>
          <t>200701</t>
        </is>
      </c>
      <c r="E63" t="inlineStr">
        <is>
          <t>—</t>
        </is>
      </c>
      <c r="F63" s="11" t="n">
        <v>35572.2974</v>
      </c>
      <c r="G63" s="6">
        <f>IF($F$125=0,0,F63/$F$125)</f>
        <v/>
      </c>
      <c r="H63" s="5" t="n">
        <v>39840.95</v>
      </c>
      <c r="I63" t="n">
        <v>3</v>
      </c>
      <c r="J63" t="n">
        <v>4</v>
      </c>
      <c r="K63" t="n">
        <v>3</v>
      </c>
      <c r="L63" s="5" t="n">
        <v>132803.16</v>
      </c>
    </row>
    <row r="64">
      <c r="A64" t="inlineStr">
        <is>
          <t>LIMA</t>
        </is>
      </c>
      <c r="B64" t="inlineStr">
        <is>
          <t>LIMA</t>
        </is>
      </c>
      <c r="C64" t="inlineStr">
        <is>
          <t>COMAS</t>
        </is>
      </c>
      <c r="D64" t="inlineStr">
        <is>
          <t>150110</t>
        </is>
      </c>
      <c r="E64" t="inlineStr">
        <is>
          <t>Makro Comas, Mall Plaza Comas</t>
        </is>
      </c>
      <c r="F64" s="11" t="n">
        <v>33884.2088</v>
      </c>
      <c r="G64" s="6">
        <f>IF($F$125=0,0,F64/$F$125)</f>
        <v/>
      </c>
      <c r="H64" s="5" t="n">
        <v>37950.29</v>
      </c>
      <c r="I64" t="n">
        <v>3</v>
      </c>
      <c r="J64" t="n">
        <v>3</v>
      </c>
      <c r="L64" s="5" t="n">
        <v>113850.87</v>
      </c>
    </row>
    <row r="65">
      <c r="A65" t="inlineStr">
        <is>
          <t>LIMA</t>
        </is>
      </c>
      <c r="B65" t="inlineStr">
        <is>
          <t>LIMA</t>
        </is>
      </c>
      <c r="C65" t="inlineStr">
        <is>
          <t>MAGDALENA DEL MAR</t>
        </is>
      </c>
      <c r="D65" t="inlineStr">
        <is>
          <t>150120</t>
        </is>
      </c>
      <c r="E65" t="inlineStr">
        <is>
          <t>Inkafarma Brasil, Inkafarma Castilla, Inkafarma Ejército, Inkafarma Sucre, MiFarma Bolívar, Vivanda Javier Prado</t>
        </is>
      </c>
      <c r="F65" s="11" t="n">
        <v>33830.357</v>
      </c>
      <c r="G65" s="6">
        <f>IF($F$125=0,0,F65/$F$125)</f>
        <v/>
      </c>
      <c r="H65" s="5" t="n">
        <v>37889.98</v>
      </c>
      <c r="I65" t="n">
        <v>2</v>
      </c>
      <c r="J65" t="n">
        <v>4</v>
      </c>
      <c r="L65" s="5" t="n">
        <v>113669.93</v>
      </c>
    </row>
    <row r="66">
      <c r="A66" t="inlineStr">
        <is>
          <t>LIMA</t>
        </is>
      </c>
      <c r="B66" t="inlineStr">
        <is>
          <t>BARRANCA</t>
        </is>
      </c>
      <c r="C66" t="inlineStr">
        <is>
          <t>BARRANCA</t>
        </is>
      </c>
      <c r="D66" t="inlineStr">
        <is>
          <t>150201</t>
        </is>
      </c>
      <c r="E66" t="inlineStr">
        <is>
          <t>—</t>
        </is>
      </c>
      <c r="F66" s="11" t="n">
        <v>33291.5779</v>
      </c>
      <c r="G66" s="6">
        <f>IF($F$125=0,0,F66/$F$125)</f>
        <v/>
      </c>
      <c r="H66" s="5" t="n">
        <v>37286.54</v>
      </c>
      <c r="I66" t="n">
        <v>3</v>
      </c>
      <c r="J66" t="n">
        <v>4</v>
      </c>
      <c r="L66" s="5" t="n">
        <v>130502.91</v>
      </c>
    </row>
    <row r="67">
      <c r="A67" t="inlineStr">
        <is>
          <t>AREQUIPA</t>
        </is>
      </c>
      <c r="B67" t="inlineStr">
        <is>
          <t>AREQUIPA</t>
        </is>
      </c>
      <c r="C67" t="inlineStr">
        <is>
          <t>JOSE LUIS BUSTAMANTE Y RIVERO</t>
        </is>
      </c>
      <c r="D67" t="inlineStr">
        <is>
          <t>040129</t>
        </is>
      </c>
      <c r="E67" t="inlineStr">
        <is>
          <t>—</t>
        </is>
      </c>
      <c r="F67" s="11" t="n">
        <v>33199.5909</v>
      </c>
      <c r="G67" s="6">
        <f>IF($F$125=0,0,F67/$F$125)</f>
        <v/>
      </c>
      <c r="H67" s="5" t="n">
        <v>37183.52</v>
      </c>
      <c r="I67" t="n">
        <v>2</v>
      </c>
      <c r="J67" t="n">
        <v>5</v>
      </c>
      <c r="L67" s="5" t="n">
        <v>130142.32</v>
      </c>
    </row>
    <row r="68">
      <c r="A68" t="inlineStr">
        <is>
          <t>MOQUEGUA</t>
        </is>
      </c>
      <c r="B68" t="inlineStr">
        <is>
          <t>ILO</t>
        </is>
      </c>
      <c r="C68" t="inlineStr">
        <is>
          <t>ILO</t>
        </is>
      </c>
      <c r="D68" t="inlineStr">
        <is>
          <t>180301</t>
        </is>
      </c>
      <c r="E68" t="inlineStr">
        <is>
          <t>—</t>
        </is>
      </c>
      <c r="F68" s="11" t="n">
        <v>33093.9009</v>
      </c>
      <c r="G68" s="6">
        <f>IF($F$125=0,0,F68/$F$125)</f>
        <v/>
      </c>
      <c r="H68" s="5" t="n">
        <v>37065.15</v>
      </c>
      <c r="I68" t="n">
        <v>4</v>
      </c>
      <c r="J68" t="n">
        <v>2</v>
      </c>
      <c r="L68" s="5" t="n">
        <v>111195.44</v>
      </c>
    </row>
    <row r="69">
      <c r="A69" t="inlineStr">
        <is>
          <t>SAN MARTIN</t>
        </is>
      </c>
      <c r="B69" t="inlineStr">
        <is>
          <t>MOYOBAMBA</t>
        </is>
      </c>
      <c r="C69" t="inlineStr">
        <is>
          <t>MOYOBAMBA</t>
        </is>
      </c>
      <c r="D69" t="inlineStr">
        <is>
          <t>220101</t>
        </is>
      </c>
      <c r="E69" t="inlineStr">
        <is>
          <t>Makro Moyobamba</t>
        </is>
      </c>
      <c r="F69" s="11" t="n">
        <v>30405.8966</v>
      </c>
      <c r="G69" s="6">
        <f>IF($F$125=0,0,F69/$F$125)</f>
        <v/>
      </c>
      <c r="H69" s="5" t="n">
        <v>34054.58</v>
      </c>
      <c r="I69" t="n">
        <v>4</v>
      </c>
      <c r="J69" t="n">
        <v>4</v>
      </c>
      <c r="K69" t="n">
        <v>2</v>
      </c>
      <c r="L69" s="5" t="n">
        <v>113515.28</v>
      </c>
    </row>
    <row r="70">
      <c r="A70" t="inlineStr">
        <is>
          <t>PASCO</t>
        </is>
      </c>
      <c r="B70" t="inlineStr">
        <is>
          <t>PASCO</t>
        </is>
      </c>
      <c r="C70" t="inlineStr">
        <is>
          <t>YANACANCHA</t>
        </is>
      </c>
      <c r="D70" t="inlineStr">
        <is>
          <t>190113</t>
        </is>
      </c>
      <c r="E70" t="inlineStr">
        <is>
          <t>—</t>
        </is>
      </c>
      <c r="F70" s="11" t="n">
        <v>27866.2702</v>
      </c>
      <c r="G70" s="6">
        <f>IF($F$125=0,0,F70/$F$125)</f>
        <v/>
      </c>
      <c r="H70" s="5" t="n">
        <v>31210.2</v>
      </c>
      <c r="I70" t="n">
        <v>4</v>
      </c>
      <c r="J70" t="n">
        <v>2</v>
      </c>
      <c r="K70" t="n">
        <v>3</v>
      </c>
      <c r="L70" s="5" t="n">
        <v>93630.61</v>
      </c>
    </row>
    <row r="71">
      <c r="A71" t="inlineStr">
        <is>
          <t>CUSCO</t>
        </is>
      </c>
      <c r="B71" t="inlineStr">
        <is>
          <t>CUSCO</t>
        </is>
      </c>
      <c r="C71" t="inlineStr">
        <is>
          <t>SAN SEBASTIAN</t>
        </is>
      </c>
      <c r="D71" t="inlineStr">
        <is>
          <t>080105</t>
        </is>
      </c>
      <c r="E71" t="inlineStr">
        <is>
          <t>—</t>
        </is>
      </c>
      <c r="F71" s="11" t="n">
        <v>25653.7194</v>
      </c>
      <c r="G71" s="6">
        <f>IF($F$125=0,0,F71/$F$125)</f>
        <v/>
      </c>
      <c r="H71" s="5" t="n">
        <v>28732.15</v>
      </c>
      <c r="I71" t="n">
        <v>4</v>
      </c>
      <c r="J71" t="n">
        <v>2</v>
      </c>
      <c r="K71" t="n">
        <v>3</v>
      </c>
      <c r="L71" s="5" t="n">
        <v>86196.44</v>
      </c>
    </row>
    <row r="72">
      <c r="A72" t="inlineStr">
        <is>
          <t>AREQUIPA</t>
        </is>
      </c>
      <c r="B72" t="inlineStr">
        <is>
          <t>CAMANA</t>
        </is>
      </c>
      <c r="C72" t="inlineStr">
        <is>
          <t>CAMANA</t>
        </is>
      </c>
      <c r="D72" t="inlineStr">
        <is>
          <t>040201</t>
        </is>
      </c>
      <c r="E72" t="inlineStr">
        <is>
          <t>—</t>
        </is>
      </c>
      <c r="F72" s="11" t="n">
        <v>24045.2624</v>
      </c>
      <c r="G72" s="6">
        <f>IF($F$125=0,0,F72/$F$125)</f>
        <v/>
      </c>
      <c r="H72" s="5" t="n">
        <v>26930.68</v>
      </c>
      <c r="I72" t="n">
        <v>4</v>
      </c>
      <c r="J72" t="n">
        <v>4</v>
      </c>
      <c r="L72" s="5" t="n">
        <v>107722.71</v>
      </c>
    </row>
    <row r="73">
      <c r="A73" t="inlineStr">
        <is>
          <t>PIURA</t>
        </is>
      </c>
      <c r="B73" t="inlineStr">
        <is>
          <t>PAITA</t>
        </is>
      </c>
      <c r="C73" t="inlineStr">
        <is>
          <t>PAITA</t>
        </is>
      </c>
      <c r="D73" t="inlineStr">
        <is>
          <t>200501</t>
        </is>
      </c>
      <c r="E73" t="inlineStr">
        <is>
          <t>—</t>
        </is>
      </c>
      <c r="F73" s="11" t="n">
        <v>23831.1279</v>
      </c>
      <c r="G73" s="6">
        <f>IF($F$125=0,0,F73/$F$125)</f>
        <v/>
      </c>
      <c r="H73" s="5" t="n">
        <v>26690.85</v>
      </c>
      <c r="I73" t="n">
        <v>2</v>
      </c>
      <c r="J73" t="n">
        <v>4</v>
      </c>
      <c r="L73" s="5" t="n">
        <v>80072.53999999999</v>
      </c>
    </row>
    <row r="74">
      <c r="A74" t="inlineStr">
        <is>
          <t>LIMA</t>
        </is>
      </c>
      <c r="B74" t="inlineStr">
        <is>
          <t>LIMA</t>
        </is>
      </c>
      <c r="C74" t="inlineStr">
        <is>
          <t>PUENTE PIEDRA</t>
        </is>
      </c>
      <c r="D74" t="inlineStr">
        <is>
          <t>150125</t>
        </is>
      </c>
      <c r="E74" t="inlineStr">
        <is>
          <t>Inkafarma Panamericana Norte, MiFarma Lecaros 149, MiFarma Lecaros 161, MiFarma Universitaria</t>
        </is>
      </c>
      <c r="F74" s="11" t="n">
        <v>23237.3597</v>
      </c>
      <c r="G74" s="6">
        <f>IF($F$125=0,0,F74/$F$125)</f>
        <v/>
      </c>
      <c r="H74" s="5" t="n">
        <v>26025.83</v>
      </c>
      <c r="I74" t="n">
        <v>2</v>
      </c>
      <c r="J74" t="n">
        <v>3</v>
      </c>
      <c r="L74" s="5" t="n">
        <v>65064.57</v>
      </c>
    </row>
    <row r="75">
      <c r="A75" t="inlineStr">
        <is>
          <t>LIMA</t>
        </is>
      </c>
      <c r="B75" t="inlineStr">
        <is>
          <t>LIMA</t>
        </is>
      </c>
      <c r="C75" t="inlineStr">
        <is>
          <t>LURIN</t>
        </is>
      </c>
      <c r="D75" t="inlineStr">
        <is>
          <t>150119</t>
        </is>
      </c>
      <c r="E75" t="inlineStr">
        <is>
          <t>MiFarma Tarapacá</t>
        </is>
      </c>
      <c r="F75" s="11" t="n">
        <v>20265.8003</v>
      </c>
      <c r="G75" s="6">
        <f>IF($F$125=0,0,F75/$F$125)</f>
        <v/>
      </c>
      <c r="H75" s="5" t="n">
        <v>22697.68</v>
      </c>
      <c r="I75" t="n">
        <v>3</v>
      </c>
      <c r="J75" t="n">
        <v>3</v>
      </c>
      <c r="L75" s="5" t="n">
        <v>68093.05</v>
      </c>
    </row>
    <row r="76">
      <c r="A76" t="inlineStr">
        <is>
          <t>LIMA</t>
        </is>
      </c>
      <c r="B76" t="inlineStr">
        <is>
          <t>LIMA</t>
        </is>
      </c>
      <c r="C76" t="inlineStr">
        <is>
          <t>CARABAYLLO</t>
        </is>
      </c>
      <c r="D76" t="inlineStr">
        <is>
          <t>150106</t>
        </is>
      </c>
      <c r="E76" t="inlineStr">
        <is>
          <t>—</t>
        </is>
      </c>
      <c r="F76" s="11" t="n">
        <v>16003.7408</v>
      </c>
      <c r="G76" s="6">
        <f>IF($F$125=0,0,F76/$F$125)</f>
        <v/>
      </c>
      <c r="H76" s="5" t="n">
        <v>17924.18</v>
      </c>
      <c r="I76" t="n">
        <v>5</v>
      </c>
      <c r="J76" t="n">
        <v>3</v>
      </c>
      <c r="L76" s="5" t="n">
        <v>71696.71000000001</v>
      </c>
    </row>
    <row r="77">
      <c r="A77" t="inlineStr">
        <is>
          <t>ICA</t>
        </is>
      </c>
      <c r="B77" t="inlineStr">
        <is>
          <t>NAZCA</t>
        </is>
      </c>
      <c r="C77" t="inlineStr">
        <is>
          <t>MARCONA</t>
        </is>
      </c>
      <c r="D77" t="inlineStr">
        <is>
          <t>110304</t>
        </is>
      </c>
      <c r="E77" t="inlineStr">
        <is>
          <t>—</t>
        </is>
      </c>
      <c r="F77" s="11" t="n">
        <v>14726.4571</v>
      </c>
      <c r="G77" s="6">
        <f>IF($F$125=0,0,F77/$F$125)</f>
        <v/>
      </c>
      <c r="H77" s="5" t="n">
        <v>16493.62</v>
      </c>
      <c r="I77" t="n">
        <v>3</v>
      </c>
      <c r="J77" t="n">
        <v>4</v>
      </c>
      <c r="L77" s="5" t="n">
        <v>57727.68</v>
      </c>
    </row>
    <row r="78">
      <c r="A78" t="inlineStr">
        <is>
          <t>CALLAO</t>
        </is>
      </c>
      <c r="B78" t="inlineStr">
        <is>
          <t>CALLAO</t>
        </is>
      </c>
      <c r="C78" t="inlineStr">
        <is>
          <t>VENTANILLA</t>
        </is>
      </c>
      <c r="D78" t="inlineStr">
        <is>
          <t>070106</t>
        </is>
      </c>
      <c r="E78" t="inlineStr">
        <is>
          <t>—</t>
        </is>
      </c>
      <c r="F78" s="11" t="n">
        <v>13996.8848</v>
      </c>
      <c r="G78" s="6">
        <f>IF($F$125=0,0,F78/$F$125)</f>
        <v/>
      </c>
      <c r="H78" s="5" t="n">
        <v>15676.5</v>
      </c>
      <c r="I78" t="n">
        <v>3</v>
      </c>
      <c r="J78" t="n">
        <v>3</v>
      </c>
      <c r="L78" s="5" t="n">
        <v>47029.5</v>
      </c>
    </row>
    <row r="79">
      <c r="A79" t="inlineStr">
        <is>
          <t>APURIMAC</t>
        </is>
      </c>
      <c r="B79" t="inlineStr">
        <is>
          <t>COTABAMBAS</t>
        </is>
      </c>
      <c r="C79" t="inlineStr">
        <is>
          <t>CHALLHUAHUACHO</t>
        </is>
      </c>
      <c r="D79" t="inlineStr">
        <is>
          <t>030506</t>
        </is>
      </c>
      <c r="E79" t="inlineStr">
        <is>
          <t>—</t>
        </is>
      </c>
      <c r="F79" s="11" t="n">
        <v>12790.7785</v>
      </c>
      <c r="G79" s="6">
        <f>IF($F$125=0,0,F79/$F$125)</f>
        <v/>
      </c>
      <c r="H79" s="5" t="n">
        <v>14325.66</v>
      </c>
      <c r="I79" t="n">
        <v>3</v>
      </c>
      <c r="J79" t="n">
        <v>3</v>
      </c>
      <c r="K79" t="n">
        <v>3</v>
      </c>
      <c r="L79" s="5" t="n">
        <v>42976.99</v>
      </c>
    </row>
    <row r="80">
      <c r="A80" t="inlineStr">
        <is>
          <t>LIMA</t>
        </is>
      </c>
      <c r="B80" t="inlineStr">
        <is>
          <t>HUARAL</t>
        </is>
      </c>
      <c r="C80" t="inlineStr">
        <is>
          <t>CHANCAY</t>
        </is>
      </c>
      <c r="D80" t="inlineStr">
        <is>
          <t>150605</t>
        </is>
      </c>
      <c r="E80" t="inlineStr">
        <is>
          <t>—</t>
        </is>
      </c>
      <c r="F80" s="11" t="n">
        <v>10167.0856</v>
      </c>
      <c r="G80" s="6">
        <f>IF($F$125=0,0,F80/$F$125)</f>
        <v/>
      </c>
      <c r="H80" s="5" t="n">
        <v>11387.13</v>
      </c>
      <c r="I80" t="n">
        <v>3</v>
      </c>
      <c r="J80" t="n">
        <v>4</v>
      </c>
      <c r="L80" s="5" t="n">
        <v>39854.95</v>
      </c>
    </row>
    <row r="81">
      <c r="A81" t="inlineStr">
        <is>
          <t>LIMA</t>
        </is>
      </c>
      <c r="B81" t="inlineStr">
        <is>
          <t>LIMA</t>
        </is>
      </c>
      <c r="C81" t="inlineStr">
        <is>
          <t>LURIGANCHO</t>
        </is>
      </c>
      <c r="D81" t="inlineStr">
        <is>
          <t>150118</t>
        </is>
      </c>
      <c r="E81" t="inlineStr">
        <is>
          <t>Inkafarma Lima Lurigancho</t>
        </is>
      </c>
      <c r="F81" s="11" t="n">
        <v>6873.717</v>
      </c>
      <c r="G81" s="6">
        <f>IF($F$125=0,0,F81/$F$125)</f>
        <v/>
      </c>
      <c r="H81" s="5" t="n">
        <v>7698.56</v>
      </c>
      <c r="I81" t="n">
        <v>5</v>
      </c>
      <c r="J81" t="n">
        <v>4</v>
      </c>
      <c r="L81" s="5" t="n">
        <v>34643.51</v>
      </c>
    </row>
    <row r="82">
      <c r="A82" t="inlineStr">
        <is>
          <t>LA LIBERTAD</t>
        </is>
      </c>
      <c r="B82" t="inlineStr">
        <is>
          <t>PATAZ</t>
        </is>
      </c>
      <c r="C82" t="inlineStr">
        <is>
          <t>PARCOY</t>
        </is>
      </c>
      <c r="D82" t="inlineStr">
        <is>
          <t>130808</t>
        </is>
      </c>
      <c r="E82" t="inlineStr">
        <is>
          <t>—</t>
        </is>
      </c>
      <c r="F82" s="11" t="n">
        <v>1020.7405</v>
      </c>
      <c r="G82" s="6">
        <f>IF($F$125=0,0,F82/$F$125)</f>
        <v/>
      </c>
      <c r="H82" s="5" t="n">
        <v>1143.23</v>
      </c>
      <c r="I82" t="n">
        <v>5</v>
      </c>
      <c r="J82" t="n">
        <v>2</v>
      </c>
      <c r="K82" t="n">
        <v>2</v>
      </c>
      <c r="L82" s="5" t="n">
        <v>3429.69</v>
      </c>
    </row>
    <row r="83">
      <c r="A83" t="inlineStr">
        <is>
          <t>UCAYALI</t>
        </is>
      </c>
      <c r="B83" t="inlineStr">
        <is>
          <t>CORONEL PORTILLO</t>
        </is>
      </c>
      <c r="C83" t="inlineStr">
        <is>
          <t>YARINACOCHA</t>
        </is>
      </c>
      <c r="D83" t="inlineStr">
        <is>
          <t>250105</t>
        </is>
      </c>
      <c r="E83" t="inlineStr">
        <is>
          <t>—</t>
        </is>
      </c>
      <c r="F83" s="11" t="n">
        <v>980.9661</v>
      </c>
      <c r="G83" s="6">
        <f>IF($F$125=0,0,F83/$F$125)</f>
        <v/>
      </c>
      <c r="H83" s="5" t="n">
        <v>1098.68</v>
      </c>
      <c r="I83" t="n">
        <v>1</v>
      </c>
      <c r="J83" t="n">
        <v>5</v>
      </c>
      <c r="K83" t="n">
        <v>2</v>
      </c>
      <c r="L83" s="5" t="n">
        <v>2929.82</v>
      </c>
    </row>
    <row r="84">
      <c r="A84" t="inlineStr">
        <is>
          <t>LIMA</t>
        </is>
      </c>
      <c r="B84" t="inlineStr">
        <is>
          <t>LIMA</t>
        </is>
      </c>
      <c r="C84" t="inlineStr">
        <is>
          <t>VILLA MARIA DEL TRIUNFO</t>
        </is>
      </c>
      <c r="D84" t="inlineStr">
        <is>
          <t>150143</t>
        </is>
      </c>
      <c r="E84" t="inlineStr">
        <is>
          <t>—</t>
        </is>
      </c>
      <c r="F84" s="11" t="n">
        <v>339.6747</v>
      </c>
      <c r="G84" s="6">
        <f>IF($F$125=0,0,F84/$F$125)</f>
        <v/>
      </c>
      <c r="H84" s="5" t="n">
        <v>380.44</v>
      </c>
      <c r="I84" t="n">
        <v>4</v>
      </c>
      <c r="J84" t="n">
        <v>1</v>
      </c>
      <c r="L84" s="5" t="n">
        <v>951.09</v>
      </c>
    </row>
    <row r="85">
      <c r="A85" t="inlineStr">
        <is>
          <t>LIMA</t>
        </is>
      </c>
      <c r="B85" t="inlineStr">
        <is>
          <t>LIMA</t>
        </is>
      </c>
      <c r="C85" t="inlineStr">
        <is>
          <t>LIMA</t>
        </is>
      </c>
      <c r="D85" t="inlineStr">
        <is>
          <t>150101</t>
        </is>
      </c>
      <c r="E85" t="inlineStr">
        <is>
          <t>Inkafarma 2 de Mayo, Inkafarma Elio, Inkafarma Riva Agüero, Inkafarma Uruguay, MiFarma Aviación, MiFarma Huallaga, MiFarma Miguel Iglesias, MiFarma Tacna, MiFarma Unión</t>
        </is>
      </c>
      <c r="F85" s="11" t="n">
        <v>0.07439999999999999</v>
      </c>
      <c r="G85" s="6">
        <f>IF($F$125=0,0,F85/$F$125)</f>
        <v/>
      </c>
      <c r="H85" s="5" t="n">
        <v>3053648.87</v>
      </c>
      <c r="I85" t="n">
        <v>2</v>
      </c>
      <c r="J85" t="n">
        <v>4</v>
      </c>
      <c r="L85" s="5" t="n">
        <v>9160946.619999999</v>
      </c>
    </row>
    <row r="86">
      <c r="A86" t="inlineStr">
        <is>
          <t>LIMA</t>
        </is>
      </c>
      <c r="B86" t="inlineStr">
        <is>
          <t>HUAROCHIRI</t>
        </is>
      </c>
      <c r="C86" t="inlineStr">
        <is>
          <t>SURCO</t>
        </is>
      </c>
      <c r="D86" t="inlineStr">
        <is>
          <t>150732</t>
        </is>
      </c>
      <c r="E86" t="inlineStr">
        <is>
          <t>Inkafarma La Encalada 1415, Inkafarma La Encalada 973, Inkafarma Los Laureles, Inkafarma Surco 3664, Inkafarma Velasco Astete, MiFarma Chacarilla, MiFarma Faustor, MiFarma Primavera, Vivanda Monterrico</t>
        </is>
      </c>
      <c r="F86" s="11" t="n">
        <v>0.07439999999999999</v>
      </c>
      <c r="G86" s="6">
        <f>IF($F$125=0,0,F86/$F$125)</f>
        <v/>
      </c>
      <c r="H86" s="5" t="n">
        <v>3053648.87</v>
      </c>
      <c r="I86" t="n">
        <v>4</v>
      </c>
      <c r="J86" t="n">
        <v>1</v>
      </c>
      <c r="K86" t="n">
        <v>4</v>
      </c>
      <c r="L86" s="5" t="n">
        <v>9160946.619999999</v>
      </c>
    </row>
    <row r="87">
      <c r="A87" t="inlineStr">
        <is>
          <t>LIMA</t>
        </is>
      </c>
      <c r="B87" t="inlineStr">
        <is>
          <t>LIMA</t>
        </is>
      </c>
      <c r="C87" t="inlineStr">
        <is>
          <t>MIRAFLORES</t>
        </is>
      </c>
      <c r="D87" t="inlineStr">
        <is>
          <t>150122</t>
        </is>
      </c>
      <c r="E87" t="inlineStr">
        <is>
          <t>Inkafarma Arequipa, Inkafarma Benavides 1901, Inkafarma Benavides 425, Inkafarma Pardo, Vivanda Benavides, Vivanda Miraflores, Vivanda Pardo</t>
        </is>
      </c>
      <c r="F87" s="11" t="n">
        <v>0.0579</v>
      </c>
      <c r="G87" s="6">
        <f>IF($F$125=0,0,F87/$F$125)</f>
        <v/>
      </c>
      <c r="H87" s="5" t="n">
        <v>2375060.23</v>
      </c>
      <c r="I87" t="n">
        <v>2</v>
      </c>
      <c r="J87" t="n">
        <v>4</v>
      </c>
      <c r="L87" s="5" t="n">
        <v>7125180.7</v>
      </c>
    </row>
    <row r="88">
      <c r="A88" t="inlineStr">
        <is>
          <t>LIMA</t>
        </is>
      </c>
      <c r="B88" t="inlineStr">
        <is>
          <t>LIMA</t>
        </is>
      </c>
      <c r="C88" t="inlineStr">
        <is>
          <t>LA VICTORIA</t>
        </is>
      </c>
      <c r="D88" t="inlineStr">
        <is>
          <t>150115</t>
        </is>
      </c>
      <c r="E88" t="inlineStr">
        <is>
          <t>Inkafarma Bausate y Meza, Inkafarma Canadá, MiFarma Alzamora 147, MiFarma Canadá 903, MiFarma México, MiFarma Víctor Alzamora</t>
        </is>
      </c>
      <c r="F88" s="11" t="n">
        <v>0.0496</v>
      </c>
      <c r="G88" s="6">
        <f>IF($F$125=0,0,F88/$F$125)</f>
        <v/>
      </c>
      <c r="H88" s="5" t="n">
        <v>2035765.92</v>
      </c>
      <c r="I88" t="n">
        <v>1</v>
      </c>
      <c r="J88" t="n">
        <v>3</v>
      </c>
      <c r="L88" s="5" t="n">
        <v>4071531.83</v>
      </c>
    </row>
    <row r="89">
      <c r="A89" t="inlineStr">
        <is>
          <t>LIMA</t>
        </is>
      </c>
      <c r="B89" t="inlineStr">
        <is>
          <t>LIMA</t>
        </is>
      </c>
      <c r="C89" t="inlineStr">
        <is>
          <t>MAGDALENA DEL MAR</t>
        </is>
      </c>
      <c r="D89" t="inlineStr">
        <is>
          <t>150120</t>
        </is>
      </c>
      <c r="E89" t="inlineStr">
        <is>
          <t>Inkafarma Brasil, Inkafarma Castilla, Inkafarma Ejército, Inkafarma Sucre, MiFarma Bolívar, Vivanda Javier Prado</t>
        </is>
      </c>
      <c r="F89" s="11" t="n">
        <v>0.0496</v>
      </c>
      <c r="G89" s="6">
        <f>IF($F$125=0,0,F89/$F$125)</f>
        <v/>
      </c>
      <c r="H89" s="5" t="n">
        <v>2035765.92</v>
      </c>
      <c r="I89" t="n">
        <v>2</v>
      </c>
      <c r="J89" t="n">
        <v>4</v>
      </c>
      <c r="L89" s="5" t="n">
        <v>6107297.75</v>
      </c>
    </row>
    <row r="90">
      <c r="A90" t="inlineStr">
        <is>
          <t>LIMA</t>
        </is>
      </c>
      <c r="B90" t="inlineStr">
        <is>
          <t>LIMA</t>
        </is>
      </c>
      <c r="C90" t="inlineStr">
        <is>
          <t>SAN ISIDRO</t>
        </is>
      </c>
      <c r="D90" t="inlineStr">
        <is>
          <t>150131</t>
        </is>
      </c>
      <c r="E90" t="inlineStr">
        <is>
          <t>Inkafarma Ignacio Merino, Inkafarma Llano Zapata, MiFarma Aramburú, Vivanda Dos de Mayo, Vivanda Libertadores, Vivanda Pezet</t>
        </is>
      </c>
      <c r="F90" s="11" t="n">
        <v>0.0496</v>
      </c>
      <c r="G90" s="6">
        <f>IF($F$125=0,0,F90/$F$125)</f>
        <v/>
      </c>
      <c r="H90" s="5" t="n">
        <v>2035765.92</v>
      </c>
      <c r="I90" t="n">
        <v>1</v>
      </c>
      <c r="J90" t="n">
        <v>4</v>
      </c>
      <c r="L90" s="5" t="n">
        <v>5089414.79</v>
      </c>
    </row>
    <row r="91">
      <c r="A91" t="inlineStr">
        <is>
          <t>LIMA</t>
        </is>
      </c>
      <c r="B91" t="inlineStr">
        <is>
          <t>LIMA</t>
        </is>
      </c>
      <c r="C91" t="inlineStr">
        <is>
          <t>LA MOLINA</t>
        </is>
      </c>
      <c r="D91" t="inlineStr">
        <is>
          <t>150114</t>
        </is>
      </c>
      <c r="E91" t="inlineStr">
        <is>
          <t>Inkafarma Los Analistas, MiFarma Camacho, MiFarma Flora Tristán, MiFarma Huarochirí, MiFarma Salamanca</t>
        </is>
      </c>
      <c r="F91" s="11" t="n">
        <v>0.0413</v>
      </c>
      <c r="G91" s="6">
        <f>IF($F$125=0,0,F91/$F$125)</f>
        <v/>
      </c>
      <c r="H91" s="5" t="n">
        <v>1696471.6</v>
      </c>
      <c r="I91" t="n">
        <v>4</v>
      </c>
      <c r="J91" t="n">
        <v>3</v>
      </c>
      <c r="L91" s="5" t="n">
        <v>5937650.59</v>
      </c>
    </row>
    <row r="92">
      <c r="A92" t="inlineStr">
        <is>
          <t>LIMA</t>
        </is>
      </c>
      <c r="B92" t="inlineStr">
        <is>
          <t>LIMA</t>
        </is>
      </c>
      <c r="C92" t="inlineStr">
        <is>
          <t>CHORRILLOS</t>
        </is>
      </c>
      <c r="D92" t="inlineStr">
        <is>
          <t>150108</t>
        </is>
      </c>
      <c r="E92" t="inlineStr">
        <is>
          <t>Inkafarma Defensores del Morro, Inkafarma Guardia Civil, Inkafarma Paseo de la República, Makro Chorrillos, MiFarma Alameda Sur</t>
        </is>
      </c>
      <c r="F92" s="11" t="n">
        <v>0.0413</v>
      </c>
      <c r="G92" s="6">
        <f>IF($F$125=0,0,F92/$F$125)</f>
        <v/>
      </c>
      <c r="H92" s="5" t="n">
        <v>1696471.6</v>
      </c>
      <c r="I92" t="n">
        <v>2</v>
      </c>
      <c r="J92" t="n">
        <v>4</v>
      </c>
      <c r="L92" s="5" t="n">
        <v>5089414.79</v>
      </c>
    </row>
    <row r="93">
      <c r="A93" t="inlineStr">
        <is>
          <t>LIMA</t>
        </is>
      </c>
      <c r="B93" t="inlineStr">
        <is>
          <t>LIMA</t>
        </is>
      </c>
      <c r="C93" t="inlineStr">
        <is>
          <t>PUENTE PIEDRA</t>
        </is>
      </c>
      <c r="D93" t="inlineStr">
        <is>
          <t>150125</t>
        </is>
      </c>
      <c r="E93" t="inlineStr">
        <is>
          <t>Inkafarma Panamericana Norte, MiFarma Lecaros 149, MiFarma Lecaros 161, MiFarma Universitaria</t>
        </is>
      </c>
      <c r="F93" s="11" t="n">
        <v>0.0331</v>
      </c>
      <c r="G93" s="6">
        <f>IF($F$125=0,0,F93/$F$125)</f>
        <v/>
      </c>
      <c r="H93" s="5" t="n">
        <v>1357177.28</v>
      </c>
      <c r="I93" t="n">
        <v>2</v>
      </c>
      <c r="J93" t="n">
        <v>3</v>
      </c>
      <c r="L93" s="5" t="n">
        <v>3392943.19</v>
      </c>
    </row>
    <row r="94">
      <c r="A94" t="inlineStr">
        <is>
          <t>LIMA</t>
        </is>
      </c>
      <c r="B94" t="inlineStr">
        <is>
          <t>LIMA</t>
        </is>
      </c>
      <c r="C94" t="inlineStr">
        <is>
          <t>SAN BORJA</t>
        </is>
      </c>
      <c r="D94" t="inlineStr">
        <is>
          <t>150130</t>
        </is>
      </c>
      <c r="E94" t="inlineStr">
        <is>
          <t>Inkafarma Angamos, Inkafarma Aviación, Inkafarma San Borja Sur, Inkafarma San Luis</t>
        </is>
      </c>
      <c r="F94" s="11" t="n">
        <v>0.0331</v>
      </c>
      <c r="G94" s="6">
        <f>IF($F$125=0,0,F94/$F$125)</f>
        <v/>
      </c>
      <c r="H94" s="5" t="n">
        <v>1357177.28</v>
      </c>
      <c r="I94" t="n">
        <v>1</v>
      </c>
      <c r="J94" t="n">
        <v>2</v>
      </c>
      <c r="L94" s="5" t="n">
        <v>2035765.92</v>
      </c>
    </row>
    <row r="95">
      <c r="A95" t="inlineStr">
        <is>
          <t>LIMA</t>
        </is>
      </c>
      <c r="B95" t="inlineStr">
        <is>
          <t>LIMA</t>
        </is>
      </c>
      <c r="C95" t="inlineStr">
        <is>
          <t>SAN JUAN DE LURIGANCHO</t>
        </is>
      </c>
      <c r="D95" t="inlineStr">
        <is>
          <t>150132</t>
        </is>
      </c>
      <c r="E95" t="inlineStr">
        <is>
          <t>Inkafarma 13 de Enero, Inkafarma Gran Chimú, Makro San Juan de Lurigancho, MiFarma Vara de Oro</t>
        </is>
      </c>
      <c r="F95" s="11" t="n">
        <v>0.0331</v>
      </c>
      <c r="G95" s="6">
        <f>IF($F$125=0,0,F95/$F$125)</f>
        <v/>
      </c>
      <c r="H95" s="5" t="n">
        <v>1357177.28</v>
      </c>
      <c r="I95" t="n">
        <v>5</v>
      </c>
      <c r="J95" t="n">
        <v>2</v>
      </c>
      <c r="L95" s="5" t="n">
        <v>4750120.47</v>
      </c>
    </row>
    <row r="96">
      <c r="A96" t="inlineStr">
        <is>
          <t>LIMA</t>
        </is>
      </c>
      <c r="B96" t="inlineStr">
        <is>
          <t>LIMA</t>
        </is>
      </c>
      <c r="C96" t="inlineStr">
        <is>
          <t>SURQUILLO</t>
        </is>
      </c>
      <c r="D96" t="inlineStr">
        <is>
          <t>150141</t>
        </is>
      </c>
      <c r="E96" t="inlineStr">
        <is>
          <t>Inkafarma Las Tiendas, Inkafarma Villarán, MiFarma Angamos, MiFarma Las Tiendas</t>
        </is>
      </c>
      <c r="F96" s="11" t="n">
        <v>0.0331</v>
      </c>
      <c r="G96" s="6">
        <f>IF($F$125=0,0,F96/$F$125)</f>
        <v/>
      </c>
      <c r="H96" s="5" t="n">
        <v>1357177.28</v>
      </c>
      <c r="I96" t="n">
        <v>1</v>
      </c>
      <c r="J96" t="n">
        <v>4</v>
      </c>
      <c r="L96" s="5" t="n">
        <v>3392943.19</v>
      </c>
    </row>
    <row r="97">
      <c r="A97" t="inlineStr">
        <is>
          <t>LIMA</t>
        </is>
      </c>
      <c r="B97" t="inlineStr">
        <is>
          <t>LIMA</t>
        </is>
      </c>
      <c r="C97" t="inlineStr">
        <is>
          <t>SAN MIGUEL</t>
        </is>
      </c>
      <c r="D97" t="inlineStr">
        <is>
          <t>150136</t>
        </is>
      </c>
      <c r="E97" t="inlineStr">
        <is>
          <t>Inkafarma La Paz, MiFarma Pando, MiFarma Prol. Lima</t>
        </is>
      </c>
      <c r="F97" s="11" t="n">
        <v>0.0248</v>
      </c>
      <c r="G97" s="6">
        <f>IF($F$125=0,0,F97/$F$125)</f>
        <v/>
      </c>
      <c r="H97" s="5" t="n">
        <v>1017882.96</v>
      </c>
      <c r="I97" t="n">
        <v>1</v>
      </c>
      <c r="J97" t="n">
        <v>4</v>
      </c>
      <c r="L97" s="5" t="n">
        <v>2544707.39</v>
      </c>
    </row>
    <row r="98">
      <c r="A98" t="inlineStr">
        <is>
          <t>LIMA</t>
        </is>
      </c>
      <c r="B98" t="inlineStr">
        <is>
          <t>LIMA</t>
        </is>
      </c>
      <c r="C98" t="inlineStr">
        <is>
          <t>LINCE</t>
        </is>
      </c>
      <c r="D98" t="inlineStr">
        <is>
          <t>150116</t>
        </is>
      </c>
      <c r="E98" t="inlineStr">
        <is>
          <t>Inkafarma Ignacio Merino Lince, MiFarma Risso</t>
        </is>
      </c>
      <c r="F98" s="11" t="n">
        <v>0.0165</v>
      </c>
      <c r="G98" s="6">
        <f>IF($F$125=0,0,F98/$F$125)</f>
        <v/>
      </c>
      <c r="H98" s="5" t="n">
        <v>678588.64</v>
      </c>
      <c r="I98" t="n">
        <v>1</v>
      </c>
      <c r="J98" t="n">
        <v>4</v>
      </c>
      <c r="L98" s="5" t="n">
        <v>1696471.6</v>
      </c>
    </row>
    <row r="99">
      <c r="A99" t="inlineStr">
        <is>
          <t>LIMA</t>
        </is>
      </c>
      <c r="B99" t="inlineStr">
        <is>
          <t>LIMA</t>
        </is>
      </c>
      <c r="C99" t="inlineStr">
        <is>
          <t>VILLA EL SALVADOR</t>
        </is>
      </c>
      <c r="D99" t="inlineStr">
        <is>
          <t>150142</t>
        </is>
      </c>
      <c r="E99" t="inlineStr">
        <is>
          <t>Inkafarma Lima VES, Inkafarma Velasco Alvarado</t>
        </is>
      </c>
      <c r="F99" s="11" t="n">
        <v>0.0165</v>
      </c>
      <c r="G99" s="6">
        <f>IF($F$125=0,0,F99/$F$125)</f>
        <v/>
      </c>
      <c r="H99" s="5" t="n">
        <v>678588.64</v>
      </c>
      <c r="I99" t="n">
        <v>1</v>
      </c>
      <c r="J99" t="n">
        <v>3</v>
      </c>
      <c r="L99" s="5" t="n">
        <v>1357177.28</v>
      </c>
    </row>
    <row r="100">
      <c r="A100" t="inlineStr">
        <is>
          <t>LIMA</t>
        </is>
      </c>
      <c r="B100" t="inlineStr">
        <is>
          <t>LIMA</t>
        </is>
      </c>
      <c r="C100" t="inlineStr">
        <is>
          <t>JESUS MARIA</t>
        </is>
      </c>
      <c r="D100" t="inlineStr">
        <is>
          <t>150113</t>
        </is>
      </c>
      <c r="E100" t="inlineStr">
        <is>
          <t>Inkafarma Domingo Cueto, Inkafarma Salaverry</t>
        </is>
      </c>
      <c r="F100" s="11" t="n">
        <v>0.0165</v>
      </c>
      <c r="G100" s="6">
        <f>IF($F$125=0,0,F100/$F$125)</f>
        <v/>
      </c>
      <c r="H100" s="5" t="n">
        <v>678588.64</v>
      </c>
      <c r="I100" t="n">
        <v>1</v>
      </c>
      <c r="J100" t="n">
        <v>4</v>
      </c>
      <c r="L100" s="5" t="n">
        <v>1696471.6</v>
      </c>
    </row>
    <row r="101">
      <c r="A101" t="inlineStr">
        <is>
          <t>LA LIBERTAD</t>
        </is>
      </c>
      <c r="B101" t="inlineStr">
        <is>
          <t>TRUJILLO</t>
        </is>
      </c>
      <c r="C101" t="inlineStr">
        <is>
          <t>TRUJILLO</t>
        </is>
      </c>
      <c r="D101" t="inlineStr">
        <is>
          <t>130101</t>
        </is>
      </c>
      <c r="E101" t="inlineStr">
        <is>
          <t>Makro Trujillo, Mall Plaza Trujillo</t>
        </is>
      </c>
      <c r="F101" s="11" t="n">
        <v>0.0165</v>
      </c>
      <c r="G101" s="6">
        <f>IF($F$125=0,0,F101/$F$125)</f>
        <v/>
      </c>
      <c r="H101" s="5" t="n">
        <v>678588.64</v>
      </c>
      <c r="I101" t="n">
        <v>1</v>
      </c>
      <c r="J101" t="n">
        <v>5</v>
      </c>
      <c r="L101" s="5" t="n">
        <v>2035765.92</v>
      </c>
    </row>
    <row r="102">
      <c r="A102" t="inlineStr">
        <is>
          <t>CAJAMARCA</t>
        </is>
      </c>
      <c r="B102" t="inlineStr">
        <is>
          <t>CAJAMARCA</t>
        </is>
      </c>
      <c r="C102" t="inlineStr">
        <is>
          <t>CAJAMARCA</t>
        </is>
      </c>
      <c r="D102" t="inlineStr">
        <is>
          <t>060101</t>
        </is>
      </c>
      <c r="E102" t="inlineStr">
        <is>
          <t>Makro Cajamarca, Mall Plaza Cajamarca</t>
        </is>
      </c>
      <c r="F102" s="11" t="n">
        <v>0.0165</v>
      </c>
      <c r="G102" s="6">
        <f>IF($F$125=0,0,F102/$F$125)</f>
        <v/>
      </c>
      <c r="H102" s="5" t="n">
        <v>678588.64</v>
      </c>
      <c r="I102" t="n">
        <v>4</v>
      </c>
      <c r="J102" t="n">
        <v>4</v>
      </c>
      <c r="K102" t="n">
        <v>3</v>
      </c>
      <c r="L102" s="5" t="n">
        <v>2488158.34</v>
      </c>
    </row>
    <row r="103">
      <c r="A103" t="inlineStr">
        <is>
          <t>CALLAO</t>
        </is>
      </c>
      <c r="B103" t="inlineStr">
        <is>
          <t>CALLAO</t>
        </is>
      </c>
      <c r="C103" t="inlineStr">
        <is>
          <t>CALLAO</t>
        </is>
      </c>
      <c r="D103" t="inlineStr">
        <is>
          <t>070101</t>
        </is>
      </c>
      <c r="E103" t="inlineStr">
        <is>
          <t>MiFarma Bocanegra, MiFarma Sáenz Peña</t>
        </is>
      </c>
      <c r="F103" s="11" t="n">
        <v>0.0165</v>
      </c>
      <c r="G103" s="6">
        <f>IF($F$125=0,0,F103/$F$125)</f>
        <v/>
      </c>
      <c r="H103" s="5" t="n">
        <v>678588.64</v>
      </c>
      <c r="I103" t="n">
        <v>1</v>
      </c>
      <c r="J103" t="n">
        <v>5</v>
      </c>
      <c r="L103" s="5" t="n">
        <v>2035765.92</v>
      </c>
    </row>
    <row r="104">
      <c r="A104" t="inlineStr">
        <is>
          <t>LAMBAYEQUE</t>
        </is>
      </c>
      <c r="B104" t="inlineStr">
        <is>
          <t>CHICLAYO</t>
        </is>
      </c>
      <c r="C104" t="inlineStr">
        <is>
          <t>CHICLAYO</t>
        </is>
      </c>
      <c r="D104" t="inlineStr">
        <is>
          <t>140101</t>
        </is>
      </c>
      <c r="E104" t="inlineStr">
        <is>
          <t>Makro Chiclayo, Mall Plaza Chiclayo</t>
        </is>
      </c>
      <c r="F104" s="11" t="n">
        <v>0.0165</v>
      </c>
      <c r="G104" s="6">
        <f>IF($F$125=0,0,F104/$F$125)</f>
        <v/>
      </c>
      <c r="H104" s="5" t="n">
        <v>678588.64</v>
      </c>
      <c r="I104" t="n">
        <v>1</v>
      </c>
      <c r="J104" t="n">
        <v>4</v>
      </c>
      <c r="L104" s="5" t="n">
        <v>1696471.6</v>
      </c>
    </row>
    <row r="105">
      <c r="A105" t="inlineStr">
        <is>
          <t>JUNIN</t>
        </is>
      </c>
      <c r="B105" t="inlineStr">
        <is>
          <t>HUANCAYO</t>
        </is>
      </c>
      <c r="C105" t="inlineStr">
        <is>
          <t>HUANCAYO</t>
        </is>
      </c>
      <c r="D105" t="inlineStr">
        <is>
          <t>120101</t>
        </is>
      </c>
      <c r="E105" t="inlineStr">
        <is>
          <t>Inkafarma Cajamarca, Mall Plaza Huancayo</t>
        </is>
      </c>
      <c r="F105" s="11" t="n">
        <v>0.0165</v>
      </c>
      <c r="G105" s="6">
        <f>IF($F$125=0,0,F105/$F$125)</f>
        <v/>
      </c>
      <c r="H105" s="5" t="n">
        <v>678588.64</v>
      </c>
      <c r="I105" t="n">
        <v>4</v>
      </c>
      <c r="J105" t="n">
        <v>2</v>
      </c>
      <c r="K105" t="n">
        <v>3</v>
      </c>
      <c r="L105" s="5" t="n">
        <v>2035765.92</v>
      </c>
    </row>
    <row r="106">
      <c r="A106" t="inlineStr">
        <is>
          <t>ICA</t>
        </is>
      </c>
      <c r="B106" t="inlineStr">
        <is>
          <t>ICA</t>
        </is>
      </c>
      <c r="C106" t="inlineStr">
        <is>
          <t>ICA</t>
        </is>
      </c>
      <c r="D106" t="inlineStr">
        <is>
          <t>110101</t>
        </is>
      </c>
      <c r="E106" t="inlineStr">
        <is>
          <t>Inkafarma Sol de Ica, Makro Ica</t>
        </is>
      </c>
      <c r="F106" s="11" t="n">
        <v>0.0165</v>
      </c>
      <c r="G106" s="6">
        <f>IF($F$125=0,0,F106/$F$125)</f>
        <v/>
      </c>
      <c r="H106" s="5" t="n">
        <v>678588.64</v>
      </c>
      <c r="I106" t="n">
        <v>1</v>
      </c>
      <c r="J106" t="n">
        <v>5</v>
      </c>
      <c r="L106" s="5" t="n">
        <v>2035765.92</v>
      </c>
    </row>
    <row r="107">
      <c r="A107" t="inlineStr">
        <is>
          <t>LIMA</t>
        </is>
      </c>
      <c r="B107" t="inlineStr">
        <is>
          <t>LIMA</t>
        </is>
      </c>
      <c r="C107" t="inlineStr">
        <is>
          <t>COMAS</t>
        </is>
      </c>
      <c r="D107" t="inlineStr">
        <is>
          <t>150110</t>
        </is>
      </c>
      <c r="E107" t="inlineStr">
        <is>
          <t>Makro Comas, Mall Plaza Comas</t>
        </is>
      </c>
      <c r="F107" s="11" t="n">
        <v>0.0165</v>
      </c>
      <c r="G107" s="6">
        <f>IF($F$125=0,0,F107/$F$125)</f>
        <v/>
      </c>
      <c r="H107" s="5" t="n">
        <v>678588.64</v>
      </c>
      <c r="I107" t="n">
        <v>3</v>
      </c>
      <c r="J107" t="n">
        <v>3</v>
      </c>
      <c r="L107" s="5" t="n">
        <v>2035765.92</v>
      </c>
    </row>
    <row r="108">
      <c r="A108" t="inlineStr">
        <is>
          <t>LIMA</t>
        </is>
      </c>
      <c r="B108" t="inlineStr">
        <is>
          <t>LIMA</t>
        </is>
      </c>
      <c r="C108" t="inlineStr">
        <is>
          <t>INDEPENDENCIA</t>
        </is>
      </c>
      <c r="D108" t="inlineStr">
        <is>
          <t>150112</t>
        </is>
      </c>
      <c r="E108" t="inlineStr">
        <is>
          <t>Makro Independencia</t>
        </is>
      </c>
      <c r="F108" s="11" t="n">
        <v>0.0083</v>
      </c>
      <c r="G108" s="6">
        <f>IF($F$125=0,0,F108/$F$125)</f>
        <v/>
      </c>
      <c r="H108" s="5" t="n">
        <v>339294.32</v>
      </c>
      <c r="I108" t="n">
        <v>5</v>
      </c>
      <c r="J108" t="n">
        <v>2</v>
      </c>
      <c r="L108" s="5" t="n">
        <v>1187530.12</v>
      </c>
    </row>
    <row r="109">
      <c r="A109" t="inlineStr">
        <is>
          <t>LIMA</t>
        </is>
      </c>
      <c r="B109" t="inlineStr">
        <is>
          <t>LIMA</t>
        </is>
      </c>
      <c r="C109" t="inlineStr">
        <is>
          <t>SAN LUIS</t>
        </is>
      </c>
      <c r="D109" t="inlineStr">
        <is>
          <t>150134</t>
        </is>
      </c>
      <c r="E109" t="inlineStr">
        <is>
          <t>MiFarma Canadá 3201</t>
        </is>
      </c>
      <c r="F109" s="11" t="n">
        <v>0.0083</v>
      </c>
      <c r="G109" s="6">
        <f>IF($F$125=0,0,F109/$F$125)</f>
        <v/>
      </c>
      <c r="H109" s="5" t="n">
        <v>339294.32</v>
      </c>
      <c r="I109" t="n">
        <v>1</v>
      </c>
      <c r="J109" t="n">
        <v>3</v>
      </c>
      <c r="L109" s="5" t="n">
        <v>678588.64</v>
      </c>
    </row>
    <row r="110">
      <c r="A110" t="inlineStr">
        <is>
          <t>PIURA</t>
        </is>
      </c>
      <c r="B110" t="inlineStr">
        <is>
          <t>PIURA</t>
        </is>
      </c>
      <c r="C110" t="inlineStr">
        <is>
          <t>PIURA</t>
        </is>
      </c>
      <c r="D110" t="inlineStr">
        <is>
          <t>200101</t>
        </is>
      </c>
      <c r="E110" t="inlineStr">
        <is>
          <t>Mall Plaza Piura</t>
        </is>
      </c>
      <c r="F110" s="11" t="n">
        <v>0.0083</v>
      </c>
      <c r="G110" s="6">
        <f>IF($F$125=0,0,F110/$F$125)</f>
        <v/>
      </c>
      <c r="H110" s="5" t="n">
        <v>339294.32</v>
      </c>
      <c r="I110" t="n">
        <v>1</v>
      </c>
      <c r="J110" t="n">
        <v>5</v>
      </c>
      <c r="L110" s="5" t="n">
        <v>1017882.96</v>
      </c>
    </row>
    <row r="111">
      <c r="A111" t="inlineStr">
        <is>
          <t>AREQUIPA</t>
        </is>
      </c>
      <c r="B111" t="inlineStr">
        <is>
          <t>AREQUIPA</t>
        </is>
      </c>
      <c r="C111" t="inlineStr">
        <is>
          <t>CAYMA</t>
        </is>
      </c>
      <c r="D111" t="inlineStr">
        <is>
          <t>040103</t>
        </is>
      </c>
      <c r="E111" t="inlineStr">
        <is>
          <t>Mall Plaza Cayma</t>
        </is>
      </c>
      <c r="F111" s="11" t="n">
        <v>0.0083</v>
      </c>
      <c r="G111" s="6">
        <f>IF($F$125=0,0,F111/$F$125)</f>
        <v/>
      </c>
      <c r="H111" s="5" t="n">
        <v>339294.32</v>
      </c>
      <c r="I111" t="n">
        <v>4</v>
      </c>
      <c r="J111" t="n">
        <v>3</v>
      </c>
      <c r="K111" t="n">
        <v>4</v>
      </c>
      <c r="L111" s="5" t="n">
        <v>1244079.17</v>
      </c>
    </row>
    <row r="112">
      <c r="A112" t="inlineStr">
        <is>
          <t>LIMA</t>
        </is>
      </c>
      <c r="B112" t="inlineStr">
        <is>
          <t>HUARAL</t>
        </is>
      </c>
      <c r="C112" t="inlineStr">
        <is>
          <t>HUARAL</t>
        </is>
      </c>
      <c r="D112" t="inlineStr">
        <is>
          <t>150601</t>
        </is>
      </c>
      <c r="E112" t="inlineStr">
        <is>
          <t>Inkafarma Calle Derecha</t>
        </is>
      </c>
      <c r="F112" s="11" t="n">
        <v>0.0083</v>
      </c>
      <c r="G112" s="6">
        <f>IF($F$125=0,0,F112/$F$125)</f>
        <v/>
      </c>
      <c r="H112" s="5" t="n">
        <v>339294.32</v>
      </c>
      <c r="I112" t="n">
        <v>4</v>
      </c>
      <c r="J112" t="n">
        <v>4</v>
      </c>
      <c r="L112" s="5" t="n">
        <v>1357177.28</v>
      </c>
    </row>
    <row r="113">
      <c r="A113" t="inlineStr">
        <is>
          <t>LIMA</t>
        </is>
      </c>
      <c r="B113" t="inlineStr">
        <is>
          <t>LIMA</t>
        </is>
      </c>
      <c r="C113" t="inlineStr">
        <is>
          <t>SANTA ANITA</t>
        </is>
      </c>
      <c r="D113" t="inlineStr">
        <is>
          <t>150137</t>
        </is>
      </c>
      <c r="E113" t="inlineStr">
        <is>
          <t>Makro Santa Anita</t>
        </is>
      </c>
      <c r="F113" s="11" t="n">
        <v>0.0083</v>
      </c>
      <c r="G113" s="6">
        <f>IF($F$125=0,0,F113/$F$125)</f>
        <v/>
      </c>
      <c r="H113" s="5" t="n">
        <v>339294.32</v>
      </c>
      <c r="I113" t="n">
        <v>2</v>
      </c>
      <c r="J113" t="n">
        <v>4</v>
      </c>
      <c r="L113" s="5" t="n">
        <v>1017882.96</v>
      </c>
    </row>
    <row r="114">
      <c r="A114" t="inlineStr">
        <is>
          <t>CALLAO</t>
        </is>
      </c>
      <c r="B114" t="inlineStr">
        <is>
          <t>CALLAO</t>
        </is>
      </c>
      <c r="C114" t="inlineStr">
        <is>
          <t>BELLAVISTA</t>
        </is>
      </c>
      <c r="D114" t="inlineStr">
        <is>
          <t>070102</t>
        </is>
      </c>
      <c r="E114" t="inlineStr">
        <is>
          <t>Inkafarma Guardia Chalaca</t>
        </is>
      </c>
      <c r="F114" s="11" t="n">
        <v>0.0083</v>
      </c>
      <c r="G114" s="6">
        <f>IF($F$125=0,0,F114/$F$125)</f>
        <v/>
      </c>
      <c r="H114" s="5" t="n">
        <v>339294.32</v>
      </c>
      <c r="I114" t="n">
        <v>1</v>
      </c>
      <c r="J114" t="n">
        <v>4</v>
      </c>
      <c r="L114" s="5" t="n">
        <v>848235.8</v>
      </c>
    </row>
    <row r="115">
      <c r="A115" t="inlineStr">
        <is>
          <t>HUANUCO</t>
        </is>
      </c>
      <c r="B115" t="inlineStr">
        <is>
          <t>HUANUCO</t>
        </is>
      </c>
      <c r="C115" t="inlineStr">
        <is>
          <t>HUANUCO</t>
        </is>
      </c>
      <c r="D115" t="inlineStr">
        <is>
          <t>100101</t>
        </is>
      </c>
      <c r="E115" t="inlineStr">
        <is>
          <t>Mall Plaza Huánuco</t>
        </is>
      </c>
      <c r="F115" s="11" t="n">
        <v>0.0083</v>
      </c>
      <c r="G115" s="6">
        <f>IF($F$125=0,0,F115/$F$125)</f>
        <v/>
      </c>
      <c r="H115" s="5" t="n">
        <v>339294.32</v>
      </c>
      <c r="I115" t="n">
        <v>4</v>
      </c>
      <c r="J115" t="n">
        <v>3</v>
      </c>
      <c r="K115" t="n">
        <v>4</v>
      </c>
      <c r="L115" s="5" t="n">
        <v>1244079.17</v>
      </c>
    </row>
    <row r="116">
      <c r="A116" t="inlineStr">
        <is>
          <t>LIMA</t>
        </is>
      </c>
      <c r="B116" t="inlineStr">
        <is>
          <t>LIMA</t>
        </is>
      </c>
      <c r="C116" t="inlineStr">
        <is>
          <t>SAN JUAN DE MIRAFLORES</t>
        </is>
      </c>
      <c r="D116" t="inlineStr">
        <is>
          <t>150133</t>
        </is>
      </c>
      <c r="E116" t="inlineStr">
        <is>
          <t>Makro San Juan de Miraflores</t>
        </is>
      </c>
      <c r="F116" s="11" t="n">
        <v>0.0083</v>
      </c>
      <c r="G116" s="6">
        <f>IF($F$125=0,0,F116/$F$125)</f>
        <v/>
      </c>
      <c r="H116" s="5" t="n">
        <v>339294.32</v>
      </c>
      <c r="I116" t="n">
        <v>2</v>
      </c>
      <c r="J116" t="n">
        <v>3</v>
      </c>
      <c r="L116" s="5" t="n">
        <v>848235.8</v>
      </c>
    </row>
    <row r="117">
      <c r="A117" t="inlineStr">
        <is>
          <t>CUSCO</t>
        </is>
      </c>
      <c r="B117" t="inlineStr">
        <is>
          <t>CUSCO</t>
        </is>
      </c>
      <c r="C117" t="inlineStr">
        <is>
          <t>CUSCO</t>
        </is>
      </c>
      <c r="D117" t="inlineStr">
        <is>
          <t>080101</t>
        </is>
      </c>
      <c r="E117" t="inlineStr">
        <is>
          <t>Makro Cusco</t>
        </is>
      </c>
      <c r="F117" s="11" t="n">
        <v>0.0083</v>
      </c>
      <c r="G117" s="6">
        <f>IF($F$125=0,0,F117/$F$125)</f>
        <v/>
      </c>
      <c r="H117" s="5" t="n">
        <v>339294.32</v>
      </c>
      <c r="I117" t="n">
        <v>4</v>
      </c>
      <c r="J117" t="n">
        <v>2</v>
      </c>
      <c r="K117" t="n">
        <v>3</v>
      </c>
      <c r="L117" s="5" t="n">
        <v>1017882.96</v>
      </c>
    </row>
    <row r="118">
      <c r="A118" t="inlineStr">
        <is>
          <t>JUNIN</t>
        </is>
      </c>
      <c r="B118" t="inlineStr">
        <is>
          <t>TARMA</t>
        </is>
      </c>
      <c r="C118" t="inlineStr">
        <is>
          <t>TARMA</t>
        </is>
      </c>
      <c r="D118" t="inlineStr">
        <is>
          <t>120701</t>
        </is>
      </c>
      <c r="E118" t="inlineStr">
        <is>
          <t>Inkafarma Ayacucho</t>
        </is>
      </c>
      <c r="F118" s="11" t="n">
        <v>0.0083</v>
      </c>
      <c r="G118" s="6">
        <f>IF($F$125=0,0,F118/$F$125)</f>
        <v/>
      </c>
      <c r="H118" s="5" t="n">
        <v>339294.32</v>
      </c>
      <c r="I118" t="n">
        <v>5</v>
      </c>
      <c r="J118" t="n">
        <v>2</v>
      </c>
      <c r="K118" t="n">
        <v>5</v>
      </c>
      <c r="L118" s="5" t="n">
        <v>1357177.28</v>
      </c>
    </row>
    <row r="119">
      <c r="A119" t="inlineStr">
        <is>
          <t>LIMA</t>
        </is>
      </c>
      <c r="B119" t="inlineStr">
        <is>
          <t>LIMA</t>
        </is>
      </c>
      <c r="C119" t="inlineStr">
        <is>
          <t>LURIN</t>
        </is>
      </c>
      <c r="D119" t="inlineStr">
        <is>
          <t>150119</t>
        </is>
      </c>
      <c r="E119" t="inlineStr">
        <is>
          <t>MiFarma Tarapacá</t>
        </is>
      </c>
      <c r="F119" s="11" t="n">
        <v>0.0083</v>
      </c>
      <c r="G119" s="6">
        <f>IF($F$125=0,0,F119/$F$125)</f>
        <v/>
      </c>
      <c r="H119" s="5" t="n">
        <v>339294.32</v>
      </c>
      <c r="I119" t="n">
        <v>3</v>
      </c>
      <c r="J119" t="n">
        <v>3</v>
      </c>
      <c r="L119" s="5" t="n">
        <v>1017882.96</v>
      </c>
    </row>
    <row r="120">
      <c r="A120" t="inlineStr">
        <is>
          <t>LIMA</t>
        </is>
      </c>
      <c r="B120" t="inlineStr">
        <is>
          <t>LIMA</t>
        </is>
      </c>
      <c r="C120" t="inlineStr">
        <is>
          <t>LURIGANCHO</t>
        </is>
      </c>
      <c r="D120" t="inlineStr">
        <is>
          <t>150118</t>
        </is>
      </c>
      <c r="E120" t="inlineStr">
        <is>
          <t>Inkafarma Lima Lurigancho</t>
        </is>
      </c>
      <c r="F120" s="11" t="n">
        <v>0.0083</v>
      </c>
      <c r="G120" s="6">
        <f>IF($F$125=0,0,F120/$F$125)</f>
        <v/>
      </c>
      <c r="H120" s="5" t="n">
        <v>339294.32</v>
      </c>
      <c r="I120" t="n">
        <v>5</v>
      </c>
      <c r="J120" t="n">
        <v>4</v>
      </c>
      <c r="L120" s="5" t="n">
        <v>1526824.44</v>
      </c>
    </row>
    <row r="121">
      <c r="A121" t="inlineStr">
        <is>
          <t>LIMA</t>
        </is>
      </c>
      <c r="B121" t="inlineStr">
        <is>
          <t>LIMA</t>
        </is>
      </c>
      <c r="C121" t="inlineStr">
        <is>
          <t>LOS OLIVOS</t>
        </is>
      </c>
      <c r="D121" t="inlineStr">
        <is>
          <t>150117</t>
        </is>
      </c>
      <c r="E121" t="inlineStr">
        <is>
          <t>MiFarma Próceres</t>
        </is>
      </c>
      <c r="F121" s="11" t="n">
        <v>0.0083</v>
      </c>
      <c r="G121" s="6">
        <f>IF($F$125=0,0,F121/$F$125)</f>
        <v/>
      </c>
      <c r="H121" s="5" t="n">
        <v>339294.32</v>
      </c>
      <c r="I121" t="n">
        <v>1</v>
      </c>
      <c r="J121" t="n">
        <v>4</v>
      </c>
      <c r="L121" s="5" t="n">
        <v>848235.8</v>
      </c>
    </row>
    <row r="122">
      <c r="A122" t="inlineStr">
        <is>
          <t>LIMA</t>
        </is>
      </c>
      <c r="B122" t="inlineStr">
        <is>
          <t>LIMA</t>
        </is>
      </c>
      <c r="C122" t="inlineStr">
        <is>
          <t>ATE</t>
        </is>
      </c>
      <c r="D122" t="inlineStr">
        <is>
          <t>150103</t>
        </is>
      </c>
      <c r="E122" t="inlineStr">
        <is>
          <t>MiFarma Javier Prado Ate</t>
        </is>
      </c>
      <c r="F122" s="11" t="n">
        <v>0.0083</v>
      </c>
      <c r="G122" s="6">
        <f>IF($F$125=0,0,F122/$F$125)</f>
        <v/>
      </c>
      <c r="H122" s="5" t="n">
        <v>339294.32</v>
      </c>
      <c r="I122" t="n">
        <v>4</v>
      </c>
      <c r="J122" t="n">
        <v>3</v>
      </c>
      <c r="L122" s="5" t="n">
        <v>1187530.12</v>
      </c>
    </row>
    <row r="123">
      <c r="A123" t="inlineStr">
        <is>
          <t>LIMA</t>
        </is>
      </c>
      <c r="B123" t="inlineStr">
        <is>
          <t>LIMA</t>
        </is>
      </c>
      <c r="C123" t="inlineStr">
        <is>
          <t>BARRANCO</t>
        </is>
      </c>
      <c r="D123" t="inlineStr">
        <is>
          <t>150104</t>
        </is>
      </c>
      <c r="E123" t="inlineStr">
        <is>
          <t>MiFarma Prol. San Martín</t>
        </is>
      </c>
      <c r="F123" s="11" t="n">
        <v>0.0083</v>
      </c>
      <c r="G123" s="6">
        <f>IF($F$125=0,0,F123/$F$125)</f>
        <v/>
      </c>
      <c r="H123" s="5" t="n">
        <v>339294.32</v>
      </c>
      <c r="I123" t="n">
        <v>1</v>
      </c>
      <c r="J123" t="n">
        <v>4</v>
      </c>
      <c r="L123" s="5" t="n">
        <v>848235.8</v>
      </c>
    </row>
    <row r="124">
      <c r="A124" t="inlineStr">
        <is>
          <t>SAN MARTIN</t>
        </is>
      </c>
      <c r="B124" t="inlineStr">
        <is>
          <t>MOYOBAMBA</t>
        </is>
      </c>
      <c r="C124" t="inlineStr">
        <is>
          <t>MOYOBAMBA</t>
        </is>
      </c>
      <c r="D124" t="inlineStr">
        <is>
          <t>220101</t>
        </is>
      </c>
      <c r="E124" t="inlineStr">
        <is>
          <t>Makro Moyobamba</t>
        </is>
      </c>
      <c r="F124" s="11" t="n">
        <v>0.0083</v>
      </c>
      <c r="G124" s="6">
        <f>IF($F$125=0,0,F124/$F$125)</f>
        <v/>
      </c>
      <c r="H124" s="5" t="n">
        <v>339294.32</v>
      </c>
      <c r="I124" t="n">
        <v>4</v>
      </c>
      <c r="J124" t="n">
        <v>4</v>
      </c>
      <c r="K124" t="n">
        <v>2</v>
      </c>
      <c r="L124" s="5" t="n">
        <v>1130981.06</v>
      </c>
    </row>
    <row r="125">
      <c r="A125" s="12" t="inlineStr">
        <is>
          <t>TOTAL</t>
        </is>
      </c>
      <c r="B125" t="inlineStr"/>
      <c r="C125" t="inlineStr"/>
      <c r="D125" t="inlineStr"/>
      <c r="E125" t="inlineStr"/>
      <c r="F125" s="13">
        <f>SUM(F5:F124)</f>
        <v/>
      </c>
      <c r="G125" t="inlineStr"/>
      <c r="H125" s="14">
        <f>SUM(H5:H124)</f>
        <v/>
      </c>
      <c r="I125" t="inlineStr"/>
      <c r="J125" t="inlineStr"/>
      <c r="K125" t="inlineStr"/>
      <c r="L125" s="14">
        <f>SUM(L5:L124)</f>
        <v/>
      </c>
    </row>
    <row r="128">
      <c r="A128" s="15" t="inlineStr">
        <is>
          <t>Detalle por colocaciones (Miles S/)</t>
        </is>
      </c>
    </row>
    <row r="129">
      <c r="A129" s="3" t="inlineStr">
        <is>
          <t>Distrito</t>
        </is>
      </c>
      <c r="B129" s="3" t="inlineStr">
        <is>
          <t>Ubigeo</t>
        </is>
      </c>
      <c r="C129" s="3" t="inlineStr">
        <is>
          <t>Mineral</t>
        </is>
      </c>
      <c r="D129" s="3" t="inlineStr">
        <is>
          <t>Unidad</t>
        </is>
      </c>
      <c r="E129" s="3" t="inlineStr">
        <is>
          <t>Cantidad (orig.)</t>
        </is>
      </c>
      <c r="F129" s="3" t="inlineStr">
        <is>
          <t>TMF equiv.</t>
        </is>
      </c>
    </row>
    <row r="130">
      <c r="A130" t="inlineStr">
        <is>
          <t>LIMA</t>
        </is>
      </c>
      <c r="B130" t="inlineStr">
        <is>
          <t>150101</t>
        </is>
      </c>
      <c r="C130" t="inlineStr">
        <is>
          <t>Pharma</t>
        </is>
      </c>
      <c r="D130" t="inlineStr">
        <is>
          <t>holding</t>
        </is>
      </c>
      <c r="E130" s="11" t="n">
        <v>0.07439999999999999</v>
      </c>
      <c r="F130" s="16" t="n">
        <v>0.07438</v>
      </c>
    </row>
    <row r="131">
      <c r="A131" t="inlineStr">
        <is>
          <t>SAN ISIDRO</t>
        </is>
      </c>
      <c r="B131" t="inlineStr">
        <is>
          <t>150131</t>
        </is>
      </c>
      <c r="C131" t="inlineStr">
        <is>
          <t>Food Retail</t>
        </is>
      </c>
      <c r="D131" t="inlineStr">
        <is>
          <t>holding</t>
        </is>
      </c>
      <c r="E131" s="11" t="n">
        <v>0.0248</v>
      </c>
      <c r="F131" s="16" t="n">
        <v>0.024793</v>
      </c>
    </row>
    <row r="132">
      <c r="A132" t="inlineStr">
        <is>
          <t>SAN ISIDRO</t>
        </is>
      </c>
      <c r="B132" t="inlineStr">
        <is>
          <t>150131</t>
        </is>
      </c>
      <c r="C132" t="inlineStr">
        <is>
          <t>Pharma</t>
        </is>
      </c>
      <c r="D132" t="inlineStr">
        <is>
          <t>holding</t>
        </is>
      </c>
      <c r="E132" s="11" t="n">
        <v>0.0248</v>
      </c>
      <c r="F132" s="16" t="n">
        <v>0.024793</v>
      </c>
    </row>
    <row r="133">
      <c r="A133" t="inlineStr">
        <is>
          <t>LA VICTORIA</t>
        </is>
      </c>
      <c r="B133" t="inlineStr">
        <is>
          <t>150115</t>
        </is>
      </c>
      <c r="C133" t="inlineStr">
        <is>
          <t>Pharma</t>
        </is>
      </c>
      <c r="D133" t="inlineStr">
        <is>
          <t>holding</t>
        </is>
      </c>
      <c r="E133" s="11" t="n">
        <v>0.0496</v>
      </c>
      <c r="F133" s="16" t="n">
        <v>0.049587</v>
      </c>
    </row>
    <row r="134">
      <c r="A134" t="inlineStr">
        <is>
          <t>TRUJILLO</t>
        </is>
      </c>
      <c r="B134" t="inlineStr">
        <is>
          <t>130101</t>
        </is>
      </c>
      <c r="C134" t="inlineStr">
        <is>
          <t>Food Retail</t>
        </is>
      </c>
      <c r="D134" t="inlineStr">
        <is>
          <t>holding</t>
        </is>
      </c>
      <c r="E134" s="11" t="n">
        <v>0.0083</v>
      </c>
      <c r="F134" s="16" t="n">
        <v>0.008264000000000001</v>
      </c>
    </row>
    <row r="135">
      <c r="A135" t="inlineStr">
        <is>
          <t>TRUJILLO</t>
        </is>
      </c>
      <c r="B135" t="inlineStr">
        <is>
          <t>130101</t>
        </is>
      </c>
      <c r="C135" t="inlineStr">
        <is>
          <t>Shopping Malls</t>
        </is>
      </c>
      <c r="D135" t="inlineStr">
        <is>
          <t>holding</t>
        </is>
      </c>
      <c r="E135" s="11" t="n">
        <v>0.0083</v>
      </c>
      <c r="F135" s="16" t="n">
        <v>0.008264000000000001</v>
      </c>
    </row>
    <row r="136">
      <c r="A136" t="inlineStr">
        <is>
          <t>SANTIAGO DE SURCO</t>
        </is>
      </c>
      <c r="B136" t="inlineStr">
        <is>
          <t>150140</t>
        </is>
      </c>
      <c r="C136" t="inlineStr">
        <is>
          <t>Créditos</t>
        </is>
      </c>
      <c r="D136" t="inlineStr">
        <is>
          <t>Miles S/</t>
        </is>
      </c>
      <c r="E136" s="11" t="n">
        <v>705927.7001</v>
      </c>
      <c r="F136" s="16" t="n">
        <v>705927.70008</v>
      </c>
    </row>
    <row r="137">
      <c r="A137" t="inlineStr">
        <is>
          <t>AREQUIPA</t>
        </is>
      </c>
      <c r="B137" t="inlineStr">
        <is>
          <t>040101</t>
        </is>
      </c>
      <c r="C137" t="inlineStr">
        <is>
          <t>Créditos</t>
        </is>
      </c>
      <c r="D137" t="inlineStr">
        <is>
          <t>Miles S/</t>
        </is>
      </c>
      <c r="E137" s="11" t="n">
        <v>637519.2946</v>
      </c>
      <c r="F137" s="16" t="n">
        <v>637519.2946500001</v>
      </c>
    </row>
    <row r="138">
      <c r="A138" t="inlineStr">
        <is>
          <t>CHICLAYO</t>
        </is>
      </c>
      <c r="B138" t="inlineStr">
        <is>
          <t>140101</t>
        </is>
      </c>
      <c r="C138" t="inlineStr">
        <is>
          <t>Food Retail</t>
        </is>
      </c>
      <c r="D138" t="inlineStr">
        <is>
          <t>holding</t>
        </is>
      </c>
      <c r="E138" s="11" t="n">
        <v>0.0083</v>
      </c>
      <c r="F138" s="16" t="n">
        <v>0.008264000000000001</v>
      </c>
    </row>
    <row r="139">
      <c r="A139" t="inlineStr">
        <is>
          <t>CHICLAYO</t>
        </is>
      </c>
      <c r="B139" t="inlineStr">
        <is>
          <t>140101</t>
        </is>
      </c>
      <c r="C139" t="inlineStr">
        <is>
          <t>Shopping Malls</t>
        </is>
      </c>
      <c r="D139" t="inlineStr">
        <is>
          <t>holding</t>
        </is>
      </c>
      <c r="E139" s="11" t="n">
        <v>0.0083</v>
      </c>
      <c r="F139" s="16" t="n">
        <v>0.008264000000000001</v>
      </c>
    </row>
    <row r="140">
      <c r="A140" t="inlineStr">
        <is>
          <t>PIURA</t>
        </is>
      </c>
      <c r="B140" t="inlineStr">
        <is>
          <t>200101</t>
        </is>
      </c>
      <c r="C140" t="inlineStr">
        <is>
          <t>Shopping Malls</t>
        </is>
      </c>
      <c r="D140" t="inlineStr">
        <is>
          <t>holding</t>
        </is>
      </c>
      <c r="E140" s="11" t="n">
        <v>0.0083</v>
      </c>
      <c r="F140" s="16" t="n">
        <v>0.008264000000000001</v>
      </c>
    </row>
    <row r="141">
      <c r="A141" t="inlineStr">
        <is>
          <t>MIRAFLORES</t>
        </is>
      </c>
      <c r="B141" t="inlineStr">
        <is>
          <t>150122</t>
        </is>
      </c>
      <c r="C141" t="inlineStr">
        <is>
          <t>Food Retail</t>
        </is>
      </c>
      <c r="D141" t="inlineStr">
        <is>
          <t>holding</t>
        </is>
      </c>
      <c r="E141" s="11" t="n">
        <v>0.0248</v>
      </c>
      <c r="F141" s="16" t="n">
        <v>0.024793</v>
      </c>
    </row>
    <row r="142">
      <c r="A142" t="inlineStr">
        <is>
          <t>MIRAFLORES</t>
        </is>
      </c>
      <c r="B142" t="inlineStr">
        <is>
          <t>150122</t>
        </is>
      </c>
      <c r="C142" t="inlineStr">
        <is>
          <t>Pharma</t>
        </is>
      </c>
      <c r="D142" t="inlineStr">
        <is>
          <t>holding</t>
        </is>
      </c>
      <c r="E142" s="11" t="n">
        <v>0.0331</v>
      </c>
      <c r="F142" s="16" t="n">
        <v>0.033058</v>
      </c>
    </row>
    <row r="143">
      <c r="A143" t="inlineStr">
        <is>
          <t>ICA</t>
        </is>
      </c>
      <c r="B143" t="inlineStr">
        <is>
          <t>110101</t>
        </is>
      </c>
      <c r="C143" t="inlineStr">
        <is>
          <t>Food Retail</t>
        </is>
      </c>
      <c r="D143" t="inlineStr">
        <is>
          <t>holding</t>
        </is>
      </c>
      <c r="E143" s="11" t="n">
        <v>0.0083</v>
      </c>
      <c r="F143" s="16" t="n">
        <v>0.008264000000000001</v>
      </c>
    </row>
    <row r="144">
      <c r="A144" t="inlineStr">
        <is>
          <t>ICA</t>
        </is>
      </c>
      <c r="B144" t="inlineStr">
        <is>
          <t>110101</t>
        </is>
      </c>
      <c r="C144" t="inlineStr">
        <is>
          <t>Pharma</t>
        </is>
      </c>
      <c r="D144" t="inlineStr">
        <is>
          <t>holding</t>
        </is>
      </c>
      <c r="E144" s="11" t="n">
        <v>0.0083</v>
      </c>
      <c r="F144" s="16" t="n">
        <v>0.008264000000000001</v>
      </c>
    </row>
    <row r="145">
      <c r="A145" t="inlineStr">
        <is>
          <t>HUANCAYO</t>
        </is>
      </c>
      <c r="B145" t="inlineStr">
        <is>
          <t>120101</t>
        </is>
      </c>
      <c r="C145" t="inlineStr">
        <is>
          <t>Pharma</t>
        </is>
      </c>
      <c r="D145" t="inlineStr">
        <is>
          <t>holding</t>
        </is>
      </c>
      <c r="E145" s="11" t="n">
        <v>0.0083</v>
      </c>
      <c r="F145" s="16" t="n">
        <v>0.008264000000000001</v>
      </c>
    </row>
    <row r="146">
      <c r="A146" t="inlineStr">
        <is>
          <t>HUANCAYO</t>
        </is>
      </c>
      <c r="B146" t="inlineStr">
        <is>
          <t>120101</t>
        </is>
      </c>
      <c r="C146" t="inlineStr">
        <is>
          <t>Shopping Malls</t>
        </is>
      </c>
      <c r="D146" t="inlineStr">
        <is>
          <t>holding</t>
        </is>
      </c>
      <c r="E146" s="11" t="n">
        <v>0.0083</v>
      </c>
      <c r="F146" s="16" t="n">
        <v>0.008264000000000001</v>
      </c>
    </row>
    <row r="147">
      <c r="A147" t="inlineStr">
        <is>
          <t>SAN BORJA</t>
        </is>
      </c>
      <c r="B147" t="inlineStr">
        <is>
          <t>150130</t>
        </is>
      </c>
      <c r="C147" t="inlineStr">
        <is>
          <t>Pharma</t>
        </is>
      </c>
      <c r="D147" t="inlineStr">
        <is>
          <t>holding</t>
        </is>
      </c>
      <c r="E147" s="11" t="n">
        <v>0.0331</v>
      </c>
      <c r="F147" s="16" t="n">
        <v>0.033058</v>
      </c>
    </row>
    <row r="148">
      <c r="A148" t="inlineStr">
        <is>
          <t>CUSCO</t>
        </is>
      </c>
      <c r="B148" t="inlineStr">
        <is>
          <t>080101</t>
        </is>
      </c>
      <c r="C148" t="inlineStr">
        <is>
          <t>Food Retail</t>
        </is>
      </c>
      <c r="D148" t="inlineStr">
        <is>
          <t>holding</t>
        </is>
      </c>
      <c r="E148" s="11" t="n">
        <v>0.0083</v>
      </c>
      <c r="F148" s="16" t="n">
        <v>0.008264000000000001</v>
      </c>
    </row>
    <row r="149">
      <c r="A149" t="inlineStr">
        <is>
          <t>JAEN</t>
        </is>
      </c>
      <c r="B149" t="inlineStr">
        <is>
          <t>060801</t>
        </is>
      </c>
      <c r="C149" t="inlineStr">
        <is>
          <t>Créditos</t>
        </is>
      </c>
      <c r="D149" t="inlineStr">
        <is>
          <t>Miles S/</t>
        </is>
      </c>
      <c r="E149" s="11" t="n">
        <v>287256.4805</v>
      </c>
      <c r="F149" s="16" t="n">
        <v>287256.48052</v>
      </c>
    </row>
    <row r="150">
      <c r="A150" t="inlineStr">
        <is>
          <t>CAJAMARCA</t>
        </is>
      </c>
      <c r="B150" t="inlineStr">
        <is>
          <t>060101</t>
        </is>
      </c>
      <c r="C150" t="inlineStr">
        <is>
          <t>Food Retail</t>
        </is>
      </c>
      <c r="D150" t="inlineStr">
        <is>
          <t>holding</t>
        </is>
      </c>
      <c r="E150" s="11" t="n">
        <v>0.0083</v>
      </c>
      <c r="F150" s="16" t="n">
        <v>0.008264000000000001</v>
      </c>
    </row>
    <row r="151">
      <c r="A151" t="inlineStr">
        <is>
          <t>CAJAMARCA</t>
        </is>
      </c>
      <c r="B151" t="inlineStr">
        <is>
          <t>060101</t>
        </is>
      </c>
      <c r="C151" t="inlineStr">
        <is>
          <t>Shopping Malls</t>
        </is>
      </c>
      <c r="D151" t="inlineStr">
        <is>
          <t>holding</t>
        </is>
      </c>
      <c r="E151" s="11" t="n">
        <v>0.0083</v>
      </c>
      <c r="F151" s="16" t="n">
        <v>0.008264000000000001</v>
      </c>
    </row>
    <row r="152">
      <c r="A152" t="inlineStr">
        <is>
          <t>IQUITOS</t>
        </is>
      </c>
      <c r="B152" t="inlineStr">
        <is>
          <t>160101</t>
        </is>
      </c>
      <c r="C152" t="inlineStr">
        <is>
          <t>Créditos</t>
        </is>
      </c>
      <c r="D152" t="inlineStr">
        <is>
          <t>Miles S/</t>
        </is>
      </c>
      <c r="E152" s="11" t="n">
        <v>265417.6659</v>
      </c>
      <c r="F152" s="16" t="n">
        <v>265417.66594</v>
      </c>
    </row>
    <row r="153">
      <c r="A153" t="inlineStr">
        <is>
          <t>CHIMBOTE</t>
        </is>
      </c>
      <c r="B153" t="inlineStr">
        <is>
          <t>021801</t>
        </is>
      </c>
      <c r="C153" t="inlineStr">
        <is>
          <t>Créditos</t>
        </is>
      </c>
      <c r="D153" t="inlineStr">
        <is>
          <t>Miles S/</t>
        </is>
      </c>
      <c r="E153" s="11" t="n">
        <v>255104.7509</v>
      </c>
      <c r="F153" s="16" t="n">
        <v>255104.75094</v>
      </c>
    </row>
    <row r="154">
      <c r="A154" t="inlineStr">
        <is>
          <t>TARAPOTO</t>
        </is>
      </c>
      <c r="B154" t="inlineStr">
        <is>
          <t>220901</t>
        </is>
      </c>
      <c r="C154" t="inlineStr">
        <is>
          <t>Créditos</t>
        </is>
      </c>
      <c r="D154" t="inlineStr">
        <is>
          <t>Miles S/</t>
        </is>
      </c>
      <c r="E154" s="11" t="n">
        <v>239590.9401</v>
      </c>
      <c r="F154" s="16" t="n">
        <v>239590.94014</v>
      </c>
    </row>
    <row r="155">
      <c r="A155" t="inlineStr">
        <is>
          <t>CHINCHA ALTA</t>
        </is>
      </c>
      <c r="B155" t="inlineStr">
        <is>
          <t>110201</t>
        </is>
      </c>
      <c r="C155" t="inlineStr">
        <is>
          <t>Créditos</t>
        </is>
      </c>
      <c r="D155" t="inlineStr">
        <is>
          <t>Miles S/</t>
        </is>
      </c>
      <c r="E155" s="11" t="n">
        <v>222378.0303</v>
      </c>
      <c r="F155" s="16" t="n">
        <v>222378.0303</v>
      </c>
    </row>
    <row r="156">
      <c r="A156" t="inlineStr">
        <is>
          <t>AYACUCHO</t>
        </is>
      </c>
      <c r="B156" t="inlineStr">
        <is>
          <t>050101</t>
        </is>
      </c>
      <c r="C156" t="inlineStr">
        <is>
          <t>Créditos</t>
        </is>
      </c>
      <c r="D156" t="inlineStr">
        <is>
          <t>Miles S/</t>
        </is>
      </c>
      <c r="E156" s="11" t="n">
        <v>219388.8248</v>
      </c>
      <c r="F156" s="16" t="n">
        <v>219388.82479</v>
      </c>
    </row>
    <row r="157">
      <c r="A157" t="inlineStr">
        <is>
          <t>TACNA</t>
        </is>
      </c>
      <c r="B157" t="inlineStr">
        <is>
          <t>230101</t>
        </is>
      </c>
      <c r="C157" t="inlineStr">
        <is>
          <t>Créditos</t>
        </is>
      </c>
      <c r="D157" t="inlineStr">
        <is>
          <t>Miles S/</t>
        </is>
      </c>
      <c r="E157" s="11" t="n">
        <v>213414.9748</v>
      </c>
      <c r="F157" s="16" t="n">
        <v>213414.9748</v>
      </c>
    </row>
    <row r="158">
      <c r="A158" t="inlineStr">
        <is>
          <t>SANTA ANITA</t>
        </is>
      </c>
      <c r="B158" t="inlineStr">
        <is>
          <t>150137</t>
        </is>
      </c>
      <c r="C158" t="inlineStr">
        <is>
          <t>Food Retail</t>
        </is>
      </c>
      <c r="D158" t="inlineStr">
        <is>
          <t>holding</t>
        </is>
      </c>
      <c r="E158" s="11" t="n">
        <v>0.0083</v>
      </c>
      <c r="F158" s="16" t="n">
        <v>0.008264000000000001</v>
      </c>
    </row>
    <row r="159">
      <c r="A159" t="inlineStr">
        <is>
          <t>HUARAZ</t>
        </is>
      </c>
      <c r="B159" t="inlineStr">
        <is>
          <t>020101</t>
        </is>
      </c>
      <c r="C159" t="inlineStr">
        <is>
          <t>Créditos</t>
        </is>
      </c>
      <c r="D159" t="inlineStr">
        <is>
          <t>Miles S/</t>
        </is>
      </c>
      <c r="E159" s="11" t="n">
        <v>208193.107</v>
      </c>
      <c r="F159" s="16" t="n">
        <v>208193.10698</v>
      </c>
    </row>
    <row r="160">
      <c r="A160" t="inlineStr">
        <is>
          <t>JULIACA</t>
        </is>
      </c>
      <c r="B160" t="inlineStr">
        <is>
          <t>211101</t>
        </is>
      </c>
      <c r="C160" t="inlineStr">
        <is>
          <t>Créditos</t>
        </is>
      </c>
      <c r="D160" t="inlineStr">
        <is>
          <t>Miles S/</t>
        </is>
      </c>
      <c r="E160" s="11" t="n">
        <v>196283.3693</v>
      </c>
      <c r="F160" s="16" t="n">
        <v>196283.36926</v>
      </c>
    </row>
    <row r="161">
      <c r="A161" t="inlineStr">
        <is>
          <t>HUANUCO</t>
        </is>
      </c>
      <c r="B161" t="inlineStr">
        <is>
          <t>100101</t>
        </is>
      </c>
      <c r="C161" t="inlineStr">
        <is>
          <t>Shopping Malls</t>
        </is>
      </c>
      <c r="D161" t="inlineStr">
        <is>
          <t>holding</t>
        </is>
      </c>
      <c r="E161" s="11" t="n">
        <v>0.0083</v>
      </c>
      <c r="F161" s="16" t="n">
        <v>0.008264000000000001</v>
      </c>
    </row>
    <row r="162">
      <c r="A162" t="inlineStr">
        <is>
          <t>LOS OLIVOS</t>
        </is>
      </c>
      <c r="B162" t="inlineStr">
        <is>
          <t>150117</t>
        </is>
      </c>
      <c r="C162" t="inlineStr">
        <is>
          <t>Pharma</t>
        </is>
      </c>
      <c r="D162" t="inlineStr">
        <is>
          <t>holding</t>
        </is>
      </c>
      <c r="E162" s="11" t="n">
        <v>0.0083</v>
      </c>
      <c r="F162" s="16" t="n">
        <v>0.008264000000000001</v>
      </c>
    </row>
    <row r="163">
      <c r="A163" t="inlineStr">
        <is>
          <t>EL TAMBO</t>
        </is>
      </c>
      <c r="B163" t="inlineStr">
        <is>
          <t>120114</t>
        </is>
      </c>
      <c r="C163" t="inlineStr">
        <is>
          <t>Créditos</t>
        </is>
      </c>
      <c r="D163" t="inlineStr">
        <is>
          <t>Miles S/</t>
        </is>
      </c>
      <c r="E163" s="11" t="n">
        <v>175485.9232</v>
      </c>
      <c r="F163" s="16" t="n">
        <v>175485.92325</v>
      </c>
    </row>
    <row r="164">
      <c r="A164" t="inlineStr">
        <is>
          <t>JESUS MARIA</t>
        </is>
      </c>
      <c r="B164" t="inlineStr">
        <is>
          <t>150113</t>
        </is>
      </c>
      <c r="C164" t="inlineStr">
        <is>
          <t>Pharma</t>
        </is>
      </c>
      <c r="D164" t="inlineStr">
        <is>
          <t>holding</t>
        </is>
      </c>
      <c r="E164" s="11" t="n">
        <v>0.0165</v>
      </c>
      <c r="F164" s="16" t="n">
        <v>0.016529</v>
      </c>
    </row>
    <row r="165">
      <c r="A165" t="inlineStr">
        <is>
          <t>CAYMA</t>
        </is>
      </c>
      <c r="B165" t="inlineStr">
        <is>
          <t>040103</t>
        </is>
      </c>
      <c r="C165" t="inlineStr">
        <is>
          <t>Shopping Malls</t>
        </is>
      </c>
      <c r="D165" t="inlineStr">
        <is>
          <t>holding</t>
        </is>
      </c>
      <c r="E165" s="11" t="n">
        <v>0.0083</v>
      </c>
      <c r="F165" s="16" t="n">
        <v>0.008264000000000001</v>
      </c>
    </row>
    <row r="166">
      <c r="A166" t="inlineStr">
        <is>
          <t>BELLAVISTA</t>
        </is>
      </c>
      <c r="B166" t="inlineStr">
        <is>
          <t>070102</t>
        </is>
      </c>
      <c r="C166" t="inlineStr">
        <is>
          <t>Pharma</t>
        </is>
      </c>
      <c r="D166" t="inlineStr">
        <is>
          <t>holding</t>
        </is>
      </c>
      <c r="E166" s="11" t="n">
        <v>0.0083</v>
      </c>
      <c r="F166" s="16" t="n">
        <v>0.008264000000000001</v>
      </c>
    </row>
    <row r="167">
      <c r="A167" t="inlineStr">
        <is>
          <t>SAN JUAN DE LURIGANCHO</t>
        </is>
      </c>
      <c r="B167" t="inlineStr">
        <is>
          <t>150132</t>
        </is>
      </c>
      <c r="C167" t="inlineStr">
        <is>
          <t>Food Retail</t>
        </is>
      </c>
      <c r="D167" t="inlineStr">
        <is>
          <t>holding</t>
        </is>
      </c>
      <c r="E167" s="11" t="n">
        <v>0.0083</v>
      </c>
      <c r="F167" s="16" t="n">
        <v>0.008264000000000001</v>
      </c>
    </row>
    <row r="168">
      <c r="A168" t="inlineStr">
        <is>
          <t>SAN JUAN DE LURIGANCHO</t>
        </is>
      </c>
      <c r="B168" t="inlineStr">
        <is>
          <t>150132</t>
        </is>
      </c>
      <c r="C168" t="inlineStr">
        <is>
          <t>Pharma</t>
        </is>
      </c>
      <c r="D168" t="inlineStr">
        <is>
          <t>holding</t>
        </is>
      </c>
      <c r="E168" s="11" t="n">
        <v>0.0248</v>
      </c>
      <c r="F168" s="16" t="n">
        <v>0.024793</v>
      </c>
    </row>
    <row r="169">
      <c r="A169" t="inlineStr">
        <is>
          <t>YANAHUARA</t>
        </is>
      </c>
      <c r="B169" t="inlineStr">
        <is>
          <t>040126</t>
        </is>
      </c>
      <c r="C169" t="inlineStr">
        <is>
          <t>Créditos</t>
        </is>
      </c>
      <c r="D169" t="inlineStr">
        <is>
          <t>Miles S/</t>
        </is>
      </c>
      <c r="E169" s="11" t="n">
        <v>149473.5188</v>
      </c>
      <c r="F169" s="16" t="n">
        <v>149473.51876</v>
      </c>
    </row>
    <row r="170">
      <c r="A170" t="inlineStr">
        <is>
          <t>CALLERIA</t>
        </is>
      </c>
      <c r="B170" t="inlineStr">
        <is>
          <t>250101</t>
        </is>
      </c>
      <c r="C170" t="inlineStr">
        <is>
          <t>Créditos</t>
        </is>
      </c>
      <c r="D170" t="inlineStr">
        <is>
          <t>Miles S/</t>
        </is>
      </c>
      <c r="E170" s="11" t="n">
        <v>139233.2887</v>
      </c>
      <c r="F170" s="16" t="n">
        <v>139233.28873</v>
      </c>
    </row>
    <row r="171">
      <c r="A171" t="inlineStr">
        <is>
          <t>SAN JUAN DE MIRAFLORES</t>
        </is>
      </c>
      <c r="B171" t="inlineStr">
        <is>
          <t>150133</t>
        </is>
      </c>
      <c r="C171" t="inlineStr">
        <is>
          <t>Food Retail</t>
        </is>
      </c>
      <c r="D171" t="inlineStr">
        <is>
          <t>holding</t>
        </is>
      </c>
      <c r="E171" s="11" t="n">
        <v>0.0083</v>
      </c>
      <c r="F171" s="16" t="n">
        <v>0.008264000000000001</v>
      </c>
    </row>
    <row r="172">
      <c r="A172" t="inlineStr">
        <is>
          <t>CHORRILLOS</t>
        </is>
      </c>
      <c r="B172" t="inlineStr">
        <is>
          <t>150108</t>
        </is>
      </c>
      <c r="C172" t="inlineStr">
        <is>
          <t>Food Retail</t>
        </is>
      </c>
      <c r="D172" t="inlineStr">
        <is>
          <t>holding</t>
        </is>
      </c>
      <c r="E172" s="11" t="n">
        <v>0.0083</v>
      </c>
      <c r="F172" s="16" t="n">
        <v>0.008264000000000001</v>
      </c>
    </row>
    <row r="173">
      <c r="A173" t="inlineStr">
        <is>
          <t>CHORRILLOS</t>
        </is>
      </c>
      <c r="B173" t="inlineStr">
        <is>
          <t>150108</t>
        </is>
      </c>
      <c r="C173" t="inlineStr">
        <is>
          <t>Pharma</t>
        </is>
      </c>
      <c r="D173" t="inlineStr">
        <is>
          <t>holding</t>
        </is>
      </c>
      <c r="E173" s="11" t="n">
        <v>0.0331</v>
      </c>
      <c r="F173" s="16" t="n">
        <v>0.033058</v>
      </c>
    </row>
    <row r="174">
      <c r="A174" t="inlineStr">
        <is>
          <t>INDEPENDENCIA</t>
        </is>
      </c>
      <c r="B174" t="inlineStr">
        <is>
          <t>150112</t>
        </is>
      </c>
      <c r="C174" t="inlineStr">
        <is>
          <t>Food Retail</t>
        </is>
      </c>
      <c r="D174" t="inlineStr">
        <is>
          <t>holding</t>
        </is>
      </c>
      <c r="E174" s="11" t="n">
        <v>0.0083</v>
      </c>
      <c r="F174" s="16" t="n">
        <v>0.008264000000000001</v>
      </c>
    </row>
    <row r="175">
      <c r="A175" t="inlineStr">
        <is>
          <t>CALLAO</t>
        </is>
      </c>
      <c r="B175" t="inlineStr">
        <is>
          <t>070101</t>
        </is>
      </c>
      <c r="C175" t="inlineStr">
        <is>
          <t>Pharma</t>
        </is>
      </c>
      <c r="D175" t="inlineStr">
        <is>
          <t>holding</t>
        </is>
      </c>
      <c r="E175" s="11" t="n">
        <v>0.0165</v>
      </c>
      <c r="F175" s="16" t="n">
        <v>0.016529</v>
      </c>
    </row>
    <row r="176">
      <c r="A176" t="inlineStr">
        <is>
          <t>LA MOLINA</t>
        </is>
      </c>
      <c r="B176" t="inlineStr">
        <is>
          <t>150114</t>
        </is>
      </c>
      <c r="C176" t="inlineStr">
        <is>
          <t>Pharma</t>
        </is>
      </c>
      <c r="D176" t="inlineStr">
        <is>
          <t>holding</t>
        </is>
      </c>
      <c r="E176" s="11" t="n">
        <v>0.0413</v>
      </c>
      <c r="F176" s="16" t="n">
        <v>0.041322</v>
      </c>
    </row>
    <row r="177">
      <c r="A177" t="inlineStr">
        <is>
          <t>HUACHO</t>
        </is>
      </c>
      <c r="B177" t="inlineStr">
        <is>
          <t>150801</t>
        </is>
      </c>
      <c r="C177" t="inlineStr">
        <is>
          <t>Créditos</t>
        </is>
      </c>
      <c r="D177" t="inlineStr">
        <is>
          <t>Miles S/</t>
        </is>
      </c>
      <c r="E177" s="11" t="n">
        <v>99444.6136</v>
      </c>
      <c r="F177" s="16" t="n">
        <v>99444.61365</v>
      </c>
    </row>
    <row r="178">
      <c r="A178" t="inlineStr">
        <is>
          <t>PUNO</t>
        </is>
      </c>
      <c r="B178" t="inlineStr">
        <is>
          <t>210101</t>
        </is>
      </c>
      <c r="C178" t="inlineStr">
        <is>
          <t>Créditos</t>
        </is>
      </c>
      <c r="D178" t="inlineStr">
        <is>
          <t>Miles S/</t>
        </is>
      </c>
      <c r="E178" s="11" t="n">
        <v>96744.9016</v>
      </c>
      <c r="F178" s="16" t="n">
        <v>96744.90158999999</v>
      </c>
    </row>
    <row r="179">
      <c r="A179" t="inlineStr">
        <is>
          <t>SAN MARTIN DE PORRES</t>
        </is>
      </c>
      <c r="B179" t="inlineStr">
        <is>
          <t>150135</t>
        </is>
      </c>
      <c r="C179" t="inlineStr">
        <is>
          <t>Créditos</t>
        </is>
      </c>
      <c r="D179" t="inlineStr">
        <is>
          <t>Miles S/</t>
        </is>
      </c>
      <c r="E179" s="11" t="n">
        <v>94629.3054</v>
      </c>
      <c r="F179" s="16" t="n">
        <v>94629.30544</v>
      </c>
    </row>
    <row r="180">
      <c r="A180" t="inlineStr">
        <is>
          <t>PAUCARPATA</t>
        </is>
      </c>
      <c r="B180" t="inlineStr">
        <is>
          <t>040112</t>
        </is>
      </c>
      <c r="C180" t="inlineStr">
        <is>
          <t>Créditos</t>
        </is>
      </c>
      <c r="D180" t="inlineStr">
        <is>
          <t>Miles S/</t>
        </is>
      </c>
      <c r="E180" s="11" t="n">
        <v>83449.56299999999</v>
      </c>
      <c r="F180" s="16" t="n">
        <v>83449.56297</v>
      </c>
    </row>
    <row r="181">
      <c r="A181" t="inlineStr">
        <is>
          <t>SULLANA</t>
        </is>
      </c>
      <c r="B181" t="inlineStr">
        <is>
          <t>200601</t>
        </is>
      </c>
      <c r="C181" t="inlineStr">
        <is>
          <t>Créditos</t>
        </is>
      </c>
      <c r="D181" t="inlineStr">
        <is>
          <t>Miles S/</t>
        </is>
      </c>
      <c r="E181" s="11" t="n">
        <v>82754.4412</v>
      </c>
      <c r="F181" s="16" t="n">
        <v>82754.44117999999</v>
      </c>
    </row>
    <row r="182">
      <c r="A182" t="inlineStr">
        <is>
          <t>ABANCAY</t>
        </is>
      </c>
      <c r="B182" t="inlineStr">
        <is>
          <t>030101</t>
        </is>
      </c>
      <c r="C182" t="inlineStr">
        <is>
          <t>Créditos</t>
        </is>
      </c>
      <c r="D182" t="inlineStr">
        <is>
          <t>Miles S/</t>
        </is>
      </c>
      <c r="E182" s="11" t="n">
        <v>74959.8602</v>
      </c>
      <c r="F182" s="16" t="n">
        <v>74959.86016</v>
      </c>
    </row>
    <row r="183">
      <c r="A183" t="inlineStr">
        <is>
          <t>BREÑA</t>
        </is>
      </c>
      <c r="B183" t="inlineStr">
        <is>
          <t>150105</t>
        </is>
      </c>
      <c r="C183" t="inlineStr">
        <is>
          <t>Créditos</t>
        </is>
      </c>
      <c r="D183" t="inlineStr">
        <is>
          <t>Miles S/</t>
        </is>
      </c>
      <c r="E183" s="11" t="n">
        <v>74835.9277</v>
      </c>
      <c r="F183" s="16" t="n">
        <v>74835.92772000001</v>
      </c>
    </row>
    <row r="184">
      <c r="A184" t="inlineStr">
        <is>
          <t>TAMBOPATA</t>
        </is>
      </c>
      <c r="B184" t="inlineStr">
        <is>
          <t>170101</t>
        </is>
      </c>
      <c r="C184" t="inlineStr">
        <is>
          <t>Créditos</t>
        </is>
      </c>
      <c r="D184" t="inlineStr">
        <is>
          <t>Miles S/</t>
        </is>
      </c>
      <c r="E184" s="11" t="n">
        <v>71075.2812</v>
      </c>
      <c r="F184" s="16" t="n">
        <v>71075.28125</v>
      </c>
    </row>
    <row r="185">
      <c r="A185" t="inlineStr">
        <is>
          <t>LINCE</t>
        </is>
      </c>
      <c r="B185" t="inlineStr">
        <is>
          <t>150116</t>
        </is>
      </c>
      <c r="C185" t="inlineStr">
        <is>
          <t>Pharma</t>
        </is>
      </c>
      <c r="D185" t="inlineStr">
        <is>
          <t>holding</t>
        </is>
      </c>
      <c r="E185" s="11" t="n">
        <v>0.0165</v>
      </c>
      <c r="F185" s="16" t="n">
        <v>0.016529</v>
      </c>
    </row>
    <row r="186">
      <c r="A186" t="inlineStr">
        <is>
          <t>TUMBES</t>
        </is>
      </c>
      <c r="B186" t="inlineStr">
        <is>
          <t>240101</t>
        </is>
      </c>
      <c r="C186" t="inlineStr">
        <is>
          <t>Créditos</t>
        </is>
      </c>
      <c r="D186" t="inlineStr">
        <is>
          <t>Miles S/</t>
        </is>
      </c>
      <c r="E186" s="11" t="n">
        <v>63380.2978</v>
      </c>
      <c r="F186" s="16" t="n">
        <v>63380.29776</v>
      </c>
    </row>
    <row r="187">
      <c r="A187" t="inlineStr">
        <is>
          <t>MAGDALENA VIEJA</t>
        </is>
      </c>
      <c r="B187" t="inlineStr">
        <is>
          <t>150121</t>
        </is>
      </c>
      <c r="C187" t="inlineStr">
        <is>
          <t>Créditos</t>
        </is>
      </c>
      <c r="D187" t="inlineStr">
        <is>
          <t>Miles S/</t>
        </is>
      </c>
      <c r="E187" s="11" t="n">
        <v>61416.1928</v>
      </c>
      <c r="F187" s="16" t="n">
        <v>61416.19275</v>
      </c>
    </row>
    <row r="188">
      <c r="A188" t="inlineStr">
        <is>
          <t>ATE</t>
        </is>
      </c>
      <c r="B188" t="inlineStr">
        <is>
          <t>150103</t>
        </is>
      </c>
      <c r="C188" t="inlineStr">
        <is>
          <t>Pharma</t>
        </is>
      </c>
      <c r="D188" t="inlineStr">
        <is>
          <t>holding</t>
        </is>
      </c>
      <c r="E188" s="11" t="n">
        <v>0.0083</v>
      </c>
      <c r="F188" s="16" t="n">
        <v>0.008264000000000001</v>
      </c>
    </row>
    <row r="189">
      <c r="A189" t="inlineStr">
        <is>
          <t>PISCO</t>
        </is>
      </c>
      <c r="B189" t="inlineStr">
        <is>
          <t>110501</t>
        </is>
      </c>
      <c r="C189" t="inlineStr">
        <is>
          <t>Créditos</t>
        </is>
      </c>
      <c r="D189" t="inlineStr">
        <is>
          <t>Miles S/</t>
        </is>
      </c>
      <c r="E189" s="11" t="n">
        <v>59363.8795</v>
      </c>
      <c r="F189" s="16" t="n">
        <v>59363.87955</v>
      </c>
    </row>
    <row r="190">
      <c r="A190" t="inlineStr">
        <is>
          <t>MOQUEGUA</t>
        </is>
      </c>
      <c r="B190" t="inlineStr">
        <is>
          <t>180101</t>
        </is>
      </c>
      <c r="C190" t="inlineStr">
        <is>
          <t>Créditos</t>
        </is>
      </c>
      <c r="D190" t="inlineStr">
        <is>
          <t>Miles S/</t>
        </is>
      </c>
      <c r="E190" s="11" t="n">
        <v>57048.3772</v>
      </c>
      <c r="F190" s="16" t="n">
        <v>57048.37715</v>
      </c>
    </row>
    <row r="191">
      <c r="A191" t="inlineStr">
        <is>
          <t>SAN VICENTE DE CAÑETE</t>
        </is>
      </c>
      <c r="B191" t="inlineStr">
        <is>
          <t>150501</t>
        </is>
      </c>
      <c r="C191" t="inlineStr">
        <is>
          <t>Créditos</t>
        </is>
      </c>
      <c r="D191" t="inlineStr">
        <is>
          <t>Miles S/</t>
        </is>
      </c>
      <c r="E191" s="11" t="n">
        <v>51283.9942</v>
      </c>
      <c r="F191" s="16" t="n">
        <v>51283.99421</v>
      </c>
    </row>
    <row r="192">
      <c r="A192" t="inlineStr">
        <is>
          <t>BARRANCO</t>
        </is>
      </c>
      <c r="B192" t="inlineStr">
        <is>
          <t>150104</t>
        </is>
      </c>
      <c r="C192" t="inlineStr">
        <is>
          <t>Pharma</t>
        </is>
      </c>
      <c r="D192" t="inlineStr">
        <is>
          <t>holding</t>
        </is>
      </c>
      <c r="E192" s="11" t="n">
        <v>0.0083</v>
      </c>
      <c r="F192" s="16" t="n">
        <v>0.008264000000000001</v>
      </c>
    </row>
    <row r="193">
      <c r="A193" t="inlineStr">
        <is>
          <t>CHANCHAMAYO</t>
        </is>
      </c>
      <c r="B193" t="inlineStr">
        <is>
          <t>120301</t>
        </is>
      </c>
      <c r="C193" t="inlineStr">
        <is>
          <t>Créditos</t>
        </is>
      </c>
      <c r="D193" t="inlineStr">
        <is>
          <t>Miles S/</t>
        </is>
      </c>
      <c r="E193" s="11" t="n">
        <v>43978.8228</v>
      </c>
      <c r="F193" s="16" t="n">
        <v>43978.82281</v>
      </c>
    </row>
    <row r="194">
      <c r="A194" t="inlineStr">
        <is>
          <t>VILLA EL SALVADOR</t>
        </is>
      </c>
      <c r="B194" t="inlineStr">
        <is>
          <t>150142</t>
        </is>
      </c>
      <c r="C194" t="inlineStr">
        <is>
          <t>Pharma</t>
        </is>
      </c>
      <c r="D194" t="inlineStr">
        <is>
          <t>holding</t>
        </is>
      </c>
      <c r="E194" s="11" t="n">
        <v>0.0165</v>
      </c>
      <c r="F194" s="16" t="n">
        <v>0.016529</v>
      </c>
    </row>
    <row r="195">
      <c r="A195" t="inlineStr">
        <is>
          <t>NAZCA</t>
        </is>
      </c>
      <c r="B195" t="inlineStr">
        <is>
          <t>110301</t>
        </is>
      </c>
      <c r="C195" t="inlineStr">
        <is>
          <t>Créditos</t>
        </is>
      </c>
      <c r="D195" t="inlineStr">
        <is>
          <t>Miles S/</t>
        </is>
      </c>
      <c r="E195" s="11" t="n">
        <v>38411.4783</v>
      </c>
      <c r="F195" s="16" t="n">
        <v>38411.47835</v>
      </c>
    </row>
    <row r="196">
      <c r="A196" t="inlineStr">
        <is>
          <t>HUARAL</t>
        </is>
      </c>
      <c r="B196" t="inlineStr">
        <is>
          <t>150601</t>
        </is>
      </c>
      <c r="C196" t="inlineStr">
        <is>
          <t>Pharma</t>
        </is>
      </c>
      <c r="D196" t="inlineStr">
        <is>
          <t>holding</t>
        </is>
      </c>
      <c r="E196" s="11" t="n">
        <v>0.0083</v>
      </c>
      <c r="F196" s="16" t="n">
        <v>0.008264000000000001</v>
      </c>
    </row>
    <row r="197">
      <c r="A197" t="inlineStr">
        <is>
          <t>PARIÑAS</t>
        </is>
      </c>
      <c r="B197" t="inlineStr">
        <is>
          <t>200701</t>
        </is>
      </c>
      <c r="C197" t="inlineStr">
        <is>
          <t>Créditos</t>
        </is>
      </c>
      <c r="D197" t="inlineStr">
        <is>
          <t>Miles S/</t>
        </is>
      </c>
      <c r="E197" s="11" t="n">
        <v>35572.2974</v>
      </c>
      <c r="F197" s="16" t="n">
        <v>35572.29739</v>
      </c>
    </row>
    <row r="198">
      <c r="A198" t="inlineStr">
        <is>
          <t>COMAS</t>
        </is>
      </c>
      <c r="B198" t="inlineStr">
        <is>
          <t>150110</t>
        </is>
      </c>
      <c r="C198" t="inlineStr">
        <is>
          <t>Food Retail</t>
        </is>
      </c>
      <c r="D198" t="inlineStr">
        <is>
          <t>holding</t>
        </is>
      </c>
      <c r="E198" s="11" t="n">
        <v>0.0083</v>
      </c>
      <c r="F198" s="16" t="n">
        <v>0.008264000000000001</v>
      </c>
    </row>
    <row r="199">
      <c r="A199" t="inlineStr">
        <is>
          <t>COMAS</t>
        </is>
      </c>
      <c r="B199" t="inlineStr">
        <is>
          <t>150110</t>
        </is>
      </c>
      <c r="C199" t="inlineStr">
        <is>
          <t>Shopping Malls</t>
        </is>
      </c>
      <c r="D199" t="inlineStr">
        <is>
          <t>holding</t>
        </is>
      </c>
      <c r="E199" s="11" t="n">
        <v>0.0083</v>
      </c>
      <c r="F199" s="16" t="n">
        <v>0.008264000000000001</v>
      </c>
    </row>
    <row r="200">
      <c r="A200" t="inlineStr">
        <is>
          <t>MAGDALENA DEL MAR</t>
        </is>
      </c>
      <c r="B200" t="inlineStr">
        <is>
          <t>150120</t>
        </is>
      </c>
      <c r="C200" t="inlineStr">
        <is>
          <t>Food Retail</t>
        </is>
      </c>
      <c r="D200" t="inlineStr">
        <is>
          <t>holding</t>
        </is>
      </c>
      <c r="E200" s="11" t="n">
        <v>0.0083</v>
      </c>
      <c r="F200" s="16" t="n">
        <v>0.008264000000000001</v>
      </c>
    </row>
    <row r="201">
      <c r="A201" t="inlineStr">
        <is>
          <t>MAGDALENA DEL MAR</t>
        </is>
      </c>
      <c r="B201" t="inlineStr">
        <is>
          <t>150120</t>
        </is>
      </c>
      <c r="C201" t="inlineStr">
        <is>
          <t>Pharma</t>
        </is>
      </c>
      <c r="D201" t="inlineStr">
        <is>
          <t>holding</t>
        </is>
      </c>
      <c r="E201" s="11" t="n">
        <v>0.0413</v>
      </c>
      <c r="F201" s="16" t="n">
        <v>0.041322</v>
      </c>
    </row>
    <row r="202">
      <c r="A202" t="inlineStr">
        <is>
          <t>BARRANCA</t>
        </is>
      </c>
      <c r="B202" t="inlineStr">
        <is>
          <t>150201</t>
        </is>
      </c>
      <c r="C202" t="inlineStr">
        <is>
          <t>Créditos</t>
        </is>
      </c>
      <c r="D202" t="inlineStr">
        <is>
          <t>Miles S/</t>
        </is>
      </c>
      <c r="E202" s="11" t="n">
        <v>33291.5779</v>
      </c>
      <c r="F202" s="16" t="n">
        <v>33291.5779</v>
      </c>
    </row>
    <row r="203">
      <c r="A203" t="inlineStr">
        <is>
          <t>JOSE LUIS BUSTAMANTE Y RIVERO</t>
        </is>
      </c>
      <c r="B203" t="inlineStr">
        <is>
          <t>040129</t>
        </is>
      </c>
      <c r="C203" t="inlineStr">
        <is>
          <t>Créditos</t>
        </is>
      </c>
      <c r="D203" t="inlineStr">
        <is>
          <t>Miles S/</t>
        </is>
      </c>
      <c r="E203" s="11" t="n">
        <v>33199.5909</v>
      </c>
      <c r="F203" s="16" t="n">
        <v>33199.59088</v>
      </c>
    </row>
    <row r="204">
      <c r="A204" t="inlineStr">
        <is>
          <t>ILO</t>
        </is>
      </c>
      <c r="B204" t="inlineStr">
        <is>
          <t>180301</t>
        </is>
      </c>
      <c r="C204" t="inlineStr">
        <is>
          <t>Créditos</t>
        </is>
      </c>
      <c r="D204" t="inlineStr">
        <is>
          <t>Miles S/</t>
        </is>
      </c>
      <c r="E204" s="11" t="n">
        <v>33093.9009</v>
      </c>
      <c r="F204" s="16" t="n">
        <v>33093.90086</v>
      </c>
    </row>
    <row r="205">
      <c r="A205" t="inlineStr">
        <is>
          <t>MOYOBAMBA</t>
        </is>
      </c>
      <c r="B205" t="inlineStr">
        <is>
          <t>220101</t>
        </is>
      </c>
      <c r="C205" t="inlineStr">
        <is>
          <t>Food Retail</t>
        </is>
      </c>
      <c r="D205" t="inlineStr">
        <is>
          <t>holding</t>
        </is>
      </c>
      <c r="E205" s="11" t="n">
        <v>0.0083</v>
      </c>
      <c r="F205" s="16" t="n">
        <v>0.008264000000000001</v>
      </c>
    </row>
    <row r="206">
      <c r="A206" t="inlineStr">
        <is>
          <t>YANACANCHA</t>
        </is>
      </c>
      <c r="B206" t="inlineStr">
        <is>
          <t>190113</t>
        </is>
      </c>
      <c r="C206" t="inlineStr">
        <is>
          <t>Créditos</t>
        </is>
      </c>
      <c r="D206" t="inlineStr">
        <is>
          <t>Miles S/</t>
        </is>
      </c>
      <c r="E206" s="11" t="n">
        <v>27866.2702</v>
      </c>
      <c r="F206" s="16" t="n">
        <v>27866.27019</v>
      </c>
    </row>
    <row r="207">
      <c r="A207" t="inlineStr">
        <is>
          <t>SAN SEBASTIAN</t>
        </is>
      </c>
      <c r="B207" t="inlineStr">
        <is>
          <t>080105</t>
        </is>
      </c>
      <c r="C207" t="inlineStr">
        <is>
          <t>Créditos</t>
        </is>
      </c>
      <c r="D207" t="inlineStr">
        <is>
          <t>Miles S/</t>
        </is>
      </c>
      <c r="E207" s="11" t="n">
        <v>25653.7194</v>
      </c>
      <c r="F207" s="16" t="n">
        <v>25653.71944</v>
      </c>
    </row>
    <row r="208">
      <c r="A208" t="inlineStr">
        <is>
          <t>CAMANA</t>
        </is>
      </c>
      <c r="B208" t="inlineStr">
        <is>
          <t>040201</t>
        </is>
      </c>
      <c r="C208" t="inlineStr">
        <is>
          <t>Créditos</t>
        </is>
      </c>
      <c r="D208" t="inlineStr">
        <is>
          <t>Miles S/</t>
        </is>
      </c>
      <c r="E208" s="11" t="n">
        <v>24045.2624</v>
      </c>
      <c r="F208" s="16" t="n">
        <v>24045.26243</v>
      </c>
    </row>
    <row r="209">
      <c r="A209" t="inlineStr">
        <is>
          <t>PAITA</t>
        </is>
      </c>
      <c r="B209" t="inlineStr">
        <is>
          <t>200501</t>
        </is>
      </c>
      <c r="C209" t="inlineStr">
        <is>
          <t>Créditos</t>
        </is>
      </c>
      <c r="D209" t="inlineStr">
        <is>
          <t>Miles S/</t>
        </is>
      </c>
      <c r="E209" s="11" t="n">
        <v>23831.1279</v>
      </c>
      <c r="F209" s="16" t="n">
        <v>23831.12795</v>
      </c>
    </row>
    <row r="210">
      <c r="A210" t="inlineStr">
        <is>
          <t>PUENTE PIEDRA</t>
        </is>
      </c>
      <c r="B210" t="inlineStr">
        <is>
          <t>150125</t>
        </is>
      </c>
      <c r="C210" t="inlineStr">
        <is>
          <t>Pharma</t>
        </is>
      </c>
      <c r="D210" t="inlineStr">
        <is>
          <t>holding</t>
        </is>
      </c>
      <c r="E210" s="11" t="n">
        <v>0.0331</v>
      </c>
      <c r="F210" s="16" t="n">
        <v>0.033058</v>
      </c>
    </row>
    <row r="211">
      <c r="A211" t="inlineStr">
        <is>
          <t>LURIN</t>
        </is>
      </c>
      <c r="B211" t="inlineStr">
        <is>
          <t>150119</t>
        </is>
      </c>
      <c r="C211" t="inlineStr">
        <is>
          <t>Pharma</t>
        </is>
      </c>
      <c r="D211" t="inlineStr">
        <is>
          <t>holding</t>
        </is>
      </c>
      <c r="E211" s="11" t="n">
        <v>0.0083</v>
      </c>
      <c r="F211" s="16" t="n">
        <v>0.008264000000000001</v>
      </c>
    </row>
    <row r="212">
      <c r="A212" t="inlineStr">
        <is>
          <t>CARABAYLLO</t>
        </is>
      </c>
      <c r="B212" t="inlineStr">
        <is>
          <t>150106</t>
        </is>
      </c>
      <c r="C212" t="inlineStr">
        <is>
          <t>Créditos</t>
        </is>
      </c>
      <c r="D212" t="inlineStr">
        <is>
          <t>Miles S/</t>
        </is>
      </c>
      <c r="E212" s="11" t="n">
        <v>16003.7408</v>
      </c>
      <c r="F212" s="16" t="n">
        <v>16003.74076</v>
      </c>
    </row>
    <row r="213">
      <c r="A213" t="inlineStr">
        <is>
          <t>MARCONA</t>
        </is>
      </c>
      <c r="B213" t="inlineStr">
        <is>
          <t>110304</t>
        </is>
      </c>
      <c r="C213" t="inlineStr">
        <is>
          <t>Créditos</t>
        </is>
      </c>
      <c r="D213" t="inlineStr">
        <is>
          <t>Miles S/</t>
        </is>
      </c>
      <c r="E213" s="11" t="n">
        <v>14726.4571</v>
      </c>
      <c r="F213" s="16" t="n">
        <v>14726.45708</v>
      </c>
    </row>
    <row r="214">
      <c r="A214" t="inlineStr">
        <is>
          <t>VENTANILLA</t>
        </is>
      </c>
      <c r="B214" t="inlineStr">
        <is>
          <t>070106</t>
        </is>
      </c>
      <c r="C214" t="inlineStr">
        <is>
          <t>Créditos</t>
        </is>
      </c>
      <c r="D214" t="inlineStr">
        <is>
          <t>Miles S/</t>
        </is>
      </c>
      <c r="E214" s="11" t="n">
        <v>13996.8848</v>
      </c>
      <c r="F214" s="16" t="n">
        <v>13996.88482</v>
      </c>
    </row>
    <row r="215">
      <c r="A215" t="inlineStr">
        <is>
          <t>CHALLHUAHUACHO</t>
        </is>
      </c>
      <c r="B215" t="inlineStr">
        <is>
          <t>030506</t>
        </is>
      </c>
      <c r="C215" t="inlineStr">
        <is>
          <t>Créditos</t>
        </is>
      </c>
      <c r="D215" t="inlineStr">
        <is>
          <t>Miles S/</t>
        </is>
      </c>
      <c r="E215" s="11" t="n">
        <v>12790.7785</v>
      </c>
      <c r="F215" s="16" t="n">
        <v>12790.77851</v>
      </c>
    </row>
    <row r="216">
      <c r="A216" t="inlineStr">
        <is>
          <t>CHANCAY</t>
        </is>
      </c>
      <c r="B216" t="inlineStr">
        <is>
          <t>150605</t>
        </is>
      </c>
      <c r="C216" t="inlineStr">
        <is>
          <t>Créditos</t>
        </is>
      </c>
      <c r="D216" t="inlineStr">
        <is>
          <t>Miles S/</t>
        </is>
      </c>
      <c r="E216" s="11" t="n">
        <v>10167.0856</v>
      </c>
      <c r="F216" s="16" t="n">
        <v>10167.08557</v>
      </c>
    </row>
    <row r="217">
      <c r="A217" t="inlineStr">
        <is>
          <t>LURIGANCHO</t>
        </is>
      </c>
      <c r="B217" t="inlineStr">
        <is>
          <t>150118</t>
        </is>
      </c>
      <c r="C217" t="inlineStr">
        <is>
          <t>Pharma</t>
        </is>
      </c>
      <c r="D217" t="inlineStr">
        <is>
          <t>holding</t>
        </is>
      </c>
      <c r="E217" s="11" t="n">
        <v>0.0083</v>
      </c>
      <c r="F217" s="16" t="n">
        <v>0.008264000000000001</v>
      </c>
    </row>
    <row r="218">
      <c r="A218" t="inlineStr">
        <is>
          <t>PARCOY</t>
        </is>
      </c>
      <c r="B218" t="inlineStr">
        <is>
          <t>130808</t>
        </is>
      </c>
      <c r="C218" t="inlineStr">
        <is>
          <t>Créditos</t>
        </is>
      </c>
      <c r="D218" t="inlineStr">
        <is>
          <t>Miles S/</t>
        </is>
      </c>
      <c r="E218" s="11" t="n">
        <v>1020.7405</v>
      </c>
      <c r="F218" s="16" t="n">
        <v>1020.74055</v>
      </c>
    </row>
    <row r="219">
      <c r="A219" t="inlineStr">
        <is>
          <t>YARINACOCHA</t>
        </is>
      </c>
      <c r="B219" t="inlineStr">
        <is>
          <t>250105</t>
        </is>
      </c>
      <c r="C219" t="inlineStr">
        <is>
          <t>Créditos</t>
        </is>
      </c>
      <c r="D219" t="inlineStr">
        <is>
          <t>Miles S/</t>
        </is>
      </c>
      <c r="E219" s="11" t="n">
        <v>980.9661</v>
      </c>
      <c r="F219" s="16" t="n">
        <v>980.96614</v>
      </c>
    </row>
    <row r="220">
      <c r="A220" t="inlineStr">
        <is>
          <t>VILLA MARIA DEL TRIUNFO</t>
        </is>
      </c>
      <c r="B220" t="inlineStr">
        <is>
          <t>150143</t>
        </is>
      </c>
      <c r="C220" t="inlineStr">
        <is>
          <t>Créditos</t>
        </is>
      </c>
      <c r="D220" t="inlineStr">
        <is>
          <t>Miles S/</t>
        </is>
      </c>
      <c r="E220" s="11" t="n">
        <v>339.6747</v>
      </c>
      <c r="F220" s="16" t="n">
        <v>339.67473</v>
      </c>
    </row>
    <row r="221">
      <c r="A221" t="inlineStr">
        <is>
          <t>LIMA</t>
        </is>
      </c>
      <c r="B221" t="inlineStr">
        <is>
          <t>150101</t>
        </is>
      </c>
      <c r="C221" t="inlineStr">
        <is>
          <t>Pharma</t>
        </is>
      </c>
      <c r="D221" t="inlineStr">
        <is>
          <t>holding</t>
        </is>
      </c>
      <c r="E221" s="11" t="n">
        <v>0.07439999999999999</v>
      </c>
      <c r="F221" s="16" t="n">
        <v>0.07438</v>
      </c>
    </row>
    <row r="222">
      <c r="A222" t="inlineStr">
        <is>
          <t>SURCO</t>
        </is>
      </c>
      <c r="B222" t="inlineStr">
        <is>
          <t>150732</t>
        </is>
      </c>
      <c r="C222" t="inlineStr">
        <is>
          <t>Food Retail</t>
        </is>
      </c>
      <c r="D222" t="inlineStr">
        <is>
          <t>holding</t>
        </is>
      </c>
      <c r="E222" s="11" t="n">
        <v>0.0083</v>
      </c>
      <c r="F222" s="16" t="n">
        <v>0.008264000000000001</v>
      </c>
    </row>
    <row r="223">
      <c r="A223" t="inlineStr">
        <is>
          <t>SURCO</t>
        </is>
      </c>
      <c r="B223" t="inlineStr">
        <is>
          <t>150732</t>
        </is>
      </c>
      <c r="C223" t="inlineStr">
        <is>
          <t>Pharma</t>
        </is>
      </c>
      <c r="D223" t="inlineStr">
        <is>
          <t>holding</t>
        </is>
      </c>
      <c r="E223" s="11" t="n">
        <v>0.06610000000000001</v>
      </c>
      <c r="F223" s="16" t="n">
        <v>0.06611599999999999</v>
      </c>
    </row>
    <row r="224">
      <c r="A224" t="inlineStr">
        <is>
          <t>MIRAFLORES</t>
        </is>
      </c>
      <c r="B224" t="inlineStr">
        <is>
          <t>150122</t>
        </is>
      </c>
      <c r="C224" t="inlineStr">
        <is>
          <t>Food Retail</t>
        </is>
      </c>
      <c r="D224" t="inlineStr">
        <is>
          <t>holding</t>
        </is>
      </c>
      <c r="E224" s="11" t="n">
        <v>0.0248</v>
      </c>
      <c r="F224" s="16" t="n">
        <v>0.024793</v>
      </c>
    </row>
    <row r="225">
      <c r="A225" t="inlineStr">
        <is>
          <t>MIRAFLORES</t>
        </is>
      </c>
      <c r="B225" t="inlineStr">
        <is>
          <t>150122</t>
        </is>
      </c>
      <c r="C225" t="inlineStr">
        <is>
          <t>Pharma</t>
        </is>
      </c>
      <c r="D225" t="inlineStr">
        <is>
          <t>holding</t>
        </is>
      </c>
      <c r="E225" s="11" t="n">
        <v>0.0331</v>
      </c>
      <c r="F225" s="16" t="n">
        <v>0.033058</v>
      </c>
    </row>
    <row r="226">
      <c r="A226" t="inlineStr">
        <is>
          <t>LA VICTORIA</t>
        </is>
      </c>
      <c r="B226" t="inlineStr">
        <is>
          <t>150115</t>
        </is>
      </c>
      <c r="C226" t="inlineStr">
        <is>
          <t>Pharma</t>
        </is>
      </c>
      <c r="D226" t="inlineStr">
        <is>
          <t>holding</t>
        </is>
      </c>
      <c r="E226" s="11" t="n">
        <v>0.0496</v>
      </c>
      <c r="F226" s="16" t="n">
        <v>0.049587</v>
      </c>
    </row>
    <row r="227">
      <c r="A227" t="inlineStr">
        <is>
          <t>MAGDALENA DEL MAR</t>
        </is>
      </c>
      <c r="B227" t="inlineStr">
        <is>
          <t>150120</t>
        </is>
      </c>
      <c r="C227" t="inlineStr">
        <is>
          <t>Food Retail</t>
        </is>
      </c>
      <c r="D227" t="inlineStr">
        <is>
          <t>holding</t>
        </is>
      </c>
      <c r="E227" s="11" t="n">
        <v>0.0083</v>
      </c>
      <c r="F227" s="16" t="n">
        <v>0.008264000000000001</v>
      </c>
    </row>
    <row r="228">
      <c r="A228" t="inlineStr">
        <is>
          <t>MAGDALENA DEL MAR</t>
        </is>
      </c>
      <c r="B228" t="inlineStr">
        <is>
          <t>150120</t>
        </is>
      </c>
      <c r="C228" t="inlineStr">
        <is>
          <t>Pharma</t>
        </is>
      </c>
      <c r="D228" t="inlineStr">
        <is>
          <t>holding</t>
        </is>
      </c>
      <c r="E228" s="11" t="n">
        <v>0.0413</v>
      </c>
      <c r="F228" s="16" t="n">
        <v>0.041322</v>
      </c>
    </row>
    <row r="229">
      <c r="A229" t="inlineStr">
        <is>
          <t>SAN ISIDRO</t>
        </is>
      </c>
      <c r="B229" t="inlineStr">
        <is>
          <t>150131</t>
        </is>
      </c>
      <c r="C229" t="inlineStr">
        <is>
          <t>Food Retail</t>
        </is>
      </c>
      <c r="D229" t="inlineStr">
        <is>
          <t>holding</t>
        </is>
      </c>
      <c r="E229" s="11" t="n">
        <v>0.0248</v>
      </c>
      <c r="F229" s="16" t="n">
        <v>0.024793</v>
      </c>
    </row>
    <row r="230">
      <c r="A230" t="inlineStr">
        <is>
          <t>SAN ISIDRO</t>
        </is>
      </c>
      <c r="B230" t="inlineStr">
        <is>
          <t>150131</t>
        </is>
      </c>
      <c r="C230" t="inlineStr">
        <is>
          <t>Pharma</t>
        </is>
      </c>
      <c r="D230" t="inlineStr">
        <is>
          <t>holding</t>
        </is>
      </c>
      <c r="E230" s="11" t="n">
        <v>0.0248</v>
      </c>
      <c r="F230" s="16" t="n">
        <v>0.024793</v>
      </c>
    </row>
    <row r="231">
      <c r="A231" t="inlineStr">
        <is>
          <t>LA MOLINA</t>
        </is>
      </c>
      <c r="B231" t="inlineStr">
        <is>
          <t>150114</t>
        </is>
      </c>
      <c r="C231" t="inlineStr">
        <is>
          <t>Pharma</t>
        </is>
      </c>
      <c r="D231" t="inlineStr">
        <is>
          <t>holding</t>
        </is>
      </c>
      <c r="E231" s="11" t="n">
        <v>0.0413</v>
      </c>
      <c r="F231" s="16" t="n">
        <v>0.041322</v>
      </c>
    </row>
    <row r="232">
      <c r="A232" t="inlineStr">
        <is>
          <t>CHORRILLOS</t>
        </is>
      </c>
      <c r="B232" t="inlineStr">
        <is>
          <t>150108</t>
        </is>
      </c>
      <c r="C232" t="inlineStr">
        <is>
          <t>Food Retail</t>
        </is>
      </c>
      <c r="D232" t="inlineStr">
        <is>
          <t>holding</t>
        </is>
      </c>
      <c r="E232" s="11" t="n">
        <v>0.0083</v>
      </c>
      <c r="F232" s="16" t="n">
        <v>0.008264000000000001</v>
      </c>
    </row>
    <row r="233">
      <c r="A233" t="inlineStr">
        <is>
          <t>CHORRILLOS</t>
        </is>
      </c>
      <c r="B233" t="inlineStr">
        <is>
          <t>150108</t>
        </is>
      </c>
      <c r="C233" t="inlineStr">
        <is>
          <t>Pharma</t>
        </is>
      </c>
      <c r="D233" t="inlineStr">
        <is>
          <t>holding</t>
        </is>
      </c>
      <c r="E233" s="11" t="n">
        <v>0.0331</v>
      </c>
      <c r="F233" s="16" t="n">
        <v>0.033058</v>
      </c>
    </row>
    <row r="234">
      <c r="A234" t="inlineStr">
        <is>
          <t>PUENTE PIEDRA</t>
        </is>
      </c>
      <c r="B234" t="inlineStr">
        <is>
          <t>150125</t>
        </is>
      </c>
      <c r="C234" t="inlineStr">
        <is>
          <t>Pharma</t>
        </is>
      </c>
      <c r="D234" t="inlineStr">
        <is>
          <t>holding</t>
        </is>
      </c>
      <c r="E234" s="11" t="n">
        <v>0.0331</v>
      </c>
      <c r="F234" s="16" t="n">
        <v>0.033058</v>
      </c>
    </row>
    <row r="235">
      <c r="A235" t="inlineStr">
        <is>
          <t>SAN BORJA</t>
        </is>
      </c>
      <c r="B235" t="inlineStr">
        <is>
          <t>150130</t>
        </is>
      </c>
      <c r="C235" t="inlineStr">
        <is>
          <t>Pharma</t>
        </is>
      </c>
      <c r="D235" t="inlineStr">
        <is>
          <t>holding</t>
        </is>
      </c>
      <c r="E235" s="11" t="n">
        <v>0.0331</v>
      </c>
      <c r="F235" s="16" t="n">
        <v>0.033058</v>
      </c>
    </row>
    <row r="236">
      <c r="A236" t="inlineStr">
        <is>
          <t>SAN JUAN DE LURIGANCHO</t>
        </is>
      </c>
      <c r="B236" t="inlineStr">
        <is>
          <t>150132</t>
        </is>
      </c>
      <c r="C236" t="inlineStr">
        <is>
          <t>Food Retail</t>
        </is>
      </c>
      <c r="D236" t="inlineStr">
        <is>
          <t>holding</t>
        </is>
      </c>
      <c r="E236" s="11" t="n">
        <v>0.0083</v>
      </c>
      <c r="F236" s="16" t="n">
        <v>0.008264000000000001</v>
      </c>
    </row>
    <row r="237">
      <c r="A237" t="inlineStr">
        <is>
          <t>SAN JUAN DE LURIGANCHO</t>
        </is>
      </c>
      <c r="B237" t="inlineStr">
        <is>
          <t>150132</t>
        </is>
      </c>
      <c r="C237" t="inlineStr">
        <is>
          <t>Pharma</t>
        </is>
      </c>
      <c r="D237" t="inlineStr">
        <is>
          <t>holding</t>
        </is>
      </c>
      <c r="E237" s="11" t="n">
        <v>0.0248</v>
      </c>
      <c r="F237" s="16" t="n">
        <v>0.024793</v>
      </c>
    </row>
    <row r="238">
      <c r="A238" t="inlineStr">
        <is>
          <t>SURQUILLO</t>
        </is>
      </c>
      <c r="B238" t="inlineStr">
        <is>
          <t>150141</t>
        </is>
      </c>
      <c r="C238" t="inlineStr">
        <is>
          <t>Pharma</t>
        </is>
      </c>
      <c r="D238" t="inlineStr">
        <is>
          <t>holding</t>
        </is>
      </c>
      <c r="E238" s="11" t="n">
        <v>0.0331</v>
      </c>
      <c r="F238" s="16" t="n">
        <v>0.033058</v>
      </c>
    </row>
    <row r="239">
      <c r="A239" t="inlineStr">
        <is>
          <t>SAN MIGUEL</t>
        </is>
      </c>
      <c r="B239" t="inlineStr">
        <is>
          <t>150136</t>
        </is>
      </c>
      <c r="C239" t="inlineStr">
        <is>
          <t>Pharma</t>
        </is>
      </c>
      <c r="D239" t="inlineStr">
        <is>
          <t>holding</t>
        </is>
      </c>
      <c r="E239" s="11" t="n">
        <v>0.0248</v>
      </c>
      <c r="F239" s="16" t="n">
        <v>0.024793</v>
      </c>
    </row>
    <row r="240">
      <c r="A240" t="inlineStr">
        <is>
          <t>LINCE</t>
        </is>
      </c>
      <c r="B240" t="inlineStr">
        <is>
          <t>150116</t>
        </is>
      </c>
      <c r="C240" t="inlineStr">
        <is>
          <t>Pharma</t>
        </is>
      </c>
      <c r="D240" t="inlineStr">
        <is>
          <t>holding</t>
        </is>
      </c>
      <c r="E240" s="11" t="n">
        <v>0.0165</v>
      </c>
      <c r="F240" s="16" t="n">
        <v>0.016529</v>
      </c>
    </row>
    <row r="241">
      <c r="A241" t="inlineStr">
        <is>
          <t>VILLA EL SALVADOR</t>
        </is>
      </c>
      <c r="B241" t="inlineStr">
        <is>
          <t>150142</t>
        </is>
      </c>
      <c r="C241" t="inlineStr">
        <is>
          <t>Pharma</t>
        </is>
      </c>
      <c r="D241" t="inlineStr">
        <is>
          <t>holding</t>
        </is>
      </c>
      <c r="E241" s="11" t="n">
        <v>0.0165</v>
      </c>
      <c r="F241" s="16" t="n">
        <v>0.016529</v>
      </c>
    </row>
    <row r="242">
      <c r="A242" t="inlineStr">
        <is>
          <t>JESUS MARIA</t>
        </is>
      </c>
      <c r="B242" t="inlineStr">
        <is>
          <t>150113</t>
        </is>
      </c>
      <c r="C242" t="inlineStr">
        <is>
          <t>Pharma</t>
        </is>
      </c>
      <c r="D242" t="inlineStr">
        <is>
          <t>holding</t>
        </is>
      </c>
      <c r="E242" s="11" t="n">
        <v>0.0165</v>
      </c>
      <c r="F242" s="16" t="n">
        <v>0.016529</v>
      </c>
    </row>
    <row r="243">
      <c r="A243" t="inlineStr">
        <is>
          <t>TRUJILLO</t>
        </is>
      </c>
      <c r="B243" t="inlineStr">
        <is>
          <t>130101</t>
        </is>
      </c>
      <c r="C243" t="inlineStr">
        <is>
          <t>Food Retail</t>
        </is>
      </c>
      <c r="D243" t="inlineStr">
        <is>
          <t>holding</t>
        </is>
      </c>
      <c r="E243" s="11" t="n">
        <v>0.0083</v>
      </c>
      <c r="F243" s="16" t="n">
        <v>0.008264000000000001</v>
      </c>
    </row>
    <row r="244">
      <c r="A244" t="inlineStr">
        <is>
          <t>TRUJILLO</t>
        </is>
      </c>
      <c r="B244" t="inlineStr">
        <is>
          <t>130101</t>
        </is>
      </c>
      <c r="C244" t="inlineStr">
        <is>
          <t>Shopping Malls</t>
        </is>
      </c>
      <c r="D244" t="inlineStr">
        <is>
          <t>holding</t>
        </is>
      </c>
      <c r="E244" s="11" t="n">
        <v>0.0083</v>
      </c>
      <c r="F244" s="16" t="n">
        <v>0.008264000000000001</v>
      </c>
    </row>
    <row r="245">
      <c r="A245" t="inlineStr">
        <is>
          <t>CAJAMARCA</t>
        </is>
      </c>
      <c r="B245" t="inlineStr">
        <is>
          <t>060101</t>
        </is>
      </c>
      <c r="C245" t="inlineStr">
        <is>
          <t>Food Retail</t>
        </is>
      </c>
      <c r="D245" t="inlineStr">
        <is>
          <t>holding</t>
        </is>
      </c>
      <c r="E245" s="11" t="n">
        <v>0.0083</v>
      </c>
      <c r="F245" s="16" t="n">
        <v>0.008264000000000001</v>
      </c>
    </row>
    <row r="246">
      <c r="A246" t="inlineStr">
        <is>
          <t>CAJAMARCA</t>
        </is>
      </c>
      <c r="B246" t="inlineStr">
        <is>
          <t>060101</t>
        </is>
      </c>
      <c r="C246" t="inlineStr">
        <is>
          <t>Shopping Malls</t>
        </is>
      </c>
      <c r="D246" t="inlineStr">
        <is>
          <t>holding</t>
        </is>
      </c>
      <c r="E246" s="11" t="n">
        <v>0.0083</v>
      </c>
      <c r="F246" s="16" t="n">
        <v>0.008264000000000001</v>
      </c>
    </row>
    <row r="247">
      <c r="A247" t="inlineStr">
        <is>
          <t>CALLAO</t>
        </is>
      </c>
      <c r="B247" t="inlineStr">
        <is>
          <t>070101</t>
        </is>
      </c>
      <c r="C247" t="inlineStr">
        <is>
          <t>Pharma</t>
        </is>
      </c>
      <c r="D247" t="inlineStr">
        <is>
          <t>holding</t>
        </is>
      </c>
      <c r="E247" s="11" t="n">
        <v>0.0165</v>
      </c>
      <c r="F247" s="16" t="n">
        <v>0.016529</v>
      </c>
    </row>
    <row r="248">
      <c r="A248" t="inlineStr">
        <is>
          <t>CHICLAYO</t>
        </is>
      </c>
      <c r="B248" t="inlineStr">
        <is>
          <t>140101</t>
        </is>
      </c>
      <c r="C248" t="inlineStr">
        <is>
          <t>Food Retail</t>
        </is>
      </c>
      <c r="D248" t="inlineStr">
        <is>
          <t>holding</t>
        </is>
      </c>
      <c r="E248" s="11" t="n">
        <v>0.0083</v>
      </c>
      <c r="F248" s="16" t="n">
        <v>0.008264000000000001</v>
      </c>
    </row>
    <row r="249">
      <c r="A249" t="inlineStr">
        <is>
          <t>CHICLAYO</t>
        </is>
      </c>
      <c r="B249" t="inlineStr">
        <is>
          <t>140101</t>
        </is>
      </c>
      <c r="C249" t="inlineStr">
        <is>
          <t>Shopping Malls</t>
        </is>
      </c>
      <c r="D249" t="inlineStr">
        <is>
          <t>holding</t>
        </is>
      </c>
      <c r="E249" s="11" t="n">
        <v>0.0083</v>
      </c>
      <c r="F249" s="16" t="n">
        <v>0.008264000000000001</v>
      </c>
    </row>
    <row r="250">
      <c r="A250" t="inlineStr">
        <is>
          <t>HUANCAYO</t>
        </is>
      </c>
      <c r="B250" t="inlineStr">
        <is>
          <t>120101</t>
        </is>
      </c>
      <c r="C250" t="inlineStr">
        <is>
          <t>Pharma</t>
        </is>
      </c>
      <c r="D250" t="inlineStr">
        <is>
          <t>holding</t>
        </is>
      </c>
      <c r="E250" s="11" t="n">
        <v>0.0083</v>
      </c>
      <c r="F250" s="16" t="n">
        <v>0.008264000000000001</v>
      </c>
    </row>
    <row r="251">
      <c r="A251" t="inlineStr">
        <is>
          <t>HUANCAYO</t>
        </is>
      </c>
      <c r="B251" t="inlineStr">
        <is>
          <t>120101</t>
        </is>
      </c>
      <c r="C251" t="inlineStr">
        <is>
          <t>Shopping Malls</t>
        </is>
      </c>
      <c r="D251" t="inlineStr">
        <is>
          <t>holding</t>
        </is>
      </c>
      <c r="E251" s="11" t="n">
        <v>0.0083</v>
      </c>
      <c r="F251" s="16" t="n">
        <v>0.008264000000000001</v>
      </c>
    </row>
    <row r="252">
      <c r="A252" t="inlineStr">
        <is>
          <t>ICA</t>
        </is>
      </c>
      <c r="B252" t="inlineStr">
        <is>
          <t>110101</t>
        </is>
      </c>
      <c r="C252" t="inlineStr">
        <is>
          <t>Food Retail</t>
        </is>
      </c>
      <c r="D252" t="inlineStr">
        <is>
          <t>holding</t>
        </is>
      </c>
      <c r="E252" s="11" t="n">
        <v>0.0083</v>
      </c>
      <c r="F252" s="16" t="n">
        <v>0.008264000000000001</v>
      </c>
    </row>
    <row r="253">
      <c r="A253" t="inlineStr">
        <is>
          <t>ICA</t>
        </is>
      </c>
      <c r="B253" t="inlineStr">
        <is>
          <t>110101</t>
        </is>
      </c>
      <c r="C253" t="inlineStr">
        <is>
          <t>Pharma</t>
        </is>
      </c>
      <c r="D253" t="inlineStr">
        <is>
          <t>holding</t>
        </is>
      </c>
      <c r="E253" s="11" t="n">
        <v>0.0083</v>
      </c>
      <c r="F253" s="16" t="n">
        <v>0.008264000000000001</v>
      </c>
    </row>
    <row r="254">
      <c r="A254" t="inlineStr">
        <is>
          <t>COMAS</t>
        </is>
      </c>
      <c r="B254" t="inlineStr">
        <is>
          <t>150110</t>
        </is>
      </c>
      <c r="C254" t="inlineStr">
        <is>
          <t>Food Retail</t>
        </is>
      </c>
      <c r="D254" t="inlineStr">
        <is>
          <t>holding</t>
        </is>
      </c>
      <c r="E254" s="11" t="n">
        <v>0.0083</v>
      </c>
      <c r="F254" s="16" t="n">
        <v>0.008264000000000001</v>
      </c>
    </row>
    <row r="255">
      <c r="A255" t="inlineStr">
        <is>
          <t>COMAS</t>
        </is>
      </c>
      <c r="B255" t="inlineStr">
        <is>
          <t>150110</t>
        </is>
      </c>
      <c r="C255" t="inlineStr">
        <is>
          <t>Shopping Malls</t>
        </is>
      </c>
      <c r="D255" t="inlineStr">
        <is>
          <t>holding</t>
        </is>
      </c>
      <c r="E255" s="11" t="n">
        <v>0.0083</v>
      </c>
      <c r="F255" s="16" t="n">
        <v>0.008264000000000001</v>
      </c>
    </row>
    <row r="256">
      <c r="A256" t="inlineStr">
        <is>
          <t>INDEPENDENCIA</t>
        </is>
      </c>
      <c r="B256" t="inlineStr">
        <is>
          <t>150112</t>
        </is>
      </c>
      <c r="C256" t="inlineStr">
        <is>
          <t>Food Retail</t>
        </is>
      </c>
      <c r="D256" t="inlineStr">
        <is>
          <t>holding</t>
        </is>
      </c>
      <c r="E256" s="11" t="n">
        <v>0.0083</v>
      </c>
      <c r="F256" s="16" t="n">
        <v>0.008264000000000001</v>
      </c>
    </row>
    <row r="257">
      <c r="A257" t="inlineStr">
        <is>
          <t>SAN LUIS</t>
        </is>
      </c>
      <c r="B257" t="inlineStr">
        <is>
          <t>150134</t>
        </is>
      </c>
      <c r="C257" t="inlineStr">
        <is>
          <t>Pharma</t>
        </is>
      </c>
      <c r="D257" t="inlineStr">
        <is>
          <t>holding</t>
        </is>
      </c>
      <c r="E257" s="11" t="n">
        <v>0.0083</v>
      </c>
      <c r="F257" s="16" t="n">
        <v>0.008264000000000001</v>
      </c>
    </row>
    <row r="258">
      <c r="A258" t="inlineStr">
        <is>
          <t>PIURA</t>
        </is>
      </c>
      <c r="B258" t="inlineStr">
        <is>
          <t>200101</t>
        </is>
      </c>
      <c r="C258" t="inlineStr">
        <is>
          <t>Shopping Malls</t>
        </is>
      </c>
      <c r="D258" t="inlineStr">
        <is>
          <t>holding</t>
        </is>
      </c>
      <c r="E258" s="11" t="n">
        <v>0.0083</v>
      </c>
      <c r="F258" s="16" t="n">
        <v>0.008264000000000001</v>
      </c>
    </row>
    <row r="259">
      <c r="A259" t="inlineStr">
        <is>
          <t>CAYMA</t>
        </is>
      </c>
      <c r="B259" t="inlineStr">
        <is>
          <t>040103</t>
        </is>
      </c>
      <c r="C259" t="inlineStr">
        <is>
          <t>Shopping Malls</t>
        </is>
      </c>
      <c r="D259" t="inlineStr">
        <is>
          <t>holding</t>
        </is>
      </c>
      <c r="E259" s="11" t="n">
        <v>0.0083</v>
      </c>
      <c r="F259" s="16" t="n">
        <v>0.008264000000000001</v>
      </c>
    </row>
    <row r="260">
      <c r="A260" t="inlineStr">
        <is>
          <t>HUARAL</t>
        </is>
      </c>
      <c r="B260" t="inlineStr">
        <is>
          <t>150601</t>
        </is>
      </c>
      <c r="C260" t="inlineStr">
        <is>
          <t>Pharma</t>
        </is>
      </c>
      <c r="D260" t="inlineStr">
        <is>
          <t>holding</t>
        </is>
      </c>
      <c r="E260" s="11" t="n">
        <v>0.0083</v>
      </c>
      <c r="F260" s="16" t="n">
        <v>0.008264000000000001</v>
      </c>
    </row>
    <row r="261">
      <c r="A261" t="inlineStr">
        <is>
          <t>SANTA ANITA</t>
        </is>
      </c>
      <c r="B261" t="inlineStr">
        <is>
          <t>150137</t>
        </is>
      </c>
      <c r="C261" t="inlineStr">
        <is>
          <t>Food Retail</t>
        </is>
      </c>
      <c r="D261" t="inlineStr">
        <is>
          <t>holding</t>
        </is>
      </c>
      <c r="E261" s="11" t="n">
        <v>0.0083</v>
      </c>
      <c r="F261" s="16" t="n">
        <v>0.008264000000000001</v>
      </c>
    </row>
    <row r="262">
      <c r="A262" t="inlineStr">
        <is>
          <t>BELLAVISTA</t>
        </is>
      </c>
      <c r="B262" t="inlineStr">
        <is>
          <t>070102</t>
        </is>
      </c>
      <c r="C262" t="inlineStr">
        <is>
          <t>Pharma</t>
        </is>
      </c>
      <c r="D262" t="inlineStr">
        <is>
          <t>holding</t>
        </is>
      </c>
      <c r="E262" s="11" t="n">
        <v>0.0083</v>
      </c>
      <c r="F262" s="16" t="n">
        <v>0.008264000000000001</v>
      </c>
    </row>
    <row r="263">
      <c r="A263" t="inlineStr">
        <is>
          <t>HUANUCO</t>
        </is>
      </c>
      <c r="B263" t="inlineStr">
        <is>
          <t>100101</t>
        </is>
      </c>
      <c r="C263" t="inlineStr">
        <is>
          <t>Shopping Malls</t>
        </is>
      </c>
      <c r="D263" t="inlineStr">
        <is>
          <t>holding</t>
        </is>
      </c>
      <c r="E263" s="11" t="n">
        <v>0.0083</v>
      </c>
      <c r="F263" s="16" t="n">
        <v>0.008264000000000001</v>
      </c>
    </row>
    <row r="264">
      <c r="A264" t="inlineStr">
        <is>
          <t>SAN JUAN DE MIRAFLORES</t>
        </is>
      </c>
      <c r="B264" t="inlineStr">
        <is>
          <t>150133</t>
        </is>
      </c>
      <c r="C264" t="inlineStr">
        <is>
          <t>Food Retail</t>
        </is>
      </c>
      <c r="D264" t="inlineStr">
        <is>
          <t>holding</t>
        </is>
      </c>
      <c r="E264" s="11" t="n">
        <v>0.0083</v>
      </c>
      <c r="F264" s="16" t="n">
        <v>0.008264000000000001</v>
      </c>
    </row>
    <row r="265">
      <c r="A265" t="inlineStr">
        <is>
          <t>CUSCO</t>
        </is>
      </c>
      <c r="B265" t="inlineStr">
        <is>
          <t>080101</t>
        </is>
      </c>
      <c r="C265" t="inlineStr">
        <is>
          <t>Food Retail</t>
        </is>
      </c>
      <c r="D265" t="inlineStr">
        <is>
          <t>holding</t>
        </is>
      </c>
      <c r="E265" s="11" t="n">
        <v>0.0083</v>
      </c>
      <c r="F265" s="16" t="n">
        <v>0.008264000000000001</v>
      </c>
    </row>
    <row r="266">
      <c r="A266" t="inlineStr">
        <is>
          <t>TARMA</t>
        </is>
      </c>
      <c r="B266" t="inlineStr">
        <is>
          <t>120701</t>
        </is>
      </c>
      <c r="C266" t="inlineStr">
        <is>
          <t>Pharma</t>
        </is>
      </c>
      <c r="D266" t="inlineStr">
        <is>
          <t>holding</t>
        </is>
      </c>
      <c r="E266" s="11" t="n">
        <v>0.0083</v>
      </c>
      <c r="F266" s="16" t="n">
        <v>0.008264000000000001</v>
      </c>
    </row>
    <row r="267">
      <c r="A267" t="inlineStr">
        <is>
          <t>LURIN</t>
        </is>
      </c>
      <c r="B267" t="inlineStr">
        <is>
          <t>150119</t>
        </is>
      </c>
      <c r="C267" t="inlineStr">
        <is>
          <t>Pharma</t>
        </is>
      </c>
      <c r="D267" t="inlineStr">
        <is>
          <t>holding</t>
        </is>
      </c>
      <c r="E267" s="11" t="n">
        <v>0.0083</v>
      </c>
      <c r="F267" s="16" t="n">
        <v>0.008264000000000001</v>
      </c>
    </row>
    <row r="268">
      <c r="A268" t="inlineStr">
        <is>
          <t>LURIGANCHO</t>
        </is>
      </c>
      <c r="B268" t="inlineStr">
        <is>
          <t>150118</t>
        </is>
      </c>
      <c r="C268" t="inlineStr">
        <is>
          <t>Pharma</t>
        </is>
      </c>
      <c r="D268" t="inlineStr">
        <is>
          <t>holding</t>
        </is>
      </c>
      <c r="E268" s="11" t="n">
        <v>0.0083</v>
      </c>
      <c r="F268" s="16" t="n">
        <v>0.008264000000000001</v>
      </c>
    </row>
    <row r="269">
      <c r="A269" t="inlineStr">
        <is>
          <t>LOS OLIVOS</t>
        </is>
      </c>
      <c r="B269" t="inlineStr">
        <is>
          <t>150117</t>
        </is>
      </c>
      <c r="C269" t="inlineStr">
        <is>
          <t>Pharma</t>
        </is>
      </c>
      <c r="D269" t="inlineStr">
        <is>
          <t>holding</t>
        </is>
      </c>
      <c r="E269" s="11" t="n">
        <v>0.0083</v>
      </c>
      <c r="F269" s="16" t="n">
        <v>0.008264000000000001</v>
      </c>
    </row>
    <row r="270">
      <c r="A270" t="inlineStr">
        <is>
          <t>ATE</t>
        </is>
      </c>
      <c r="B270" t="inlineStr">
        <is>
          <t>150103</t>
        </is>
      </c>
      <c r="C270" t="inlineStr">
        <is>
          <t>Pharma</t>
        </is>
      </c>
      <c r="D270" t="inlineStr">
        <is>
          <t>holding</t>
        </is>
      </c>
      <c r="E270" s="11" t="n">
        <v>0.0083</v>
      </c>
      <c r="F270" s="16" t="n">
        <v>0.008264000000000001</v>
      </c>
    </row>
    <row r="271">
      <c r="A271" t="inlineStr">
        <is>
          <t>BARRANCO</t>
        </is>
      </c>
      <c r="B271" t="inlineStr">
        <is>
          <t>150104</t>
        </is>
      </c>
      <c r="C271" t="inlineStr">
        <is>
          <t>Pharma</t>
        </is>
      </c>
      <c r="D271" t="inlineStr">
        <is>
          <t>holding</t>
        </is>
      </c>
      <c r="E271" s="11" t="n">
        <v>0.0083</v>
      </c>
      <c r="F271" s="16" t="n">
        <v>0.008264000000000001</v>
      </c>
    </row>
    <row r="272">
      <c r="A272" t="inlineStr">
        <is>
          <t>MOYOBAMBA</t>
        </is>
      </c>
      <c r="B272" t="inlineStr">
        <is>
          <t>220101</t>
        </is>
      </c>
      <c r="C272" t="inlineStr">
        <is>
          <t>Food Retail</t>
        </is>
      </c>
      <c r="D272" t="inlineStr">
        <is>
          <t>holding</t>
        </is>
      </c>
      <c r="E272" s="11" t="n">
        <v>0.0083</v>
      </c>
      <c r="F272" s="16" t="n">
        <v>0.008264000000000001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72"/>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Intercorp Perú — Créditos colocados por distrito y exposición asignada</t>
        </is>
      </c>
    </row>
    <row r="2">
      <c r="A2" s="2" t="inlineStr">
        <is>
          <t>Créditos colocados total: 49,530,942.83 Miles S/   ·   Exposición en cartera: S/ 92,457,702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LIMA</t>
        </is>
      </c>
      <c r="D5" t="inlineStr">
        <is>
          <t>150101</t>
        </is>
      </c>
      <c r="E5" t="inlineStr">
        <is>
          <t>Inkafarma 2 de Mayo, Inkafarma Elio, Inkafarma Riva Agüero, Inkafarma Uruguay, MiFarma Aviación, MiFarma Huallaga, MiFarma Miguel Iglesias, MiFarma Tacna, MiFarma Unión</t>
        </is>
      </c>
      <c r="F5" s="11" t="n">
        <v>22385471.5266</v>
      </c>
      <c r="G5" s="6">
        <f>IF($F$125=0,0,F5/$F$125)</f>
        <v/>
      </c>
      <c r="H5" s="5" t="n">
        <v>25071712.85</v>
      </c>
      <c r="I5" t="n">
        <v>2</v>
      </c>
      <c r="J5" t="n">
        <v>4</v>
      </c>
      <c r="L5" s="5" t="n">
        <v>75215138.55</v>
      </c>
    </row>
    <row r="6">
      <c r="A6" t="inlineStr">
        <is>
          <t>LIMA</t>
        </is>
      </c>
      <c r="B6" t="inlineStr">
        <is>
          <t>LIMA</t>
        </is>
      </c>
      <c r="C6" t="inlineStr">
        <is>
          <t>SAN ISIDRO</t>
        </is>
      </c>
      <c r="D6" t="inlineStr">
        <is>
          <t>150131</t>
        </is>
      </c>
      <c r="E6" t="inlineStr">
        <is>
          <t>Inkafarma Ignacio Merino, Inkafarma Llano Zapata, MiFarma Aramburú, Vivanda Dos de Mayo, Vivanda Libertadores, Vivanda Pezet</t>
        </is>
      </c>
      <c r="F6" s="11" t="n">
        <v>7856949.2896</v>
      </c>
      <c r="G6" s="6">
        <f>IF($F$125=0,0,F6/$F$125)</f>
        <v/>
      </c>
      <c r="H6" s="5" t="n">
        <v>8799777.85</v>
      </c>
      <c r="I6" t="n">
        <v>1</v>
      </c>
      <c r="J6" t="n">
        <v>4</v>
      </c>
      <c r="L6" s="5" t="n">
        <v>21999444.62</v>
      </c>
    </row>
    <row r="7">
      <c r="A7" t="inlineStr">
        <is>
          <t>LIMA</t>
        </is>
      </c>
      <c r="B7" t="inlineStr">
        <is>
          <t>LIMA</t>
        </is>
      </c>
      <c r="C7" t="inlineStr">
        <is>
          <t>LA VICTORIA</t>
        </is>
      </c>
      <c r="D7" t="inlineStr">
        <is>
          <t>150115</t>
        </is>
      </c>
      <c r="E7" t="inlineStr">
        <is>
          <t>Inkafarma Bausate y Meza, Inkafarma Canadá, MiFarma Alzamora 147, MiFarma Canadá 903, MiFarma México, MiFarma Víctor Alzamora</t>
        </is>
      </c>
      <c r="F7" s="11" t="n">
        <v>6681545.7373</v>
      </c>
      <c r="G7" s="6">
        <f>IF($F$125=0,0,F7/$F$125)</f>
        <v/>
      </c>
      <c r="H7" s="5" t="n">
        <v>7483326.67</v>
      </c>
      <c r="I7" t="n">
        <v>1</v>
      </c>
      <c r="J7" t="n">
        <v>3</v>
      </c>
      <c r="L7" s="5" t="n">
        <v>14966653.34</v>
      </c>
    </row>
    <row r="8">
      <c r="A8" t="inlineStr">
        <is>
          <t>LA LIBERTAD</t>
        </is>
      </c>
      <c r="B8" t="inlineStr">
        <is>
          <t>TRUJILLO</t>
        </is>
      </c>
      <c r="C8" t="inlineStr">
        <is>
          <t>TRUJILLO</t>
        </is>
      </c>
      <c r="D8" t="inlineStr">
        <is>
          <t>130101</t>
        </is>
      </c>
      <c r="E8" t="inlineStr">
        <is>
          <t>Makro Trujillo, Mall Plaza Trujillo</t>
        </is>
      </c>
      <c r="F8" s="11" t="n">
        <v>1647816.371</v>
      </c>
      <c r="G8" s="6">
        <f>IF($F$125=0,0,F8/$F$125)</f>
        <v/>
      </c>
      <c r="H8" s="5" t="n">
        <v>1845553.21</v>
      </c>
      <c r="I8" t="n">
        <v>1</v>
      </c>
      <c r="J8" t="n">
        <v>5</v>
      </c>
      <c r="L8" s="5" t="n">
        <v>5536659.64</v>
      </c>
    </row>
    <row r="9">
      <c r="A9" t="inlineStr">
        <is>
          <t>LIMA</t>
        </is>
      </c>
      <c r="B9" t="inlineStr">
        <is>
          <t>LIMA</t>
        </is>
      </c>
      <c r="C9" t="inlineStr">
        <is>
          <t>SANTIAGO DE SURCO</t>
        </is>
      </c>
      <c r="D9" t="inlineStr">
        <is>
          <t>150140</t>
        </is>
      </c>
      <c r="E9" t="inlineStr">
        <is>
          <t>—</t>
        </is>
      </c>
      <c r="F9" s="11" t="n">
        <v>705927.7001</v>
      </c>
      <c r="G9" s="6">
        <f>IF($F$125=0,0,F9/$F$125)</f>
        <v/>
      </c>
      <c r="H9" s="5" t="n">
        <v>790638.54</v>
      </c>
      <c r="I9" t="n">
        <v>1</v>
      </c>
      <c r="J9" t="n">
        <v>3</v>
      </c>
      <c r="L9" s="5" t="n">
        <v>1581277.09</v>
      </c>
    </row>
    <row r="10">
      <c r="A10" t="inlineStr">
        <is>
          <t>AREQUIPA</t>
        </is>
      </c>
      <c r="B10" t="inlineStr">
        <is>
          <t>AREQUIPA</t>
        </is>
      </c>
      <c r="C10" t="inlineStr">
        <is>
          <t>AREQUIPA</t>
        </is>
      </c>
      <c r="D10" t="inlineStr">
        <is>
          <t>040101</t>
        </is>
      </c>
      <c r="E10" t="inlineStr">
        <is>
          <t>—</t>
        </is>
      </c>
      <c r="F10" s="11" t="n">
        <v>637519.2946</v>
      </c>
      <c r="G10" s="6">
        <f>IF($F$125=0,0,F10/$F$125)</f>
        <v/>
      </c>
      <c r="H10" s="5" t="n">
        <v>714021.1800000001</v>
      </c>
      <c r="I10" t="n">
        <v>2</v>
      </c>
      <c r="J10" t="n">
        <v>5</v>
      </c>
      <c r="L10" s="5" t="n">
        <v>2499074.11</v>
      </c>
    </row>
    <row r="11">
      <c r="A11" t="inlineStr">
        <is>
          <t>LAMBAYEQUE</t>
        </is>
      </c>
      <c r="B11" t="inlineStr">
        <is>
          <t>CHICLAYO</t>
        </is>
      </c>
      <c r="C11" t="inlineStr">
        <is>
          <t>CHICLAYO</t>
        </is>
      </c>
      <c r="D11" t="inlineStr">
        <is>
          <t>140101</t>
        </is>
      </c>
      <c r="E11" t="inlineStr">
        <is>
          <t>Makro Chiclayo, Mall Plaza Chiclayo</t>
        </is>
      </c>
      <c r="F11" s="11" t="n">
        <v>577316.63</v>
      </c>
      <c r="G11" s="6">
        <f>IF($F$125=0,0,F11/$F$125)</f>
        <v/>
      </c>
      <c r="H11" s="5" t="n">
        <v>646594.23</v>
      </c>
      <c r="I11" t="n">
        <v>1</v>
      </c>
      <c r="J11" t="n">
        <v>4</v>
      </c>
      <c r="L11" s="5" t="n">
        <v>1616485.58</v>
      </c>
    </row>
    <row r="12">
      <c r="A12" t="inlineStr">
        <is>
          <t>PIURA</t>
        </is>
      </c>
      <c r="B12" t="inlineStr">
        <is>
          <t>PIURA</t>
        </is>
      </c>
      <c r="C12" t="inlineStr">
        <is>
          <t>PIURA</t>
        </is>
      </c>
      <c r="D12" t="inlineStr">
        <is>
          <t>200101</t>
        </is>
      </c>
      <c r="E12" t="inlineStr">
        <is>
          <t>Mall Plaza Piura</t>
        </is>
      </c>
      <c r="F12" s="11" t="n">
        <v>549051.7502</v>
      </c>
      <c r="G12" s="6">
        <f>IF($F$125=0,0,F12/$F$125)</f>
        <v/>
      </c>
      <c r="H12" s="5" t="n">
        <v>614937.59</v>
      </c>
      <c r="I12" t="n">
        <v>1</v>
      </c>
      <c r="J12" t="n">
        <v>5</v>
      </c>
      <c r="L12" s="5" t="n">
        <v>1844812.76</v>
      </c>
    </row>
    <row r="13">
      <c r="A13" t="inlineStr">
        <is>
          <t>LIMA</t>
        </is>
      </c>
      <c r="B13" t="inlineStr">
        <is>
          <t>LIMA</t>
        </is>
      </c>
      <c r="C13" t="inlineStr">
        <is>
          <t>MIRAFLORES</t>
        </is>
      </c>
      <c r="D13" t="inlineStr">
        <is>
          <t>150122</t>
        </is>
      </c>
      <c r="E13" t="inlineStr">
        <is>
          <t>Inkafarma Arequipa, Inkafarma Benavides 1901, Inkafarma Benavides 425, Inkafarma Pardo, Vivanda Benavides, Vivanda Miraflores, Vivanda Pardo</t>
        </is>
      </c>
      <c r="F13" s="11" t="n">
        <v>543905.1094</v>
      </c>
      <c r="G13" s="6">
        <f>IF($F$125=0,0,F13/$F$125)</f>
        <v/>
      </c>
      <c r="H13" s="5" t="n">
        <v>609173.35</v>
      </c>
      <c r="I13" t="n">
        <v>2</v>
      </c>
      <c r="J13" t="n">
        <v>4</v>
      </c>
      <c r="L13" s="5" t="n">
        <v>1827520.06</v>
      </c>
    </row>
    <row r="14">
      <c r="A14" t="inlineStr">
        <is>
          <t>ICA</t>
        </is>
      </c>
      <c r="B14" t="inlineStr">
        <is>
          <t>ICA</t>
        </is>
      </c>
      <c r="C14" t="inlineStr">
        <is>
          <t>ICA</t>
        </is>
      </c>
      <c r="D14" t="inlineStr">
        <is>
          <t>110101</t>
        </is>
      </c>
      <c r="E14" t="inlineStr">
        <is>
          <t>Inkafarma Sol de Ica, Makro Ica</t>
        </is>
      </c>
      <c r="F14" s="11" t="n">
        <v>477275.9654</v>
      </c>
      <c r="G14" s="6">
        <f>IF($F$125=0,0,F14/$F$125)</f>
        <v/>
      </c>
      <c r="H14" s="5" t="n">
        <v>534548.76</v>
      </c>
      <c r="I14" t="n">
        <v>1</v>
      </c>
      <c r="J14" t="n">
        <v>5</v>
      </c>
      <c r="L14" s="5" t="n">
        <v>1603646.27</v>
      </c>
    </row>
    <row r="15">
      <c r="A15" t="inlineStr">
        <is>
          <t>JUNIN</t>
        </is>
      </c>
      <c r="B15" t="inlineStr">
        <is>
          <t>HUANCAYO</t>
        </is>
      </c>
      <c r="C15" t="inlineStr">
        <is>
          <t>HUANCAYO</t>
        </is>
      </c>
      <c r="D15" t="inlineStr">
        <is>
          <t>120101</t>
        </is>
      </c>
      <c r="E15" t="inlineStr">
        <is>
          <t>Inkafarma Cajamarca, Mall Plaza Huancayo</t>
        </is>
      </c>
      <c r="F15" s="11" t="n">
        <v>344334.1533</v>
      </c>
      <c r="G15" s="6">
        <f>IF($F$125=0,0,F15/$F$125)</f>
        <v/>
      </c>
      <c r="H15" s="5" t="n">
        <v>385654.02</v>
      </c>
      <c r="I15" t="n">
        <v>4</v>
      </c>
      <c r="J15" t="n">
        <v>2</v>
      </c>
      <c r="K15" t="n">
        <v>3</v>
      </c>
      <c r="L15" s="5" t="n">
        <v>1156962.05</v>
      </c>
    </row>
    <row r="16">
      <c r="A16" t="inlineStr">
        <is>
          <t>LIMA</t>
        </is>
      </c>
      <c r="B16" t="inlineStr">
        <is>
          <t>LIMA</t>
        </is>
      </c>
      <c r="C16" t="inlineStr">
        <is>
          <t>SAN BORJA</t>
        </is>
      </c>
      <c r="D16" t="inlineStr">
        <is>
          <t>150130</t>
        </is>
      </c>
      <c r="E16" t="inlineStr">
        <is>
          <t>Inkafarma Angamos, Inkafarma Aviación, Inkafarma San Borja Sur, Inkafarma San Luis</t>
        </is>
      </c>
      <c r="F16" s="11" t="n">
        <v>341077.4555</v>
      </c>
      <c r="G16" s="6">
        <f>IF($F$125=0,0,F16/$F$125)</f>
        <v/>
      </c>
      <c r="H16" s="5" t="n">
        <v>382006.52</v>
      </c>
      <c r="I16" t="n">
        <v>1</v>
      </c>
      <c r="J16" t="n">
        <v>2</v>
      </c>
      <c r="L16" s="5" t="n">
        <v>573009.78</v>
      </c>
    </row>
    <row r="17">
      <c r="A17" t="inlineStr">
        <is>
          <t>CUSCO</t>
        </is>
      </c>
      <c r="B17" t="inlineStr">
        <is>
          <t>CUSCO</t>
        </is>
      </c>
      <c r="C17" t="inlineStr">
        <is>
          <t>CUSCO</t>
        </is>
      </c>
      <c r="D17" t="inlineStr">
        <is>
          <t>080101</t>
        </is>
      </c>
      <c r="E17" t="inlineStr">
        <is>
          <t>Makro Cusco</t>
        </is>
      </c>
      <c r="F17" s="11" t="n">
        <v>327466.2482</v>
      </c>
      <c r="G17" s="6">
        <f>IF($F$125=0,0,F17/$F$125)</f>
        <v/>
      </c>
      <c r="H17" s="5" t="n">
        <v>366761.97</v>
      </c>
      <c r="I17" t="n">
        <v>4</v>
      </c>
      <c r="J17" t="n">
        <v>2</v>
      </c>
      <c r="K17" t="n">
        <v>3</v>
      </c>
      <c r="L17" s="5" t="n">
        <v>1100285.92</v>
      </c>
    </row>
    <row r="18">
      <c r="A18" t="inlineStr">
        <is>
          <t>CAJAMARCA</t>
        </is>
      </c>
      <c r="B18" t="inlineStr">
        <is>
          <t>JAEN</t>
        </is>
      </c>
      <c r="C18" t="inlineStr">
        <is>
          <t>JAEN</t>
        </is>
      </c>
      <c r="D18" t="inlineStr">
        <is>
          <t>060801</t>
        </is>
      </c>
      <c r="E18" t="inlineStr">
        <is>
          <t>—</t>
        </is>
      </c>
      <c r="F18" s="11" t="n">
        <v>287256.4805</v>
      </c>
      <c r="G18" s="6">
        <f>IF($F$125=0,0,F18/$F$125)</f>
        <v/>
      </c>
      <c r="H18" s="5" t="n">
        <v>321727.06</v>
      </c>
      <c r="I18" t="n">
        <v>4</v>
      </c>
      <c r="J18" t="n">
        <v>3</v>
      </c>
      <c r="K18" t="n">
        <v>2</v>
      </c>
      <c r="L18" s="5" t="n">
        <v>965181.1899999999</v>
      </c>
    </row>
    <row r="19">
      <c r="A19" t="inlineStr">
        <is>
          <t>CAJAMARCA</t>
        </is>
      </c>
      <c r="B19" t="inlineStr">
        <is>
          <t>CAJAMARCA</t>
        </is>
      </c>
      <c r="C19" t="inlineStr">
        <is>
          <t>CAJAMARCA</t>
        </is>
      </c>
      <c r="D19" t="inlineStr">
        <is>
          <t>060101</t>
        </is>
      </c>
      <c r="E19" t="inlineStr">
        <is>
          <t>Makro Cajamarca, Mall Plaza Cajamarca</t>
        </is>
      </c>
      <c r="F19" s="11" t="n">
        <v>268308.1283</v>
      </c>
      <c r="G19" s="6">
        <f>IF($F$125=0,0,F19/$F$125)</f>
        <v/>
      </c>
      <c r="H19" s="5" t="n">
        <v>300504.92</v>
      </c>
      <c r="I19" t="n">
        <v>4</v>
      </c>
      <c r="J19" t="n">
        <v>4</v>
      </c>
      <c r="K19" t="n">
        <v>3</v>
      </c>
      <c r="L19" s="5" t="n">
        <v>1101851.38</v>
      </c>
    </row>
    <row r="20">
      <c r="A20" t="inlineStr">
        <is>
          <t>LORETO</t>
        </is>
      </c>
      <c r="B20" t="inlineStr">
        <is>
          <t>MAYNAS</t>
        </is>
      </c>
      <c r="C20" t="inlineStr">
        <is>
          <t>IQUITOS</t>
        </is>
      </c>
      <c r="D20" t="inlineStr">
        <is>
          <t>160101</t>
        </is>
      </c>
      <c r="E20" t="inlineStr">
        <is>
          <t>—</t>
        </is>
      </c>
      <c r="F20" s="11" t="n">
        <v>265417.6659</v>
      </c>
      <c r="G20" s="6">
        <f>IF($F$125=0,0,F20/$F$125)</f>
        <v/>
      </c>
      <c r="H20" s="5" t="n">
        <v>297267.6</v>
      </c>
      <c r="I20" t="n">
        <v>3</v>
      </c>
      <c r="J20" t="n">
        <v>4</v>
      </c>
      <c r="K20" t="n">
        <v>2</v>
      </c>
      <c r="L20" s="5" t="n">
        <v>891802.8100000001</v>
      </c>
    </row>
    <row r="21">
      <c r="A21" t="inlineStr">
        <is>
          <t>ANCASH</t>
        </is>
      </c>
      <c r="B21" t="inlineStr">
        <is>
          <t>SANTA</t>
        </is>
      </c>
      <c r="C21" t="inlineStr">
        <is>
          <t>CHIMBOTE</t>
        </is>
      </c>
      <c r="D21" t="inlineStr">
        <is>
          <t>021801</t>
        </is>
      </c>
      <c r="E21" t="inlineStr">
        <is>
          <t>—</t>
        </is>
      </c>
      <c r="F21" s="11" t="n">
        <v>255104.7509</v>
      </c>
      <c r="G21" s="6">
        <f>IF($F$125=0,0,F21/$F$125)</f>
        <v/>
      </c>
      <c r="H21" s="5" t="n">
        <v>285717.15</v>
      </c>
      <c r="I21" t="n">
        <v>5</v>
      </c>
      <c r="J21" t="n">
        <v>4</v>
      </c>
      <c r="K21" t="n">
        <v>3</v>
      </c>
      <c r="L21" s="5" t="n">
        <v>1142868.59</v>
      </c>
    </row>
    <row r="22">
      <c r="A22" t="inlineStr">
        <is>
          <t>SAN MARTIN</t>
        </is>
      </c>
      <c r="B22" t="inlineStr">
        <is>
          <t>SAN MARTIN</t>
        </is>
      </c>
      <c r="C22" t="inlineStr">
        <is>
          <t>TARAPOTO</t>
        </is>
      </c>
      <c r="D22" t="inlineStr">
        <is>
          <t>220901</t>
        </is>
      </c>
      <c r="E22" t="inlineStr">
        <is>
          <t>—</t>
        </is>
      </c>
      <c r="F22" s="11" t="n">
        <v>239590.9401</v>
      </c>
      <c r="G22" s="6">
        <f>IF($F$125=0,0,F22/$F$125)</f>
        <v/>
      </c>
      <c r="H22" s="5" t="n">
        <v>268341.69</v>
      </c>
      <c r="I22" t="n">
        <v>4</v>
      </c>
      <c r="J22" t="n">
        <v>4</v>
      </c>
      <c r="K22" t="n">
        <v>2</v>
      </c>
      <c r="L22" s="5" t="n">
        <v>894472.3</v>
      </c>
    </row>
    <row r="23">
      <c r="A23" t="inlineStr">
        <is>
          <t>ICA</t>
        </is>
      </c>
      <c r="B23" t="inlineStr">
        <is>
          <t>CHINCHA</t>
        </is>
      </c>
      <c r="C23" t="inlineStr">
        <is>
          <t>CHINCHA ALTA</t>
        </is>
      </c>
      <c r="D23" t="inlineStr">
        <is>
          <t>110201</t>
        </is>
      </c>
      <c r="E23" t="inlineStr">
        <is>
          <t>—</t>
        </is>
      </c>
      <c r="F23" s="11" t="n">
        <v>222378.0303</v>
      </c>
      <c r="G23" s="6">
        <f>IF($F$125=0,0,F23/$F$125)</f>
        <v/>
      </c>
      <c r="H23" s="5" t="n">
        <v>249063.24</v>
      </c>
      <c r="I23" t="n">
        <v>4</v>
      </c>
      <c r="J23" t="n">
        <v>4</v>
      </c>
      <c r="L23" s="5" t="n">
        <v>996252.97</v>
      </c>
    </row>
    <row r="24">
      <c r="A24" t="inlineStr">
        <is>
          <t>AYACUCHO</t>
        </is>
      </c>
      <c r="B24" t="inlineStr">
        <is>
          <t>HUAMANGA</t>
        </is>
      </c>
      <c r="C24" t="inlineStr">
        <is>
          <t>AYACUCHO</t>
        </is>
      </c>
      <c r="D24" t="inlineStr">
        <is>
          <t>050101</t>
        </is>
      </c>
      <c r="E24" t="inlineStr">
        <is>
          <t>—</t>
        </is>
      </c>
      <c r="F24" s="11" t="n">
        <v>219388.8248</v>
      </c>
      <c r="G24" s="6">
        <f>IF($F$125=0,0,F24/$F$125)</f>
        <v/>
      </c>
      <c r="H24" s="5" t="n">
        <v>245715.33</v>
      </c>
      <c r="I24" t="n">
        <v>4</v>
      </c>
      <c r="J24" t="n">
        <v>3</v>
      </c>
      <c r="K24" t="n">
        <v>4</v>
      </c>
      <c r="L24" s="5" t="n">
        <v>900956.23</v>
      </c>
    </row>
    <row r="25">
      <c r="A25" t="inlineStr">
        <is>
          <t>TACNA</t>
        </is>
      </c>
      <c r="B25" t="inlineStr">
        <is>
          <t>TACNA</t>
        </is>
      </c>
      <c r="C25" t="inlineStr">
        <is>
          <t>TACNA</t>
        </is>
      </c>
      <c r="D25" t="inlineStr">
        <is>
          <t>230101</t>
        </is>
      </c>
      <c r="E25" t="inlineStr">
        <is>
          <t>—</t>
        </is>
      </c>
      <c r="F25" s="11" t="n">
        <v>213414.9748</v>
      </c>
      <c r="G25" s="6">
        <f>IF($F$125=0,0,F25/$F$125)</f>
        <v/>
      </c>
      <c r="H25" s="5" t="n">
        <v>239024.63</v>
      </c>
      <c r="I25" t="n">
        <v>3</v>
      </c>
      <c r="J25" t="n">
        <v>3</v>
      </c>
      <c r="L25" s="5" t="n">
        <v>717073.88</v>
      </c>
    </row>
    <row r="26">
      <c r="A26" t="inlineStr">
        <is>
          <t>LIMA</t>
        </is>
      </c>
      <c r="B26" t="inlineStr">
        <is>
          <t>LIMA</t>
        </is>
      </c>
      <c r="C26" t="inlineStr">
        <is>
          <t>SANTA ANITA</t>
        </is>
      </c>
      <c r="D26" t="inlineStr">
        <is>
          <t>150137</t>
        </is>
      </c>
      <c r="E26" t="inlineStr">
        <is>
          <t>Makro Santa Anita</t>
        </is>
      </c>
      <c r="F26" s="11" t="n">
        <v>211991.1513</v>
      </c>
      <c r="G26" s="6">
        <f>IF($F$125=0,0,F26/$F$125)</f>
        <v/>
      </c>
      <c r="H26" s="5" t="n">
        <v>237429.94</v>
      </c>
      <c r="I26" t="n">
        <v>2</v>
      </c>
      <c r="J26" t="n">
        <v>4</v>
      </c>
      <c r="L26" s="5" t="n">
        <v>712289.83</v>
      </c>
    </row>
    <row r="27">
      <c r="A27" t="inlineStr">
        <is>
          <t>ANCASH</t>
        </is>
      </c>
      <c r="B27" t="inlineStr">
        <is>
          <t>HUARAZ</t>
        </is>
      </c>
      <c r="C27" t="inlineStr">
        <is>
          <t>HUARAZ</t>
        </is>
      </c>
      <c r="D27" t="inlineStr">
        <is>
          <t>020101</t>
        </is>
      </c>
      <c r="E27" t="inlineStr">
        <is>
          <t>—</t>
        </is>
      </c>
      <c r="F27" s="11" t="n">
        <v>208193.107</v>
      </c>
      <c r="G27" s="6">
        <f>IF($F$125=0,0,F27/$F$125)</f>
        <v/>
      </c>
      <c r="H27" s="5" t="n">
        <v>233176.14</v>
      </c>
      <c r="I27" t="n">
        <v>4</v>
      </c>
      <c r="J27" t="n">
        <v>3</v>
      </c>
      <c r="K27" t="n">
        <v>4</v>
      </c>
      <c r="L27" s="5" t="n">
        <v>854979.17</v>
      </c>
    </row>
    <row r="28">
      <c r="A28" t="inlineStr">
        <is>
          <t>PUNO</t>
        </is>
      </c>
      <c r="B28" t="inlineStr">
        <is>
          <t>SAN ROMAN</t>
        </is>
      </c>
      <c r="C28" t="inlineStr">
        <is>
          <t>JULIACA</t>
        </is>
      </c>
      <c r="D28" t="inlineStr">
        <is>
          <t>211101</t>
        </is>
      </c>
      <c r="E28" t="inlineStr">
        <is>
          <t>—</t>
        </is>
      </c>
      <c r="F28" s="11" t="n">
        <v>196283.3693</v>
      </c>
      <c r="G28" s="6">
        <f>IF($F$125=0,0,F28/$F$125)</f>
        <v/>
      </c>
      <c r="H28" s="5" t="n">
        <v>219837.24</v>
      </c>
      <c r="I28" t="n">
        <v>3</v>
      </c>
      <c r="J28" t="n">
        <v>1</v>
      </c>
      <c r="K28" t="n">
        <v>4</v>
      </c>
      <c r="L28" s="5" t="n">
        <v>586232.64</v>
      </c>
    </row>
    <row r="29">
      <c r="A29" t="inlineStr">
        <is>
          <t>HUANUCO</t>
        </is>
      </c>
      <c r="B29" t="inlineStr">
        <is>
          <t>HUANUCO</t>
        </is>
      </c>
      <c r="C29" t="inlineStr">
        <is>
          <t>HUANUCO</t>
        </is>
      </c>
      <c r="D29" t="inlineStr">
        <is>
          <t>100101</t>
        </is>
      </c>
      <c r="E29" t="inlineStr">
        <is>
          <t>Mall Plaza Huánuco</t>
        </is>
      </c>
      <c r="F29" s="11" t="n">
        <v>188283.6005</v>
      </c>
      <c r="G29" s="6">
        <f>IF($F$125=0,0,F29/$F$125)</f>
        <v/>
      </c>
      <c r="H29" s="5" t="n">
        <v>210877.5</v>
      </c>
      <c r="I29" t="n">
        <v>4</v>
      </c>
      <c r="J29" t="n">
        <v>3</v>
      </c>
      <c r="K29" t="n">
        <v>4</v>
      </c>
      <c r="L29" s="5" t="n">
        <v>773217.52</v>
      </c>
    </row>
    <row r="30">
      <c r="A30" t="inlineStr">
        <is>
          <t>LIMA</t>
        </is>
      </c>
      <c r="B30" t="inlineStr">
        <is>
          <t>LIMA</t>
        </is>
      </c>
      <c r="C30" t="inlineStr">
        <is>
          <t>LOS OLIVOS</t>
        </is>
      </c>
      <c r="D30" t="inlineStr">
        <is>
          <t>150117</t>
        </is>
      </c>
      <c r="E30" t="inlineStr">
        <is>
          <t>MiFarma Próceres</t>
        </is>
      </c>
      <c r="F30" s="11" t="n">
        <v>185986.8856</v>
      </c>
      <c r="G30" s="6">
        <f>IF($F$125=0,0,F30/$F$125)</f>
        <v/>
      </c>
      <c r="H30" s="5" t="n">
        <v>208305.19</v>
      </c>
      <c r="I30" t="n">
        <v>1</v>
      </c>
      <c r="J30" t="n">
        <v>4</v>
      </c>
      <c r="L30" s="5" t="n">
        <v>520762.96</v>
      </c>
    </row>
    <row r="31">
      <c r="A31" t="inlineStr">
        <is>
          <t>JUNIN</t>
        </is>
      </c>
      <c r="B31" t="inlineStr">
        <is>
          <t>HUANCAYO</t>
        </is>
      </c>
      <c r="C31" t="inlineStr">
        <is>
          <t>EL TAMBO</t>
        </is>
      </c>
      <c r="D31" t="inlineStr">
        <is>
          <t>120114</t>
        </is>
      </c>
      <c r="E31" t="inlineStr">
        <is>
          <t>—</t>
        </is>
      </c>
      <c r="F31" s="11" t="n">
        <v>175485.9232</v>
      </c>
      <c r="G31" s="6">
        <f>IF($F$125=0,0,F31/$F$125)</f>
        <v/>
      </c>
      <c r="H31" s="5" t="n">
        <v>196544.11</v>
      </c>
      <c r="I31" t="n">
        <v>4</v>
      </c>
      <c r="J31" t="n">
        <v>2</v>
      </c>
      <c r="K31" t="n">
        <v>3</v>
      </c>
      <c r="L31" s="5" t="n">
        <v>589632.34</v>
      </c>
    </row>
    <row r="32">
      <c r="A32" t="inlineStr">
        <is>
          <t>LIMA</t>
        </is>
      </c>
      <c r="B32" t="inlineStr">
        <is>
          <t>LIMA</t>
        </is>
      </c>
      <c r="C32" t="inlineStr">
        <is>
          <t>JESUS MARIA</t>
        </is>
      </c>
      <c r="D32" t="inlineStr">
        <is>
          <t>150113</t>
        </is>
      </c>
      <c r="E32" t="inlineStr">
        <is>
          <t>Inkafarma Domingo Cueto, Inkafarma Salaverry</t>
        </is>
      </c>
      <c r="F32" s="11" t="n">
        <v>171720.8501</v>
      </c>
      <c r="G32" s="6">
        <f>IF($F$125=0,0,F32/$F$125)</f>
        <v/>
      </c>
      <c r="H32" s="5" t="n">
        <v>192327.24</v>
      </c>
      <c r="I32" t="n">
        <v>1</v>
      </c>
      <c r="J32" t="n">
        <v>4</v>
      </c>
      <c r="L32" s="5" t="n">
        <v>480818.09</v>
      </c>
    </row>
    <row r="33">
      <c r="A33" t="inlineStr">
        <is>
          <t>AREQUIPA</t>
        </is>
      </c>
      <c r="B33" t="inlineStr">
        <is>
          <t>AREQUIPA</t>
        </is>
      </c>
      <c r="C33" t="inlineStr">
        <is>
          <t>CAYMA</t>
        </is>
      </c>
      <c r="D33" t="inlineStr">
        <is>
          <t>040103</t>
        </is>
      </c>
      <c r="E33" t="inlineStr">
        <is>
          <t>Mall Plaza Cayma</t>
        </is>
      </c>
      <c r="F33" s="11" t="n">
        <v>162142.3149</v>
      </c>
      <c r="G33" s="6">
        <f>IF($F$125=0,0,F33/$F$125)</f>
        <v/>
      </c>
      <c r="H33" s="5" t="n">
        <v>181599.28</v>
      </c>
      <c r="I33" t="n">
        <v>4</v>
      </c>
      <c r="J33" t="n">
        <v>3</v>
      </c>
      <c r="K33" t="n">
        <v>4</v>
      </c>
      <c r="L33" s="5" t="n">
        <v>665864.03</v>
      </c>
    </row>
    <row r="34">
      <c r="A34" t="inlineStr">
        <is>
          <t>CALLAO</t>
        </is>
      </c>
      <c r="B34" t="inlineStr">
        <is>
          <t>CALLAO</t>
        </is>
      </c>
      <c r="C34" t="inlineStr">
        <is>
          <t>BELLAVISTA</t>
        </is>
      </c>
      <c r="D34" t="inlineStr">
        <is>
          <t>070102</t>
        </is>
      </c>
      <c r="E34" t="inlineStr">
        <is>
          <t>Inkafarma Guardia Chalaca</t>
        </is>
      </c>
      <c r="F34" s="11" t="n">
        <v>159691.5486</v>
      </c>
      <c r="G34" s="6">
        <f>IF($F$125=0,0,F34/$F$125)</f>
        <v/>
      </c>
      <c r="H34" s="5" t="n">
        <v>178854.43</v>
      </c>
      <c r="I34" t="n">
        <v>1</v>
      </c>
      <c r="J34" t="n">
        <v>4</v>
      </c>
      <c r="L34" s="5" t="n">
        <v>447136.06</v>
      </c>
    </row>
    <row r="35">
      <c r="A35" t="inlineStr">
        <is>
          <t>LIMA</t>
        </is>
      </c>
      <c r="B35" t="inlineStr">
        <is>
          <t>LIMA</t>
        </is>
      </c>
      <c r="C35" t="inlineStr">
        <is>
          <t>SAN JUAN DE LURIGANCHO</t>
        </is>
      </c>
      <c r="D35" t="inlineStr">
        <is>
          <t>150132</t>
        </is>
      </c>
      <c r="E35" t="inlineStr">
        <is>
          <t>Inkafarma 13 de Enero, Inkafarma Gran Chimú, Makro San Juan de Lurigancho, MiFarma Vara de Oro</t>
        </is>
      </c>
      <c r="F35" s="11" t="n">
        <v>152995.9253</v>
      </c>
      <c r="G35" s="6">
        <f>IF($F$125=0,0,F35/$F$125)</f>
        <v/>
      </c>
      <c r="H35" s="5" t="n">
        <v>171355.33</v>
      </c>
      <c r="I35" t="n">
        <v>5</v>
      </c>
      <c r="J35" t="n">
        <v>2</v>
      </c>
      <c r="L35" s="5" t="n">
        <v>599743.66</v>
      </c>
    </row>
    <row r="36">
      <c r="A36" t="inlineStr">
        <is>
          <t>AREQUIPA</t>
        </is>
      </c>
      <c r="B36" t="inlineStr">
        <is>
          <t>AREQUIPA</t>
        </is>
      </c>
      <c r="C36" t="inlineStr">
        <is>
          <t>YANAHUARA</t>
        </is>
      </c>
      <c r="D36" t="inlineStr">
        <is>
          <t>040126</t>
        </is>
      </c>
      <c r="E36" t="inlineStr">
        <is>
          <t>—</t>
        </is>
      </c>
      <c r="F36" s="11" t="n">
        <v>149473.5188</v>
      </c>
      <c r="G36" s="6">
        <f>IF($F$125=0,0,F36/$F$125)</f>
        <v/>
      </c>
      <c r="H36" s="5" t="n">
        <v>167410.24</v>
      </c>
      <c r="I36" t="n">
        <v>2</v>
      </c>
      <c r="J36" t="n">
        <v>5</v>
      </c>
      <c r="L36" s="5" t="n">
        <v>585935.84</v>
      </c>
    </row>
    <row r="37">
      <c r="A37" t="inlineStr">
        <is>
          <t>UCAYALI</t>
        </is>
      </c>
      <c r="B37" t="inlineStr">
        <is>
          <t>CORONEL PORTILLO</t>
        </is>
      </c>
      <c r="C37" t="inlineStr">
        <is>
          <t>CALLERIA</t>
        </is>
      </c>
      <c r="D37" t="inlineStr">
        <is>
          <t>250101</t>
        </is>
      </c>
      <c r="E37" t="inlineStr">
        <is>
          <t>—</t>
        </is>
      </c>
      <c r="F37" s="11" t="n">
        <v>139233.2887</v>
      </c>
      <c r="G37" s="6">
        <f>IF($F$125=0,0,F37/$F$125)</f>
        <v/>
      </c>
      <c r="H37" s="5" t="n">
        <v>155941.19</v>
      </c>
      <c r="I37" t="n">
        <v>4</v>
      </c>
      <c r="J37" t="n">
        <v>4</v>
      </c>
      <c r="K37" t="n">
        <v>2</v>
      </c>
      <c r="L37" s="5" t="n">
        <v>519803.96</v>
      </c>
    </row>
    <row r="38">
      <c r="A38" t="inlineStr">
        <is>
          <t>LIMA</t>
        </is>
      </c>
      <c r="B38" t="inlineStr">
        <is>
          <t>LIMA</t>
        </is>
      </c>
      <c r="C38" t="inlineStr">
        <is>
          <t>SAN JUAN DE MIRAFLORES</t>
        </is>
      </c>
      <c r="D38" t="inlineStr">
        <is>
          <t>150133</t>
        </is>
      </c>
      <c r="E38" t="inlineStr">
        <is>
          <t>Makro San Juan de Miraflores</t>
        </is>
      </c>
      <c r="F38" s="11" t="n">
        <v>137385.7792</v>
      </c>
      <c r="G38" s="6">
        <f>IF($F$125=0,0,F38/$F$125)</f>
        <v/>
      </c>
      <c r="H38" s="5" t="n">
        <v>153871.98</v>
      </c>
      <c r="I38" t="n">
        <v>2</v>
      </c>
      <c r="J38" t="n">
        <v>3</v>
      </c>
      <c r="L38" s="5" t="n">
        <v>384679.95</v>
      </c>
    </row>
    <row r="39">
      <c r="A39" t="inlineStr">
        <is>
          <t>LIMA</t>
        </is>
      </c>
      <c r="B39" t="inlineStr">
        <is>
          <t>LIMA</t>
        </is>
      </c>
      <c r="C39" t="inlineStr">
        <is>
          <t>CHORRILLOS</t>
        </is>
      </c>
      <c r="D39" t="inlineStr">
        <is>
          <t>150108</t>
        </is>
      </c>
      <c r="E39" t="inlineStr">
        <is>
          <t>Inkafarma Defensores del Morro, Inkafarma Guardia Civil, Inkafarma Paseo de la República, Makro Chorrillos, MiFarma Alameda Sur</t>
        </is>
      </c>
      <c r="F39" s="11" t="n">
        <v>132619.747</v>
      </c>
      <c r="G39" s="6">
        <f>IF($F$125=0,0,F39/$F$125)</f>
        <v/>
      </c>
      <c r="H39" s="5" t="n">
        <v>148534.03</v>
      </c>
      <c r="I39" t="n">
        <v>2</v>
      </c>
      <c r="J39" t="n">
        <v>4</v>
      </c>
      <c r="L39" s="5" t="n">
        <v>445602.08</v>
      </c>
    </row>
    <row r="40">
      <c r="A40" t="inlineStr">
        <is>
          <t>LIMA</t>
        </is>
      </c>
      <c r="B40" t="inlineStr">
        <is>
          <t>LIMA</t>
        </is>
      </c>
      <c r="C40" t="inlineStr">
        <is>
          <t>INDEPENDENCIA</t>
        </is>
      </c>
      <c r="D40" t="inlineStr">
        <is>
          <t>150112</t>
        </is>
      </c>
      <c r="E40" t="inlineStr">
        <is>
          <t>Makro Independencia</t>
        </is>
      </c>
      <c r="F40" s="11" t="n">
        <v>127337.0562</v>
      </c>
      <c r="G40" s="6">
        <f>IF($F$125=0,0,F40/$F$125)</f>
        <v/>
      </c>
      <c r="H40" s="5" t="n">
        <v>142617.42</v>
      </c>
      <c r="I40" t="n">
        <v>5</v>
      </c>
      <c r="J40" t="n">
        <v>2</v>
      </c>
      <c r="L40" s="5" t="n">
        <v>499160.96</v>
      </c>
    </row>
    <row r="41">
      <c r="A41" t="inlineStr">
        <is>
          <t>CALLAO</t>
        </is>
      </c>
      <c r="B41" t="inlineStr">
        <is>
          <t>CALLAO</t>
        </is>
      </c>
      <c r="C41" t="inlineStr">
        <is>
          <t>CALLAO</t>
        </is>
      </c>
      <c r="D41" t="inlineStr">
        <is>
          <t>070101</t>
        </is>
      </c>
      <c r="E41" t="inlineStr">
        <is>
          <t>MiFarma Bocanegra, MiFarma Sáenz Peña</t>
        </is>
      </c>
      <c r="F41" s="11" t="n">
        <v>112980.2853</v>
      </c>
      <c r="G41" s="6">
        <f>IF($F$125=0,0,F41/$F$125)</f>
        <v/>
      </c>
      <c r="H41" s="5" t="n">
        <v>126537.84</v>
      </c>
      <c r="I41" t="n">
        <v>1</v>
      </c>
      <c r="J41" t="n">
        <v>5</v>
      </c>
      <c r="L41" s="5" t="n">
        <v>379613.53</v>
      </c>
    </row>
    <row r="42">
      <c r="A42" t="inlineStr">
        <is>
          <t>LIMA</t>
        </is>
      </c>
      <c r="B42" t="inlineStr">
        <is>
          <t>LIMA</t>
        </is>
      </c>
      <c r="C42" t="inlineStr">
        <is>
          <t>LA MOLINA</t>
        </is>
      </c>
      <c r="D42" t="inlineStr">
        <is>
          <t>150114</t>
        </is>
      </c>
      <c r="E42" t="inlineStr">
        <is>
          <t>Inkafarma Los Analistas, MiFarma Camacho, MiFarma Flora Tristán, MiFarma Huarochirí, MiFarma Salamanca</t>
        </is>
      </c>
      <c r="F42" s="11" t="n">
        <v>104154.0468</v>
      </c>
      <c r="G42" s="6">
        <f>IF($F$125=0,0,F42/$F$125)</f>
        <v/>
      </c>
      <c r="H42" s="5" t="n">
        <v>116652.46</v>
      </c>
      <c r="I42" t="n">
        <v>4</v>
      </c>
      <c r="J42" t="n">
        <v>3</v>
      </c>
      <c r="L42" s="5" t="n">
        <v>408283.62</v>
      </c>
    </row>
    <row r="43">
      <c r="A43" t="inlineStr">
        <is>
          <t>LIMA</t>
        </is>
      </c>
      <c r="B43" t="inlineStr">
        <is>
          <t>HUAURA</t>
        </is>
      </c>
      <c r="C43" t="inlineStr">
        <is>
          <t>HUACHO</t>
        </is>
      </c>
      <c r="D43" t="inlineStr">
        <is>
          <t>150801</t>
        </is>
      </c>
      <c r="E43" t="inlineStr">
        <is>
          <t>—</t>
        </is>
      </c>
      <c r="F43" s="11" t="n">
        <v>99444.6136</v>
      </c>
      <c r="G43" s="6">
        <f>IF($F$125=0,0,F43/$F$125)</f>
        <v/>
      </c>
      <c r="H43" s="5" t="n">
        <v>111377.9</v>
      </c>
      <c r="I43" t="n">
        <v>3</v>
      </c>
      <c r="J43" t="n">
        <v>3</v>
      </c>
      <c r="L43" s="5" t="n">
        <v>334133.7</v>
      </c>
    </row>
    <row r="44">
      <c r="A44" t="inlineStr">
        <is>
          <t>PUNO</t>
        </is>
      </c>
      <c r="B44" t="inlineStr">
        <is>
          <t>PUNO</t>
        </is>
      </c>
      <c r="C44" t="inlineStr">
        <is>
          <t>PUNO</t>
        </is>
      </c>
      <c r="D44" t="inlineStr">
        <is>
          <t>210101</t>
        </is>
      </c>
      <c r="E44" t="inlineStr">
        <is>
          <t>—</t>
        </is>
      </c>
      <c r="F44" s="11" t="n">
        <v>96744.9016</v>
      </c>
      <c r="G44" s="6">
        <f>IF($F$125=0,0,F44/$F$125)</f>
        <v/>
      </c>
      <c r="H44" s="5" t="n">
        <v>108354.22</v>
      </c>
      <c r="I44" t="n">
        <v>4</v>
      </c>
      <c r="J44" t="n">
        <v>3</v>
      </c>
      <c r="K44" t="n">
        <v>3</v>
      </c>
      <c r="L44" s="5" t="n">
        <v>361180.75</v>
      </c>
    </row>
    <row r="45">
      <c r="A45" t="inlineStr">
        <is>
          <t>LIMA</t>
        </is>
      </c>
      <c r="B45" t="inlineStr">
        <is>
          <t>LIMA</t>
        </is>
      </c>
      <c r="C45" t="inlineStr">
        <is>
          <t>SAN MARTIN DE PORRES</t>
        </is>
      </c>
      <c r="D45" t="inlineStr">
        <is>
          <t>150135</t>
        </is>
      </c>
      <c r="E45" t="inlineStr">
        <is>
          <t>—</t>
        </is>
      </c>
      <c r="F45" s="11" t="n">
        <v>94629.3054</v>
      </c>
      <c r="G45" s="6">
        <f>IF($F$125=0,0,F45/$F$125)</f>
        <v/>
      </c>
      <c r="H45" s="5" t="n">
        <v>105984.76</v>
      </c>
      <c r="I45" t="n">
        <v>2</v>
      </c>
      <c r="J45" t="n">
        <v>5</v>
      </c>
      <c r="L45" s="5" t="n">
        <v>370946.65</v>
      </c>
    </row>
    <row r="46">
      <c r="A46" t="inlineStr">
        <is>
          <t>AREQUIPA</t>
        </is>
      </c>
      <c r="B46" t="inlineStr">
        <is>
          <t>AREQUIPA</t>
        </is>
      </c>
      <c r="C46" t="inlineStr">
        <is>
          <t>PAUCARPATA</t>
        </is>
      </c>
      <c r="D46" t="inlineStr">
        <is>
          <t>040112</t>
        </is>
      </c>
      <c r="E46" t="inlineStr">
        <is>
          <t>—</t>
        </is>
      </c>
      <c r="F46" s="11" t="n">
        <v>83449.56299999999</v>
      </c>
      <c r="G46" s="6">
        <f>IF($F$125=0,0,F46/$F$125)</f>
        <v/>
      </c>
      <c r="H46" s="5" t="n">
        <v>93463.45</v>
      </c>
      <c r="I46" t="n">
        <v>5</v>
      </c>
      <c r="J46" t="n">
        <v>4</v>
      </c>
      <c r="K46" t="n">
        <v>2</v>
      </c>
      <c r="L46" s="5" t="n">
        <v>342699.33</v>
      </c>
    </row>
    <row r="47">
      <c r="A47" t="inlineStr">
        <is>
          <t>PIURA</t>
        </is>
      </c>
      <c r="B47" t="inlineStr">
        <is>
          <t>SULLANA</t>
        </is>
      </c>
      <c r="C47" t="inlineStr">
        <is>
          <t>SULLANA</t>
        </is>
      </c>
      <c r="D47" t="inlineStr">
        <is>
          <t>200601</t>
        </is>
      </c>
      <c r="E47" t="inlineStr">
        <is>
          <t>—</t>
        </is>
      </c>
      <c r="F47" s="11" t="n">
        <v>82754.4412</v>
      </c>
      <c r="G47" s="6">
        <f>IF($F$125=0,0,F47/$F$125)</f>
        <v/>
      </c>
      <c r="H47" s="5" t="n">
        <v>92684.92</v>
      </c>
      <c r="I47" t="n">
        <v>2</v>
      </c>
      <c r="J47" t="n">
        <v>5</v>
      </c>
      <c r="K47" t="n">
        <v>2</v>
      </c>
      <c r="L47" s="5" t="n">
        <v>278054.75</v>
      </c>
    </row>
    <row r="48">
      <c r="A48" t="inlineStr">
        <is>
          <t>APURIMAC</t>
        </is>
      </c>
      <c r="B48" t="inlineStr">
        <is>
          <t>ABANCAY</t>
        </is>
      </c>
      <c r="C48" t="inlineStr">
        <is>
          <t>ABANCAY</t>
        </is>
      </c>
      <c r="D48" t="inlineStr">
        <is>
          <t>030101</t>
        </is>
      </c>
      <c r="E48" t="inlineStr">
        <is>
          <t>—</t>
        </is>
      </c>
      <c r="F48" s="11" t="n">
        <v>74959.8602</v>
      </c>
      <c r="G48" s="6">
        <f>IF($F$125=0,0,F48/$F$125)</f>
        <v/>
      </c>
      <c r="H48" s="5" t="n">
        <v>83954.99000000001</v>
      </c>
      <c r="I48" t="n">
        <v>4</v>
      </c>
      <c r="J48" t="n">
        <v>2</v>
      </c>
      <c r="K48" t="n">
        <v>3</v>
      </c>
      <c r="L48" s="5" t="n">
        <v>251864.98</v>
      </c>
    </row>
    <row r="49">
      <c r="A49" t="inlineStr">
        <is>
          <t>LIMA</t>
        </is>
      </c>
      <c r="B49" t="inlineStr">
        <is>
          <t>LIMA</t>
        </is>
      </c>
      <c r="C49" t="inlineStr">
        <is>
          <t>BREÑA</t>
        </is>
      </c>
      <c r="D49" t="inlineStr">
        <is>
          <t>150105</t>
        </is>
      </c>
      <c r="E49" t="inlineStr">
        <is>
          <t>—</t>
        </is>
      </c>
      <c r="F49" s="11" t="n">
        <v>74835.9277</v>
      </c>
      <c r="G49" s="6">
        <f>IF($F$125=0,0,F49/$F$125)</f>
        <v/>
      </c>
      <c r="H49" s="5" t="n">
        <v>83816.19</v>
      </c>
      <c r="I49" t="n">
        <v>1</v>
      </c>
      <c r="J49" t="n">
        <v>3</v>
      </c>
      <c r="L49" s="5" t="n">
        <v>167632.38</v>
      </c>
    </row>
    <row r="50">
      <c r="A50" t="inlineStr">
        <is>
          <t>MADRE DE DIOS</t>
        </is>
      </c>
      <c r="B50" t="inlineStr">
        <is>
          <t>TAMBOPATA</t>
        </is>
      </c>
      <c r="C50" t="inlineStr">
        <is>
          <t>TAMBOPATA</t>
        </is>
      </c>
      <c r="D50" t="inlineStr">
        <is>
          <t>170101</t>
        </is>
      </c>
      <c r="E50" t="inlineStr">
        <is>
          <t>—</t>
        </is>
      </c>
      <c r="F50" s="11" t="n">
        <v>71075.2812</v>
      </c>
      <c r="G50" s="6">
        <f>IF($F$125=0,0,F50/$F$125)</f>
        <v/>
      </c>
      <c r="H50" s="5" t="n">
        <v>79604.27</v>
      </c>
      <c r="I50" t="n">
        <v>3</v>
      </c>
      <c r="J50" t="n">
        <v>2</v>
      </c>
      <c r="K50" t="n">
        <v>2</v>
      </c>
      <c r="L50" s="5" t="n">
        <v>185743.29</v>
      </c>
    </row>
    <row r="51">
      <c r="A51" t="inlineStr">
        <is>
          <t>LIMA</t>
        </is>
      </c>
      <c r="B51" t="inlineStr">
        <is>
          <t>LIMA</t>
        </is>
      </c>
      <c r="C51" t="inlineStr">
        <is>
          <t>LINCE</t>
        </is>
      </c>
      <c r="D51" t="inlineStr">
        <is>
          <t>150116</t>
        </is>
      </c>
      <c r="E51" t="inlineStr">
        <is>
          <t>Inkafarma Ignacio Merino Lince, MiFarma Risso</t>
        </is>
      </c>
      <c r="F51" s="11" t="n">
        <v>68728.8416</v>
      </c>
      <c r="G51" s="6">
        <f>IF($F$125=0,0,F51/$F$125)</f>
        <v/>
      </c>
      <c r="H51" s="5" t="n">
        <v>76976.25999999999</v>
      </c>
      <c r="I51" t="n">
        <v>1</v>
      </c>
      <c r="J51" t="n">
        <v>4</v>
      </c>
      <c r="L51" s="5" t="n">
        <v>192440.64</v>
      </c>
    </row>
    <row r="52">
      <c r="A52" t="inlineStr">
        <is>
          <t>TUMBES</t>
        </is>
      </c>
      <c r="B52" t="inlineStr">
        <is>
          <t>TUMBES</t>
        </is>
      </c>
      <c r="C52" t="inlineStr">
        <is>
          <t>TUMBES</t>
        </is>
      </c>
      <c r="D52" t="inlineStr">
        <is>
          <t>240101</t>
        </is>
      </c>
      <c r="E52" t="inlineStr">
        <is>
          <t>—</t>
        </is>
      </c>
      <c r="F52" s="11" t="n">
        <v>63380.2978</v>
      </c>
      <c r="G52" s="6">
        <f>IF($F$125=0,0,F52/$F$125)</f>
        <v/>
      </c>
      <c r="H52" s="5" t="n">
        <v>70985.89</v>
      </c>
      <c r="I52" t="n">
        <v>3</v>
      </c>
      <c r="J52" t="n">
        <v>5</v>
      </c>
      <c r="K52" t="n">
        <v>4</v>
      </c>
      <c r="L52" s="5" t="n">
        <v>283943.56</v>
      </c>
    </row>
    <row r="53">
      <c r="A53" t="inlineStr">
        <is>
          <t>LIMA</t>
        </is>
      </c>
      <c r="B53" t="inlineStr">
        <is>
          <t>LIMA</t>
        </is>
      </c>
      <c r="C53" t="inlineStr">
        <is>
          <t>MAGDALENA VIEJA</t>
        </is>
      </c>
      <c r="D53" t="inlineStr">
        <is>
          <t>150121</t>
        </is>
      </c>
      <c r="E53" t="inlineStr">
        <is>
          <t>—</t>
        </is>
      </c>
      <c r="F53" s="11" t="n">
        <v>61416.1928</v>
      </c>
      <c r="G53" s="6">
        <f>IF($F$125=0,0,F53/$F$125)</f>
        <v/>
      </c>
      <c r="H53" s="5" t="n">
        <v>68786.09</v>
      </c>
      <c r="I53" t="n">
        <v>1</v>
      </c>
      <c r="J53" t="n">
        <v>4</v>
      </c>
      <c r="L53" s="5" t="n">
        <v>171965.24</v>
      </c>
    </row>
    <row r="54">
      <c r="A54" t="inlineStr">
        <is>
          <t>LIMA</t>
        </is>
      </c>
      <c r="B54" t="inlineStr">
        <is>
          <t>LIMA</t>
        </is>
      </c>
      <c r="C54" t="inlineStr">
        <is>
          <t>ATE</t>
        </is>
      </c>
      <c r="D54" t="inlineStr">
        <is>
          <t>150103</t>
        </is>
      </c>
      <c r="E54" t="inlineStr">
        <is>
          <t>MiFarma Javier Prado Ate</t>
        </is>
      </c>
      <c r="F54" s="11" t="n">
        <v>60788.2322</v>
      </c>
      <c r="G54" s="6">
        <f>IF($F$125=0,0,F54/$F$125)</f>
        <v/>
      </c>
      <c r="H54" s="5" t="n">
        <v>68082.78</v>
      </c>
      <c r="I54" t="n">
        <v>4</v>
      </c>
      <c r="J54" t="n">
        <v>3</v>
      </c>
      <c r="L54" s="5" t="n">
        <v>238289.73</v>
      </c>
    </row>
    <row r="55">
      <c r="A55" t="inlineStr">
        <is>
          <t>ICA</t>
        </is>
      </c>
      <c r="B55" t="inlineStr">
        <is>
          <t>PISCO</t>
        </is>
      </c>
      <c r="C55" t="inlineStr">
        <is>
          <t>PISCO</t>
        </is>
      </c>
      <c r="D55" t="inlineStr">
        <is>
          <t>110501</t>
        </is>
      </c>
      <c r="E55" t="inlineStr">
        <is>
          <t>—</t>
        </is>
      </c>
      <c r="F55" s="11" t="n">
        <v>59363.8795</v>
      </c>
      <c r="G55" s="6">
        <f>IF($F$125=0,0,F55/$F$125)</f>
        <v/>
      </c>
      <c r="H55" s="5" t="n">
        <v>66487.5</v>
      </c>
      <c r="I55" t="n">
        <v>3</v>
      </c>
      <c r="J55" t="n">
        <v>5</v>
      </c>
      <c r="L55" s="5" t="n">
        <v>265950.02</v>
      </c>
    </row>
    <row r="56">
      <c r="A56" t="inlineStr">
        <is>
          <t>MOQUEGUA</t>
        </is>
      </c>
      <c r="B56" t="inlineStr">
        <is>
          <t>MARISCAL NIETO</t>
        </is>
      </c>
      <c r="C56" t="inlineStr">
        <is>
          <t>MOQUEGUA</t>
        </is>
      </c>
      <c r="D56" t="inlineStr">
        <is>
          <t>180101</t>
        </is>
      </c>
      <c r="E56" t="inlineStr">
        <is>
          <t>—</t>
        </is>
      </c>
      <c r="F56" s="11" t="n">
        <v>57048.3772</v>
      </c>
      <c r="G56" s="6">
        <f>IF($F$125=0,0,F56/$F$125)</f>
        <v/>
      </c>
      <c r="H56" s="5" t="n">
        <v>63894.14</v>
      </c>
      <c r="I56" t="n">
        <v>4</v>
      </c>
      <c r="J56" t="n">
        <v>4</v>
      </c>
      <c r="L56" s="5" t="n">
        <v>255576.57</v>
      </c>
    </row>
    <row r="57">
      <c r="A57" t="inlineStr">
        <is>
          <t>LIMA</t>
        </is>
      </c>
      <c r="B57" t="inlineStr">
        <is>
          <t>CAÑETE</t>
        </is>
      </c>
      <c r="C57" t="inlineStr">
        <is>
          <t>SAN VICENTE DE CAÑETE</t>
        </is>
      </c>
      <c r="D57" t="inlineStr">
        <is>
          <t>150501</t>
        </is>
      </c>
      <c r="E57" t="inlineStr">
        <is>
          <t>—</t>
        </is>
      </c>
      <c r="F57" s="11" t="n">
        <v>51283.9942</v>
      </c>
      <c r="G57" s="6">
        <f>IF($F$125=0,0,F57/$F$125)</f>
        <v/>
      </c>
      <c r="H57" s="5" t="n">
        <v>57438.04</v>
      </c>
      <c r="I57" t="n">
        <v>3</v>
      </c>
      <c r="J57" t="n">
        <v>5</v>
      </c>
      <c r="L57" s="5" t="n">
        <v>229752.15</v>
      </c>
    </row>
    <row r="58">
      <c r="A58" t="inlineStr">
        <is>
          <t>LIMA</t>
        </is>
      </c>
      <c r="B58" t="inlineStr">
        <is>
          <t>LIMA</t>
        </is>
      </c>
      <c r="C58" t="inlineStr">
        <is>
          <t>BARRANCO</t>
        </is>
      </c>
      <c r="D58" t="inlineStr">
        <is>
          <t>150104</t>
        </is>
      </c>
      <c r="E58" t="inlineStr">
        <is>
          <t>MiFarma Prol. San Martín</t>
        </is>
      </c>
      <c r="F58" s="11" t="n">
        <v>49775.6545</v>
      </c>
      <c r="G58" s="6">
        <f>IF($F$125=0,0,F58/$F$125)</f>
        <v/>
      </c>
      <c r="H58" s="5" t="n">
        <v>55748.7</v>
      </c>
      <c r="I58" t="n">
        <v>1</v>
      </c>
      <c r="J58" t="n">
        <v>4</v>
      </c>
      <c r="L58" s="5" t="n">
        <v>139371.75</v>
      </c>
    </row>
    <row r="59">
      <c r="A59" t="inlineStr">
        <is>
          <t>JUNIN</t>
        </is>
      </c>
      <c r="B59" t="inlineStr">
        <is>
          <t>CHANCHAMAYO</t>
        </is>
      </c>
      <c r="C59" t="inlineStr">
        <is>
          <t>CHANCHAMAYO</t>
        </is>
      </c>
      <c r="D59" t="inlineStr">
        <is>
          <t>120301</t>
        </is>
      </c>
      <c r="E59" t="inlineStr">
        <is>
          <t>—</t>
        </is>
      </c>
      <c r="F59" s="11" t="n">
        <v>43978.8228</v>
      </c>
      <c r="G59" s="6">
        <f>IF($F$125=0,0,F59/$F$125)</f>
        <v/>
      </c>
      <c r="H59" s="5" t="n">
        <v>49256.25</v>
      </c>
      <c r="I59" t="n">
        <v>5</v>
      </c>
      <c r="J59" t="n">
        <v>2</v>
      </c>
      <c r="K59" t="n">
        <v>3</v>
      </c>
      <c r="L59" s="5" t="n">
        <v>164187.51</v>
      </c>
    </row>
    <row r="60">
      <c r="A60" t="inlineStr">
        <is>
          <t>LIMA</t>
        </is>
      </c>
      <c r="B60" t="inlineStr">
        <is>
          <t>LIMA</t>
        </is>
      </c>
      <c r="C60" t="inlineStr">
        <is>
          <t>VILLA EL SALVADOR</t>
        </is>
      </c>
      <c r="D60" t="inlineStr">
        <is>
          <t>150142</t>
        </is>
      </c>
      <c r="E60" t="inlineStr">
        <is>
          <t>Inkafarma Lima VES, Inkafarma Velasco Alvarado</t>
        </is>
      </c>
      <c r="F60" s="11" t="n">
        <v>43027.7335</v>
      </c>
      <c r="G60" s="6">
        <f>IF($F$125=0,0,F60/$F$125)</f>
        <v/>
      </c>
      <c r="H60" s="5" t="n">
        <v>48191.03</v>
      </c>
      <c r="I60" t="n">
        <v>1</v>
      </c>
      <c r="J60" t="n">
        <v>3</v>
      </c>
      <c r="L60" s="5" t="n">
        <v>96382.06</v>
      </c>
    </row>
    <row r="61">
      <c r="A61" t="inlineStr">
        <is>
          <t>ICA</t>
        </is>
      </c>
      <c r="B61" t="inlineStr">
        <is>
          <t>NAZCA</t>
        </is>
      </c>
      <c r="C61" t="inlineStr">
        <is>
          <t>NAZCA</t>
        </is>
      </c>
      <c r="D61" t="inlineStr">
        <is>
          <t>110301</t>
        </is>
      </c>
      <c r="E61" t="inlineStr">
        <is>
          <t>—</t>
        </is>
      </c>
      <c r="F61" s="11" t="n">
        <v>38411.4783</v>
      </c>
      <c r="G61" s="6">
        <f>IF($F$125=0,0,F61/$F$125)</f>
        <v/>
      </c>
      <c r="H61" s="5" t="n">
        <v>43020.83</v>
      </c>
      <c r="I61" t="n">
        <v>3</v>
      </c>
      <c r="J61" t="n">
        <v>5</v>
      </c>
      <c r="L61" s="5" t="n">
        <v>172083.32</v>
      </c>
    </row>
    <row r="62">
      <c r="A62" t="inlineStr">
        <is>
          <t>LIMA</t>
        </is>
      </c>
      <c r="B62" t="inlineStr">
        <is>
          <t>HUARAL</t>
        </is>
      </c>
      <c r="C62" t="inlineStr">
        <is>
          <t>HUARAL</t>
        </is>
      </c>
      <c r="D62" t="inlineStr">
        <is>
          <t>150601</t>
        </is>
      </c>
      <c r="E62" t="inlineStr">
        <is>
          <t>Inkafarma Calle Derecha</t>
        </is>
      </c>
      <c r="F62" s="11" t="n">
        <v>38291.6875</v>
      </c>
      <c r="G62" s="6">
        <f>IF($F$125=0,0,F62/$F$125)</f>
        <v/>
      </c>
      <c r="H62" s="5" t="n">
        <v>42886.66</v>
      </c>
      <c r="I62" t="n">
        <v>4</v>
      </c>
      <c r="J62" t="n">
        <v>4</v>
      </c>
      <c r="L62" s="5" t="n">
        <v>171546.66</v>
      </c>
    </row>
    <row r="63">
      <c r="A63" t="inlineStr">
        <is>
          <t>PIURA</t>
        </is>
      </c>
      <c r="B63" t="inlineStr">
        <is>
          <t>TALARA</t>
        </is>
      </c>
      <c r="C63" t="inlineStr">
        <is>
          <t>PARIÑAS</t>
        </is>
      </c>
      <c r="D63" t="inlineStr">
        <is>
          <t>200701</t>
        </is>
      </c>
      <c r="E63" t="inlineStr">
        <is>
          <t>—</t>
        </is>
      </c>
      <c r="F63" s="11" t="n">
        <v>35572.2974</v>
      </c>
      <c r="G63" s="6">
        <f>IF($F$125=0,0,F63/$F$125)</f>
        <v/>
      </c>
      <c r="H63" s="5" t="n">
        <v>39840.95</v>
      </c>
      <c r="I63" t="n">
        <v>3</v>
      </c>
      <c r="J63" t="n">
        <v>4</v>
      </c>
      <c r="K63" t="n">
        <v>3</v>
      </c>
      <c r="L63" s="5" t="n">
        <v>132803.16</v>
      </c>
    </row>
    <row r="64">
      <c r="A64" t="inlineStr">
        <is>
          <t>LIMA</t>
        </is>
      </c>
      <c r="B64" t="inlineStr">
        <is>
          <t>LIMA</t>
        </is>
      </c>
      <c r="C64" t="inlineStr">
        <is>
          <t>COMAS</t>
        </is>
      </c>
      <c r="D64" t="inlineStr">
        <is>
          <t>150110</t>
        </is>
      </c>
      <c r="E64" t="inlineStr">
        <is>
          <t>Makro Comas, Mall Plaza Comas</t>
        </is>
      </c>
      <c r="F64" s="11" t="n">
        <v>33884.2088</v>
      </c>
      <c r="G64" s="6">
        <f>IF($F$125=0,0,F64/$F$125)</f>
        <v/>
      </c>
      <c r="H64" s="5" t="n">
        <v>37950.29</v>
      </c>
      <c r="I64" t="n">
        <v>3</v>
      </c>
      <c r="J64" t="n">
        <v>3</v>
      </c>
      <c r="L64" s="5" t="n">
        <v>113850.87</v>
      </c>
    </row>
    <row r="65">
      <c r="A65" t="inlineStr">
        <is>
          <t>LIMA</t>
        </is>
      </c>
      <c r="B65" t="inlineStr">
        <is>
          <t>LIMA</t>
        </is>
      </c>
      <c r="C65" t="inlineStr">
        <is>
          <t>MAGDALENA DEL MAR</t>
        </is>
      </c>
      <c r="D65" t="inlineStr">
        <is>
          <t>150120</t>
        </is>
      </c>
      <c r="E65" t="inlineStr">
        <is>
          <t>Inkafarma Brasil, Inkafarma Castilla, Inkafarma Ejército, Inkafarma Sucre, MiFarma Bolívar, Vivanda Javier Prado</t>
        </is>
      </c>
      <c r="F65" s="11" t="n">
        <v>33830.357</v>
      </c>
      <c r="G65" s="6">
        <f>IF($F$125=0,0,F65/$F$125)</f>
        <v/>
      </c>
      <c r="H65" s="5" t="n">
        <v>37889.98</v>
      </c>
      <c r="I65" t="n">
        <v>2</v>
      </c>
      <c r="J65" t="n">
        <v>4</v>
      </c>
      <c r="L65" s="5" t="n">
        <v>113669.93</v>
      </c>
    </row>
    <row r="66">
      <c r="A66" t="inlineStr">
        <is>
          <t>LIMA</t>
        </is>
      </c>
      <c r="B66" t="inlineStr">
        <is>
          <t>BARRANCA</t>
        </is>
      </c>
      <c r="C66" t="inlineStr">
        <is>
          <t>BARRANCA</t>
        </is>
      </c>
      <c r="D66" t="inlineStr">
        <is>
          <t>150201</t>
        </is>
      </c>
      <c r="E66" t="inlineStr">
        <is>
          <t>—</t>
        </is>
      </c>
      <c r="F66" s="11" t="n">
        <v>33291.5779</v>
      </c>
      <c r="G66" s="6">
        <f>IF($F$125=0,0,F66/$F$125)</f>
        <v/>
      </c>
      <c r="H66" s="5" t="n">
        <v>37286.54</v>
      </c>
      <c r="I66" t="n">
        <v>3</v>
      </c>
      <c r="J66" t="n">
        <v>4</v>
      </c>
      <c r="L66" s="5" t="n">
        <v>130502.91</v>
      </c>
    </row>
    <row r="67">
      <c r="A67" t="inlineStr">
        <is>
          <t>AREQUIPA</t>
        </is>
      </c>
      <c r="B67" t="inlineStr">
        <is>
          <t>AREQUIPA</t>
        </is>
      </c>
      <c r="C67" t="inlineStr">
        <is>
          <t>JOSE LUIS BUSTAMANTE Y RIVERO</t>
        </is>
      </c>
      <c r="D67" t="inlineStr">
        <is>
          <t>040129</t>
        </is>
      </c>
      <c r="E67" t="inlineStr">
        <is>
          <t>—</t>
        </is>
      </c>
      <c r="F67" s="11" t="n">
        <v>33199.5909</v>
      </c>
      <c r="G67" s="6">
        <f>IF($F$125=0,0,F67/$F$125)</f>
        <v/>
      </c>
      <c r="H67" s="5" t="n">
        <v>37183.52</v>
      </c>
      <c r="I67" t="n">
        <v>2</v>
      </c>
      <c r="J67" t="n">
        <v>5</v>
      </c>
      <c r="L67" s="5" t="n">
        <v>130142.32</v>
      </c>
    </row>
    <row r="68">
      <c r="A68" t="inlineStr">
        <is>
          <t>MOQUEGUA</t>
        </is>
      </c>
      <c r="B68" t="inlineStr">
        <is>
          <t>ILO</t>
        </is>
      </c>
      <c r="C68" t="inlineStr">
        <is>
          <t>ILO</t>
        </is>
      </c>
      <c r="D68" t="inlineStr">
        <is>
          <t>180301</t>
        </is>
      </c>
      <c r="E68" t="inlineStr">
        <is>
          <t>—</t>
        </is>
      </c>
      <c r="F68" s="11" t="n">
        <v>33093.9009</v>
      </c>
      <c r="G68" s="6">
        <f>IF($F$125=0,0,F68/$F$125)</f>
        <v/>
      </c>
      <c r="H68" s="5" t="n">
        <v>37065.15</v>
      </c>
      <c r="I68" t="n">
        <v>4</v>
      </c>
      <c r="J68" t="n">
        <v>2</v>
      </c>
      <c r="L68" s="5" t="n">
        <v>111195.44</v>
      </c>
    </row>
    <row r="69">
      <c r="A69" t="inlineStr">
        <is>
          <t>SAN MARTIN</t>
        </is>
      </c>
      <c r="B69" t="inlineStr">
        <is>
          <t>MOYOBAMBA</t>
        </is>
      </c>
      <c r="C69" t="inlineStr">
        <is>
          <t>MOYOBAMBA</t>
        </is>
      </c>
      <c r="D69" t="inlineStr">
        <is>
          <t>220101</t>
        </is>
      </c>
      <c r="E69" t="inlineStr">
        <is>
          <t>Makro Moyobamba</t>
        </is>
      </c>
      <c r="F69" s="11" t="n">
        <v>30405.8966</v>
      </c>
      <c r="G69" s="6">
        <f>IF($F$125=0,0,F69/$F$125)</f>
        <v/>
      </c>
      <c r="H69" s="5" t="n">
        <v>34054.58</v>
      </c>
      <c r="I69" t="n">
        <v>4</v>
      </c>
      <c r="J69" t="n">
        <v>4</v>
      </c>
      <c r="K69" t="n">
        <v>2</v>
      </c>
      <c r="L69" s="5" t="n">
        <v>113515.28</v>
      </c>
    </row>
    <row r="70">
      <c r="A70" t="inlineStr">
        <is>
          <t>PASCO</t>
        </is>
      </c>
      <c r="B70" t="inlineStr">
        <is>
          <t>PASCO</t>
        </is>
      </c>
      <c r="C70" t="inlineStr">
        <is>
          <t>YANACANCHA</t>
        </is>
      </c>
      <c r="D70" t="inlineStr">
        <is>
          <t>190113</t>
        </is>
      </c>
      <c r="E70" t="inlineStr">
        <is>
          <t>—</t>
        </is>
      </c>
      <c r="F70" s="11" t="n">
        <v>27866.2702</v>
      </c>
      <c r="G70" s="6">
        <f>IF($F$125=0,0,F70/$F$125)</f>
        <v/>
      </c>
      <c r="H70" s="5" t="n">
        <v>31210.2</v>
      </c>
      <c r="I70" t="n">
        <v>4</v>
      </c>
      <c r="J70" t="n">
        <v>2</v>
      </c>
      <c r="K70" t="n">
        <v>3</v>
      </c>
      <c r="L70" s="5" t="n">
        <v>93630.61</v>
      </c>
    </row>
    <row r="71">
      <c r="A71" t="inlineStr">
        <is>
          <t>CUSCO</t>
        </is>
      </c>
      <c r="B71" t="inlineStr">
        <is>
          <t>CUSCO</t>
        </is>
      </c>
      <c r="C71" t="inlineStr">
        <is>
          <t>SAN SEBASTIAN</t>
        </is>
      </c>
      <c r="D71" t="inlineStr">
        <is>
          <t>080105</t>
        </is>
      </c>
      <c r="E71" t="inlineStr">
        <is>
          <t>—</t>
        </is>
      </c>
      <c r="F71" s="11" t="n">
        <v>25653.7194</v>
      </c>
      <c r="G71" s="6">
        <f>IF($F$125=0,0,F71/$F$125)</f>
        <v/>
      </c>
      <c r="H71" s="5" t="n">
        <v>28732.15</v>
      </c>
      <c r="I71" t="n">
        <v>4</v>
      </c>
      <c r="J71" t="n">
        <v>2</v>
      </c>
      <c r="K71" t="n">
        <v>3</v>
      </c>
      <c r="L71" s="5" t="n">
        <v>86196.44</v>
      </c>
    </row>
    <row r="72">
      <c r="A72" t="inlineStr">
        <is>
          <t>AREQUIPA</t>
        </is>
      </c>
      <c r="B72" t="inlineStr">
        <is>
          <t>CAMANA</t>
        </is>
      </c>
      <c r="C72" t="inlineStr">
        <is>
          <t>CAMANA</t>
        </is>
      </c>
      <c r="D72" t="inlineStr">
        <is>
          <t>040201</t>
        </is>
      </c>
      <c r="E72" t="inlineStr">
        <is>
          <t>—</t>
        </is>
      </c>
      <c r="F72" s="11" t="n">
        <v>24045.2624</v>
      </c>
      <c r="G72" s="6">
        <f>IF($F$125=0,0,F72/$F$125)</f>
        <v/>
      </c>
      <c r="H72" s="5" t="n">
        <v>26930.68</v>
      </c>
      <c r="I72" t="n">
        <v>4</v>
      </c>
      <c r="J72" t="n">
        <v>4</v>
      </c>
      <c r="L72" s="5" t="n">
        <v>107722.71</v>
      </c>
    </row>
    <row r="73">
      <c r="A73" t="inlineStr">
        <is>
          <t>PIURA</t>
        </is>
      </c>
      <c r="B73" t="inlineStr">
        <is>
          <t>PAITA</t>
        </is>
      </c>
      <c r="C73" t="inlineStr">
        <is>
          <t>PAITA</t>
        </is>
      </c>
      <c r="D73" t="inlineStr">
        <is>
          <t>200501</t>
        </is>
      </c>
      <c r="E73" t="inlineStr">
        <is>
          <t>—</t>
        </is>
      </c>
      <c r="F73" s="11" t="n">
        <v>23831.1279</v>
      </c>
      <c r="G73" s="6">
        <f>IF($F$125=0,0,F73/$F$125)</f>
        <v/>
      </c>
      <c r="H73" s="5" t="n">
        <v>26690.85</v>
      </c>
      <c r="I73" t="n">
        <v>2</v>
      </c>
      <c r="J73" t="n">
        <v>4</v>
      </c>
      <c r="L73" s="5" t="n">
        <v>80072.53999999999</v>
      </c>
    </row>
    <row r="74">
      <c r="A74" t="inlineStr">
        <is>
          <t>LIMA</t>
        </is>
      </c>
      <c r="B74" t="inlineStr">
        <is>
          <t>LIMA</t>
        </is>
      </c>
      <c r="C74" t="inlineStr">
        <is>
          <t>PUENTE PIEDRA</t>
        </is>
      </c>
      <c r="D74" t="inlineStr">
        <is>
          <t>150125</t>
        </is>
      </c>
      <c r="E74" t="inlineStr">
        <is>
          <t>Inkafarma Panamericana Norte, MiFarma Lecaros 149, MiFarma Lecaros 161, MiFarma Universitaria</t>
        </is>
      </c>
      <c r="F74" s="11" t="n">
        <v>23237.3597</v>
      </c>
      <c r="G74" s="6">
        <f>IF($F$125=0,0,F74/$F$125)</f>
        <v/>
      </c>
      <c r="H74" s="5" t="n">
        <v>26025.83</v>
      </c>
      <c r="I74" t="n">
        <v>2</v>
      </c>
      <c r="J74" t="n">
        <v>3</v>
      </c>
      <c r="L74" s="5" t="n">
        <v>65064.57</v>
      </c>
    </row>
    <row r="75">
      <c r="A75" t="inlineStr">
        <is>
          <t>LIMA</t>
        </is>
      </c>
      <c r="B75" t="inlineStr">
        <is>
          <t>LIMA</t>
        </is>
      </c>
      <c r="C75" t="inlineStr">
        <is>
          <t>LURIN</t>
        </is>
      </c>
      <c r="D75" t="inlineStr">
        <is>
          <t>150119</t>
        </is>
      </c>
      <c r="E75" t="inlineStr">
        <is>
          <t>MiFarma Tarapacá</t>
        </is>
      </c>
      <c r="F75" s="11" t="n">
        <v>20265.8003</v>
      </c>
      <c r="G75" s="6">
        <f>IF($F$125=0,0,F75/$F$125)</f>
        <v/>
      </c>
      <c r="H75" s="5" t="n">
        <v>22697.68</v>
      </c>
      <c r="I75" t="n">
        <v>3</v>
      </c>
      <c r="J75" t="n">
        <v>3</v>
      </c>
      <c r="L75" s="5" t="n">
        <v>68093.05</v>
      </c>
    </row>
    <row r="76">
      <c r="A76" t="inlineStr">
        <is>
          <t>LIMA</t>
        </is>
      </c>
      <c r="B76" t="inlineStr">
        <is>
          <t>LIMA</t>
        </is>
      </c>
      <c r="C76" t="inlineStr">
        <is>
          <t>CARABAYLLO</t>
        </is>
      </c>
      <c r="D76" t="inlineStr">
        <is>
          <t>150106</t>
        </is>
      </c>
      <c r="E76" t="inlineStr">
        <is>
          <t>—</t>
        </is>
      </c>
      <c r="F76" s="11" t="n">
        <v>16003.7408</v>
      </c>
      <c r="G76" s="6">
        <f>IF($F$125=0,0,F76/$F$125)</f>
        <v/>
      </c>
      <c r="H76" s="5" t="n">
        <v>17924.18</v>
      </c>
      <c r="I76" t="n">
        <v>5</v>
      </c>
      <c r="J76" t="n">
        <v>3</v>
      </c>
      <c r="L76" s="5" t="n">
        <v>71696.71000000001</v>
      </c>
    </row>
    <row r="77">
      <c r="A77" t="inlineStr">
        <is>
          <t>ICA</t>
        </is>
      </c>
      <c r="B77" t="inlineStr">
        <is>
          <t>NAZCA</t>
        </is>
      </c>
      <c r="C77" t="inlineStr">
        <is>
          <t>MARCONA</t>
        </is>
      </c>
      <c r="D77" t="inlineStr">
        <is>
          <t>110304</t>
        </is>
      </c>
      <c r="E77" t="inlineStr">
        <is>
          <t>—</t>
        </is>
      </c>
      <c r="F77" s="11" t="n">
        <v>14726.4571</v>
      </c>
      <c r="G77" s="6">
        <f>IF($F$125=0,0,F77/$F$125)</f>
        <v/>
      </c>
      <c r="H77" s="5" t="n">
        <v>16493.62</v>
      </c>
      <c r="I77" t="n">
        <v>3</v>
      </c>
      <c r="J77" t="n">
        <v>4</v>
      </c>
      <c r="L77" s="5" t="n">
        <v>57727.68</v>
      </c>
    </row>
    <row r="78">
      <c r="A78" t="inlineStr">
        <is>
          <t>CALLAO</t>
        </is>
      </c>
      <c r="B78" t="inlineStr">
        <is>
          <t>CALLAO</t>
        </is>
      </c>
      <c r="C78" t="inlineStr">
        <is>
          <t>VENTANILLA</t>
        </is>
      </c>
      <c r="D78" t="inlineStr">
        <is>
          <t>070106</t>
        </is>
      </c>
      <c r="E78" t="inlineStr">
        <is>
          <t>—</t>
        </is>
      </c>
      <c r="F78" s="11" t="n">
        <v>13996.8848</v>
      </c>
      <c r="G78" s="6">
        <f>IF($F$125=0,0,F78/$F$125)</f>
        <v/>
      </c>
      <c r="H78" s="5" t="n">
        <v>15676.5</v>
      </c>
      <c r="I78" t="n">
        <v>3</v>
      </c>
      <c r="J78" t="n">
        <v>3</v>
      </c>
      <c r="L78" s="5" t="n">
        <v>47029.5</v>
      </c>
    </row>
    <row r="79">
      <c r="A79" t="inlineStr">
        <is>
          <t>APURIMAC</t>
        </is>
      </c>
      <c r="B79" t="inlineStr">
        <is>
          <t>COTABAMBAS</t>
        </is>
      </c>
      <c r="C79" t="inlineStr">
        <is>
          <t>CHALLHUAHUACHO</t>
        </is>
      </c>
      <c r="D79" t="inlineStr">
        <is>
          <t>030506</t>
        </is>
      </c>
      <c r="E79" t="inlineStr">
        <is>
          <t>—</t>
        </is>
      </c>
      <c r="F79" s="11" t="n">
        <v>12790.7785</v>
      </c>
      <c r="G79" s="6">
        <f>IF($F$125=0,0,F79/$F$125)</f>
        <v/>
      </c>
      <c r="H79" s="5" t="n">
        <v>14325.66</v>
      </c>
      <c r="I79" t="n">
        <v>3</v>
      </c>
      <c r="J79" t="n">
        <v>3</v>
      </c>
      <c r="K79" t="n">
        <v>3</v>
      </c>
      <c r="L79" s="5" t="n">
        <v>42976.99</v>
      </c>
    </row>
    <row r="80">
      <c r="A80" t="inlineStr">
        <is>
          <t>LIMA</t>
        </is>
      </c>
      <c r="B80" t="inlineStr">
        <is>
          <t>HUARAL</t>
        </is>
      </c>
      <c r="C80" t="inlineStr">
        <is>
          <t>CHANCAY</t>
        </is>
      </c>
      <c r="D80" t="inlineStr">
        <is>
          <t>150605</t>
        </is>
      </c>
      <c r="E80" t="inlineStr">
        <is>
          <t>—</t>
        </is>
      </c>
      <c r="F80" s="11" t="n">
        <v>10167.0856</v>
      </c>
      <c r="G80" s="6">
        <f>IF($F$125=0,0,F80/$F$125)</f>
        <v/>
      </c>
      <c r="H80" s="5" t="n">
        <v>11387.13</v>
      </c>
      <c r="I80" t="n">
        <v>3</v>
      </c>
      <c r="J80" t="n">
        <v>4</v>
      </c>
      <c r="L80" s="5" t="n">
        <v>39854.95</v>
      </c>
    </row>
    <row r="81">
      <c r="A81" t="inlineStr">
        <is>
          <t>LIMA</t>
        </is>
      </c>
      <c r="B81" t="inlineStr">
        <is>
          <t>LIMA</t>
        </is>
      </c>
      <c r="C81" t="inlineStr">
        <is>
          <t>LURIGANCHO</t>
        </is>
      </c>
      <c r="D81" t="inlineStr">
        <is>
          <t>150118</t>
        </is>
      </c>
      <c r="E81" t="inlineStr">
        <is>
          <t>Inkafarma Lima Lurigancho</t>
        </is>
      </c>
      <c r="F81" s="11" t="n">
        <v>6873.717</v>
      </c>
      <c r="G81" s="6">
        <f>IF($F$125=0,0,F81/$F$125)</f>
        <v/>
      </c>
      <c r="H81" s="5" t="n">
        <v>7698.56</v>
      </c>
      <c r="I81" t="n">
        <v>5</v>
      </c>
      <c r="J81" t="n">
        <v>4</v>
      </c>
      <c r="L81" s="5" t="n">
        <v>34643.51</v>
      </c>
    </row>
    <row r="82">
      <c r="A82" t="inlineStr">
        <is>
          <t>LA LIBERTAD</t>
        </is>
      </c>
      <c r="B82" t="inlineStr">
        <is>
          <t>PATAZ</t>
        </is>
      </c>
      <c r="C82" t="inlineStr">
        <is>
          <t>PARCOY</t>
        </is>
      </c>
      <c r="D82" t="inlineStr">
        <is>
          <t>130808</t>
        </is>
      </c>
      <c r="E82" t="inlineStr">
        <is>
          <t>—</t>
        </is>
      </c>
      <c r="F82" s="11" t="n">
        <v>1020.7405</v>
      </c>
      <c r="G82" s="6">
        <f>IF($F$125=0,0,F82/$F$125)</f>
        <v/>
      </c>
      <c r="H82" s="5" t="n">
        <v>1143.23</v>
      </c>
      <c r="I82" t="n">
        <v>5</v>
      </c>
      <c r="J82" t="n">
        <v>2</v>
      </c>
      <c r="K82" t="n">
        <v>2</v>
      </c>
      <c r="L82" s="5" t="n">
        <v>3429.69</v>
      </c>
    </row>
    <row r="83">
      <c r="A83" t="inlineStr">
        <is>
          <t>UCAYALI</t>
        </is>
      </c>
      <c r="B83" t="inlineStr">
        <is>
          <t>CORONEL PORTILLO</t>
        </is>
      </c>
      <c r="C83" t="inlineStr">
        <is>
          <t>YARINACOCHA</t>
        </is>
      </c>
      <c r="D83" t="inlineStr">
        <is>
          <t>250105</t>
        </is>
      </c>
      <c r="E83" t="inlineStr">
        <is>
          <t>—</t>
        </is>
      </c>
      <c r="F83" s="11" t="n">
        <v>980.9661</v>
      </c>
      <c r="G83" s="6">
        <f>IF($F$125=0,0,F83/$F$125)</f>
        <v/>
      </c>
      <c r="H83" s="5" t="n">
        <v>1098.68</v>
      </c>
      <c r="I83" t="n">
        <v>1</v>
      </c>
      <c r="J83" t="n">
        <v>5</v>
      </c>
      <c r="K83" t="n">
        <v>2</v>
      </c>
      <c r="L83" s="5" t="n">
        <v>2929.82</v>
      </c>
    </row>
    <row r="84">
      <c r="A84" t="inlineStr">
        <is>
          <t>LIMA</t>
        </is>
      </c>
      <c r="B84" t="inlineStr">
        <is>
          <t>LIMA</t>
        </is>
      </c>
      <c r="C84" t="inlineStr">
        <is>
          <t>VILLA MARIA DEL TRIUNFO</t>
        </is>
      </c>
      <c r="D84" t="inlineStr">
        <is>
          <t>150143</t>
        </is>
      </c>
      <c r="E84" t="inlineStr">
        <is>
          <t>—</t>
        </is>
      </c>
      <c r="F84" s="11" t="n">
        <v>339.6747</v>
      </c>
      <c r="G84" s="6">
        <f>IF($F$125=0,0,F84/$F$125)</f>
        <v/>
      </c>
      <c r="H84" s="5" t="n">
        <v>380.44</v>
      </c>
      <c r="I84" t="n">
        <v>4</v>
      </c>
      <c r="J84" t="n">
        <v>1</v>
      </c>
      <c r="L84" s="5" t="n">
        <v>951.09</v>
      </c>
    </row>
    <row r="85">
      <c r="A85" t="inlineStr">
        <is>
          <t>LIMA</t>
        </is>
      </c>
      <c r="B85" t="inlineStr">
        <is>
          <t>LIMA</t>
        </is>
      </c>
      <c r="C85" t="inlineStr">
        <is>
          <t>LIMA</t>
        </is>
      </c>
      <c r="D85" t="inlineStr">
        <is>
          <t>150101</t>
        </is>
      </c>
      <c r="E85" t="inlineStr">
        <is>
          <t>Inkafarma 2 de Mayo, Inkafarma Elio, Inkafarma Riva Agüero, Inkafarma Uruguay, MiFarma Aviación, MiFarma Huallaga, MiFarma Miguel Iglesias, MiFarma Tacna, MiFarma Unión</t>
        </is>
      </c>
      <c r="F85" s="11" t="n">
        <v>0.07439999999999999</v>
      </c>
      <c r="G85" s="6">
        <f>IF($F$125=0,0,F85/$F$125)</f>
        <v/>
      </c>
      <c r="H85" s="5" t="n">
        <v>3053648.87</v>
      </c>
      <c r="I85" t="n">
        <v>2</v>
      </c>
      <c r="J85" t="n">
        <v>4</v>
      </c>
      <c r="L85" s="5" t="n">
        <v>9160946.619999999</v>
      </c>
    </row>
    <row r="86">
      <c r="A86" t="inlineStr">
        <is>
          <t>LIMA</t>
        </is>
      </c>
      <c r="B86" t="inlineStr">
        <is>
          <t>HUAROCHIRI</t>
        </is>
      </c>
      <c r="C86" t="inlineStr">
        <is>
          <t>SURCO</t>
        </is>
      </c>
      <c r="D86" t="inlineStr">
        <is>
          <t>150732</t>
        </is>
      </c>
      <c r="E86" t="inlineStr">
        <is>
          <t>Inkafarma La Encalada 1415, Inkafarma La Encalada 973, Inkafarma Los Laureles, Inkafarma Surco 3664, Inkafarma Velasco Astete, MiFarma Chacarilla, MiFarma Faustor, MiFarma Primavera, Vivanda Monterrico</t>
        </is>
      </c>
      <c r="F86" s="11" t="n">
        <v>0.07439999999999999</v>
      </c>
      <c r="G86" s="6">
        <f>IF($F$125=0,0,F86/$F$125)</f>
        <v/>
      </c>
      <c r="H86" s="5" t="n">
        <v>3053648.87</v>
      </c>
      <c r="I86" t="n">
        <v>4</v>
      </c>
      <c r="J86" t="n">
        <v>1</v>
      </c>
      <c r="K86" t="n">
        <v>4</v>
      </c>
      <c r="L86" s="5" t="n">
        <v>9160946.619999999</v>
      </c>
    </row>
    <row r="87">
      <c r="A87" t="inlineStr">
        <is>
          <t>LIMA</t>
        </is>
      </c>
      <c r="B87" t="inlineStr">
        <is>
          <t>LIMA</t>
        </is>
      </c>
      <c r="C87" t="inlineStr">
        <is>
          <t>MIRAFLORES</t>
        </is>
      </c>
      <c r="D87" t="inlineStr">
        <is>
          <t>150122</t>
        </is>
      </c>
      <c r="E87" t="inlineStr">
        <is>
          <t>Inkafarma Arequipa, Inkafarma Benavides 1901, Inkafarma Benavides 425, Inkafarma Pardo, Vivanda Benavides, Vivanda Miraflores, Vivanda Pardo</t>
        </is>
      </c>
      <c r="F87" s="11" t="n">
        <v>0.0579</v>
      </c>
      <c r="G87" s="6">
        <f>IF($F$125=0,0,F87/$F$125)</f>
        <v/>
      </c>
      <c r="H87" s="5" t="n">
        <v>2375060.23</v>
      </c>
      <c r="I87" t="n">
        <v>2</v>
      </c>
      <c r="J87" t="n">
        <v>4</v>
      </c>
      <c r="L87" s="5" t="n">
        <v>7125180.7</v>
      </c>
    </row>
    <row r="88">
      <c r="A88" t="inlineStr">
        <is>
          <t>LIMA</t>
        </is>
      </c>
      <c r="B88" t="inlineStr">
        <is>
          <t>LIMA</t>
        </is>
      </c>
      <c r="C88" t="inlineStr">
        <is>
          <t>LA VICTORIA</t>
        </is>
      </c>
      <c r="D88" t="inlineStr">
        <is>
          <t>150115</t>
        </is>
      </c>
      <c r="E88" t="inlineStr">
        <is>
          <t>Inkafarma Bausate y Meza, Inkafarma Canadá, MiFarma Alzamora 147, MiFarma Canadá 903, MiFarma México, MiFarma Víctor Alzamora</t>
        </is>
      </c>
      <c r="F88" s="11" t="n">
        <v>0.0496</v>
      </c>
      <c r="G88" s="6">
        <f>IF($F$125=0,0,F88/$F$125)</f>
        <v/>
      </c>
      <c r="H88" s="5" t="n">
        <v>2035765.92</v>
      </c>
      <c r="I88" t="n">
        <v>1</v>
      </c>
      <c r="J88" t="n">
        <v>3</v>
      </c>
      <c r="L88" s="5" t="n">
        <v>4071531.83</v>
      </c>
    </row>
    <row r="89">
      <c r="A89" t="inlineStr">
        <is>
          <t>LIMA</t>
        </is>
      </c>
      <c r="B89" t="inlineStr">
        <is>
          <t>LIMA</t>
        </is>
      </c>
      <c r="C89" t="inlineStr">
        <is>
          <t>MAGDALENA DEL MAR</t>
        </is>
      </c>
      <c r="D89" t="inlineStr">
        <is>
          <t>150120</t>
        </is>
      </c>
      <c r="E89" t="inlineStr">
        <is>
          <t>Inkafarma Brasil, Inkafarma Castilla, Inkafarma Ejército, Inkafarma Sucre, MiFarma Bolívar, Vivanda Javier Prado</t>
        </is>
      </c>
      <c r="F89" s="11" t="n">
        <v>0.0496</v>
      </c>
      <c r="G89" s="6">
        <f>IF($F$125=0,0,F89/$F$125)</f>
        <v/>
      </c>
      <c r="H89" s="5" t="n">
        <v>2035765.92</v>
      </c>
      <c r="I89" t="n">
        <v>2</v>
      </c>
      <c r="J89" t="n">
        <v>4</v>
      </c>
      <c r="L89" s="5" t="n">
        <v>6107297.75</v>
      </c>
    </row>
    <row r="90">
      <c r="A90" t="inlineStr">
        <is>
          <t>LIMA</t>
        </is>
      </c>
      <c r="B90" t="inlineStr">
        <is>
          <t>LIMA</t>
        </is>
      </c>
      <c r="C90" t="inlineStr">
        <is>
          <t>SAN ISIDRO</t>
        </is>
      </c>
      <c r="D90" t="inlineStr">
        <is>
          <t>150131</t>
        </is>
      </c>
      <c r="E90" t="inlineStr">
        <is>
          <t>Inkafarma Ignacio Merino, Inkafarma Llano Zapata, MiFarma Aramburú, Vivanda Dos de Mayo, Vivanda Libertadores, Vivanda Pezet</t>
        </is>
      </c>
      <c r="F90" s="11" t="n">
        <v>0.0496</v>
      </c>
      <c r="G90" s="6">
        <f>IF($F$125=0,0,F90/$F$125)</f>
        <v/>
      </c>
      <c r="H90" s="5" t="n">
        <v>2035765.92</v>
      </c>
      <c r="I90" t="n">
        <v>1</v>
      </c>
      <c r="J90" t="n">
        <v>4</v>
      </c>
      <c r="L90" s="5" t="n">
        <v>5089414.79</v>
      </c>
    </row>
    <row r="91">
      <c r="A91" t="inlineStr">
        <is>
          <t>LIMA</t>
        </is>
      </c>
      <c r="B91" t="inlineStr">
        <is>
          <t>LIMA</t>
        </is>
      </c>
      <c r="C91" t="inlineStr">
        <is>
          <t>LA MOLINA</t>
        </is>
      </c>
      <c r="D91" t="inlineStr">
        <is>
          <t>150114</t>
        </is>
      </c>
      <c r="E91" t="inlineStr">
        <is>
          <t>Inkafarma Los Analistas, MiFarma Camacho, MiFarma Flora Tristán, MiFarma Huarochirí, MiFarma Salamanca</t>
        </is>
      </c>
      <c r="F91" s="11" t="n">
        <v>0.0413</v>
      </c>
      <c r="G91" s="6">
        <f>IF($F$125=0,0,F91/$F$125)</f>
        <v/>
      </c>
      <c r="H91" s="5" t="n">
        <v>1696471.6</v>
      </c>
      <c r="I91" t="n">
        <v>4</v>
      </c>
      <c r="J91" t="n">
        <v>3</v>
      </c>
      <c r="L91" s="5" t="n">
        <v>5937650.59</v>
      </c>
    </row>
    <row r="92">
      <c r="A92" t="inlineStr">
        <is>
          <t>LIMA</t>
        </is>
      </c>
      <c r="B92" t="inlineStr">
        <is>
          <t>LIMA</t>
        </is>
      </c>
      <c r="C92" t="inlineStr">
        <is>
          <t>CHORRILLOS</t>
        </is>
      </c>
      <c r="D92" t="inlineStr">
        <is>
          <t>150108</t>
        </is>
      </c>
      <c r="E92" t="inlineStr">
        <is>
          <t>Inkafarma Defensores del Morro, Inkafarma Guardia Civil, Inkafarma Paseo de la República, Makro Chorrillos, MiFarma Alameda Sur</t>
        </is>
      </c>
      <c r="F92" s="11" t="n">
        <v>0.0413</v>
      </c>
      <c r="G92" s="6">
        <f>IF($F$125=0,0,F92/$F$125)</f>
        <v/>
      </c>
      <c r="H92" s="5" t="n">
        <v>1696471.6</v>
      </c>
      <c r="I92" t="n">
        <v>2</v>
      </c>
      <c r="J92" t="n">
        <v>4</v>
      </c>
      <c r="L92" s="5" t="n">
        <v>5089414.79</v>
      </c>
    </row>
    <row r="93">
      <c r="A93" t="inlineStr">
        <is>
          <t>LIMA</t>
        </is>
      </c>
      <c r="B93" t="inlineStr">
        <is>
          <t>LIMA</t>
        </is>
      </c>
      <c r="C93" t="inlineStr">
        <is>
          <t>PUENTE PIEDRA</t>
        </is>
      </c>
      <c r="D93" t="inlineStr">
        <is>
          <t>150125</t>
        </is>
      </c>
      <c r="E93" t="inlineStr">
        <is>
          <t>Inkafarma Panamericana Norte, MiFarma Lecaros 149, MiFarma Lecaros 161, MiFarma Universitaria</t>
        </is>
      </c>
      <c r="F93" s="11" t="n">
        <v>0.0331</v>
      </c>
      <c r="G93" s="6">
        <f>IF($F$125=0,0,F93/$F$125)</f>
        <v/>
      </c>
      <c r="H93" s="5" t="n">
        <v>1357177.28</v>
      </c>
      <c r="I93" t="n">
        <v>2</v>
      </c>
      <c r="J93" t="n">
        <v>3</v>
      </c>
      <c r="L93" s="5" t="n">
        <v>3392943.19</v>
      </c>
    </row>
    <row r="94">
      <c r="A94" t="inlineStr">
        <is>
          <t>LIMA</t>
        </is>
      </c>
      <c r="B94" t="inlineStr">
        <is>
          <t>LIMA</t>
        </is>
      </c>
      <c r="C94" t="inlineStr">
        <is>
          <t>SAN BORJA</t>
        </is>
      </c>
      <c r="D94" t="inlineStr">
        <is>
          <t>150130</t>
        </is>
      </c>
      <c r="E94" t="inlineStr">
        <is>
          <t>Inkafarma Angamos, Inkafarma Aviación, Inkafarma San Borja Sur, Inkafarma San Luis</t>
        </is>
      </c>
      <c r="F94" s="11" t="n">
        <v>0.0331</v>
      </c>
      <c r="G94" s="6">
        <f>IF($F$125=0,0,F94/$F$125)</f>
        <v/>
      </c>
      <c r="H94" s="5" t="n">
        <v>1357177.28</v>
      </c>
      <c r="I94" t="n">
        <v>1</v>
      </c>
      <c r="J94" t="n">
        <v>2</v>
      </c>
      <c r="L94" s="5" t="n">
        <v>2035765.92</v>
      </c>
    </row>
    <row r="95">
      <c r="A95" t="inlineStr">
        <is>
          <t>LIMA</t>
        </is>
      </c>
      <c r="B95" t="inlineStr">
        <is>
          <t>LIMA</t>
        </is>
      </c>
      <c r="C95" t="inlineStr">
        <is>
          <t>SAN JUAN DE LURIGANCHO</t>
        </is>
      </c>
      <c r="D95" t="inlineStr">
        <is>
          <t>150132</t>
        </is>
      </c>
      <c r="E95" t="inlineStr">
        <is>
          <t>Inkafarma 13 de Enero, Inkafarma Gran Chimú, Makro San Juan de Lurigancho, MiFarma Vara de Oro</t>
        </is>
      </c>
      <c r="F95" s="11" t="n">
        <v>0.0331</v>
      </c>
      <c r="G95" s="6">
        <f>IF($F$125=0,0,F95/$F$125)</f>
        <v/>
      </c>
      <c r="H95" s="5" t="n">
        <v>1357177.28</v>
      </c>
      <c r="I95" t="n">
        <v>5</v>
      </c>
      <c r="J95" t="n">
        <v>2</v>
      </c>
      <c r="L95" s="5" t="n">
        <v>4750120.47</v>
      </c>
    </row>
    <row r="96">
      <c r="A96" t="inlineStr">
        <is>
          <t>LIMA</t>
        </is>
      </c>
      <c r="B96" t="inlineStr">
        <is>
          <t>LIMA</t>
        </is>
      </c>
      <c r="C96" t="inlineStr">
        <is>
          <t>SURQUILLO</t>
        </is>
      </c>
      <c r="D96" t="inlineStr">
        <is>
          <t>150141</t>
        </is>
      </c>
      <c r="E96" t="inlineStr">
        <is>
          <t>Inkafarma Las Tiendas, Inkafarma Villarán, MiFarma Angamos, MiFarma Las Tiendas</t>
        </is>
      </c>
      <c r="F96" s="11" t="n">
        <v>0.0331</v>
      </c>
      <c r="G96" s="6">
        <f>IF($F$125=0,0,F96/$F$125)</f>
        <v/>
      </c>
      <c r="H96" s="5" t="n">
        <v>1357177.28</v>
      </c>
      <c r="I96" t="n">
        <v>1</v>
      </c>
      <c r="J96" t="n">
        <v>4</v>
      </c>
      <c r="L96" s="5" t="n">
        <v>3392943.19</v>
      </c>
    </row>
    <row r="97">
      <c r="A97" t="inlineStr">
        <is>
          <t>LIMA</t>
        </is>
      </c>
      <c r="B97" t="inlineStr">
        <is>
          <t>LIMA</t>
        </is>
      </c>
      <c r="C97" t="inlineStr">
        <is>
          <t>SAN MIGUEL</t>
        </is>
      </c>
      <c r="D97" t="inlineStr">
        <is>
          <t>150136</t>
        </is>
      </c>
      <c r="E97" t="inlineStr">
        <is>
          <t>Inkafarma La Paz, MiFarma Pando, MiFarma Prol. Lima</t>
        </is>
      </c>
      <c r="F97" s="11" t="n">
        <v>0.0248</v>
      </c>
      <c r="G97" s="6">
        <f>IF($F$125=0,0,F97/$F$125)</f>
        <v/>
      </c>
      <c r="H97" s="5" t="n">
        <v>1017882.96</v>
      </c>
      <c r="I97" t="n">
        <v>1</v>
      </c>
      <c r="J97" t="n">
        <v>4</v>
      </c>
      <c r="L97" s="5" t="n">
        <v>2544707.39</v>
      </c>
    </row>
    <row r="98">
      <c r="A98" t="inlineStr">
        <is>
          <t>LIMA</t>
        </is>
      </c>
      <c r="B98" t="inlineStr">
        <is>
          <t>LIMA</t>
        </is>
      </c>
      <c r="C98" t="inlineStr">
        <is>
          <t>LINCE</t>
        </is>
      </c>
      <c r="D98" t="inlineStr">
        <is>
          <t>150116</t>
        </is>
      </c>
      <c r="E98" t="inlineStr">
        <is>
          <t>Inkafarma Ignacio Merino Lince, MiFarma Risso</t>
        </is>
      </c>
      <c r="F98" s="11" t="n">
        <v>0.0165</v>
      </c>
      <c r="G98" s="6">
        <f>IF($F$125=0,0,F98/$F$125)</f>
        <v/>
      </c>
      <c r="H98" s="5" t="n">
        <v>678588.64</v>
      </c>
      <c r="I98" t="n">
        <v>1</v>
      </c>
      <c r="J98" t="n">
        <v>4</v>
      </c>
      <c r="L98" s="5" t="n">
        <v>1696471.6</v>
      </c>
    </row>
    <row r="99">
      <c r="A99" t="inlineStr">
        <is>
          <t>LIMA</t>
        </is>
      </c>
      <c r="B99" t="inlineStr">
        <is>
          <t>LIMA</t>
        </is>
      </c>
      <c r="C99" t="inlineStr">
        <is>
          <t>VILLA EL SALVADOR</t>
        </is>
      </c>
      <c r="D99" t="inlineStr">
        <is>
          <t>150142</t>
        </is>
      </c>
      <c r="E99" t="inlineStr">
        <is>
          <t>Inkafarma Lima VES, Inkafarma Velasco Alvarado</t>
        </is>
      </c>
      <c r="F99" s="11" t="n">
        <v>0.0165</v>
      </c>
      <c r="G99" s="6">
        <f>IF($F$125=0,0,F99/$F$125)</f>
        <v/>
      </c>
      <c r="H99" s="5" t="n">
        <v>678588.64</v>
      </c>
      <c r="I99" t="n">
        <v>1</v>
      </c>
      <c r="J99" t="n">
        <v>3</v>
      </c>
      <c r="L99" s="5" t="n">
        <v>1357177.28</v>
      </c>
    </row>
    <row r="100">
      <c r="A100" t="inlineStr">
        <is>
          <t>LIMA</t>
        </is>
      </c>
      <c r="B100" t="inlineStr">
        <is>
          <t>LIMA</t>
        </is>
      </c>
      <c r="C100" t="inlineStr">
        <is>
          <t>JESUS MARIA</t>
        </is>
      </c>
      <c r="D100" t="inlineStr">
        <is>
          <t>150113</t>
        </is>
      </c>
      <c r="E100" t="inlineStr">
        <is>
          <t>Inkafarma Domingo Cueto, Inkafarma Salaverry</t>
        </is>
      </c>
      <c r="F100" s="11" t="n">
        <v>0.0165</v>
      </c>
      <c r="G100" s="6">
        <f>IF($F$125=0,0,F100/$F$125)</f>
        <v/>
      </c>
      <c r="H100" s="5" t="n">
        <v>678588.64</v>
      </c>
      <c r="I100" t="n">
        <v>1</v>
      </c>
      <c r="J100" t="n">
        <v>4</v>
      </c>
      <c r="L100" s="5" t="n">
        <v>1696471.6</v>
      </c>
    </row>
    <row r="101">
      <c r="A101" t="inlineStr">
        <is>
          <t>LA LIBERTAD</t>
        </is>
      </c>
      <c r="B101" t="inlineStr">
        <is>
          <t>TRUJILLO</t>
        </is>
      </c>
      <c r="C101" t="inlineStr">
        <is>
          <t>TRUJILLO</t>
        </is>
      </c>
      <c r="D101" t="inlineStr">
        <is>
          <t>130101</t>
        </is>
      </c>
      <c r="E101" t="inlineStr">
        <is>
          <t>Makro Trujillo, Mall Plaza Trujillo</t>
        </is>
      </c>
      <c r="F101" s="11" t="n">
        <v>0.0165</v>
      </c>
      <c r="G101" s="6">
        <f>IF($F$125=0,0,F101/$F$125)</f>
        <v/>
      </c>
      <c r="H101" s="5" t="n">
        <v>678588.64</v>
      </c>
      <c r="I101" t="n">
        <v>1</v>
      </c>
      <c r="J101" t="n">
        <v>5</v>
      </c>
      <c r="L101" s="5" t="n">
        <v>2035765.92</v>
      </c>
    </row>
    <row r="102">
      <c r="A102" t="inlineStr">
        <is>
          <t>CAJAMARCA</t>
        </is>
      </c>
      <c r="B102" t="inlineStr">
        <is>
          <t>CAJAMARCA</t>
        </is>
      </c>
      <c r="C102" t="inlineStr">
        <is>
          <t>CAJAMARCA</t>
        </is>
      </c>
      <c r="D102" t="inlineStr">
        <is>
          <t>060101</t>
        </is>
      </c>
      <c r="E102" t="inlineStr">
        <is>
          <t>Makro Cajamarca, Mall Plaza Cajamarca</t>
        </is>
      </c>
      <c r="F102" s="11" t="n">
        <v>0.0165</v>
      </c>
      <c r="G102" s="6">
        <f>IF($F$125=0,0,F102/$F$125)</f>
        <v/>
      </c>
      <c r="H102" s="5" t="n">
        <v>678588.64</v>
      </c>
      <c r="I102" t="n">
        <v>4</v>
      </c>
      <c r="J102" t="n">
        <v>4</v>
      </c>
      <c r="K102" t="n">
        <v>3</v>
      </c>
      <c r="L102" s="5" t="n">
        <v>2488158.34</v>
      </c>
    </row>
    <row r="103">
      <c r="A103" t="inlineStr">
        <is>
          <t>CALLAO</t>
        </is>
      </c>
      <c r="B103" t="inlineStr">
        <is>
          <t>CALLAO</t>
        </is>
      </c>
      <c r="C103" t="inlineStr">
        <is>
          <t>CALLAO</t>
        </is>
      </c>
      <c r="D103" t="inlineStr">
        <is>
          <t>070101</t>
        </is>
      </c>
      <c r="E103" t="inlineStr">
        <is>
          <t>MiFarma Bocanegra, MiFarma Sáenz Peña</t>
        </is>
      </c>
      <c r="F103" s="11" t="n">
        <v>0.0165</v>
      </c>
      <c r="G103" s="6">
        <f>IF($F$125=0,0,F103/$F$125)</f>
        <v/>
      </c>
      <c r="H103" s="5" t="n">
        <v>678588.64</v>
      </c>
      <c r="I103" t="n">
        <v>1</v>
      </c>
      <c r="J103" t="n">
        <v>5</v>
      </c>
      <c r="L103" s="5" t="n">
        <v>2035765.92</v>
      </c>
    </row>
    <row r="104">
      <c r="A104" t="inlineStr">
        <is>
          <t>LAMBAYEQUE</t>
        </is>
      </c>
      <c r="B104" t="inlineStr">
        <is>
          <t>CHICLAYO</t>
        </is>
      </c>
      <c r="C104" t="inlineStr">
        <is>
          <t>CHICLAYO</t>
        </is>
      </c>
      <c r="D104" t="inlineStr">
        <is>
          <t>140101</t>
        </is>
      </c>
      <c r="E104" t="inlineStr">
        <is>
          <t>Makro Chiclayo, Mall Plaza Chiclayo</t>
        </is>
      </c>
      <c r="F104" s="11" t="n">
        <v>0.0165</v>
      </c>
      <c r="G104" s="6">
        <f>IF($F$125=0,0,F104/$F$125)</f>
        <v/>
      </c>
      <c r="H104" s="5" t="n">
        <v>678588.64</v>
      </c>
      <c r="I104" t="n">
        <v>1</v>
      </c>
      <c r="J104" t="n">
        <v>4</v>
      </c>
      <c r="L104" s="5" t="n">
        <v>1696471.6</v>
      </c>
    </row>
    <row r="105">
      <c r="A105" t="inlineStr">
        <is>
          <t>JUNIN</t>
        </is>
      </c>
      <c r="B105" t="inlineStr">
        <is>
          <t>HUANCAYO</t>
        </is>
      </c>
      <c r="C105" t="inlineStr">
        <is>
          <t>HUANCAYO</t>
        </is>
      </c>
      <c r="D105" t="inlineStr">
        <is>
          <t>120101</t>
        </is>
      </c>
      <c r="E105" t="inlineStr">
        <is>
          <t>Inkafarma Cajamarca, Mall Plaza Huancayo</t>
        </is>
      </c>
      <c r="F105" s="11" t="n">
        <v>0.0165</v>
      </c>
      <c r="G105" s="6">
        <f>IF($F$125=0,0,F105/$F$125)</f>
        <v/>
      </c>
      <c r="H105" s="5" t="n">
        <v>678588.64</v>
      </c>
      <c r="I105" t="n">
        <v>4</v>
      </c>
      <c r="J105" t="n">
        <v>2</v>
      </c>
      <c r="K105" t="n">
        <v>3</v>
      </c>
      <c r="L105" s="5" t="n">
        <v>2035765.92</v>
      </c>
    </row>
    <row r="106">
      <c r="A106" t="inlineStr">
        <is>
          <t>ICA</t>
        </is>
      </c>
      <c r="B106" t="inlineStr">
        <is>
          <t>ICA</t>
        </is>
      </c>
      <c r="C106" t="inlineStr">
        <is>
          <t>ICA</t>
        </is>
      </c>
      <c r="D106" t="inlineStr">
        <is>
          <t>110101</t>
        </is>
      </c>
      <c r="E106" t="inlineStr">
        <is>
          <t>Inkafarma Sol de Ica, Makro Ica</t>
        </is>
      </c>
      <c r="F106" s="11" t="n">
        <v>0.0165</v>
      </c>
      <c r="G106" s="6">
        <f>IF($F$125=0,0,F106/$F$125)</f>
        <v/>
      </c>
      <c r="H106" s="5" t="n">
        <v>678588.64</v>
      </c>
      <c r="I106" t="n">
        <v>1</v>
      </c>
      <c r="J106" t="n">
        <v>5</v>
      </c>
      <c r="L106" s="5" t="n">
        <v>2035765.92</v>
      </c>
    </row>
    <row r="107">
      <c r="A107" t="inlineStr">
        <is>
          <t>LIMA</t>
        </is>
      </c>
      <c r="B107" t="inlineStr">
        <is>
          <t>LIMA</t>
        </is>
      </c>
      <c r="C107" t="inlineStr">
        <is>
          <t>COMAS</t>
        </is>
      </c>
      <c r="D107" t="inlineStr">
        <is>
          <t>150110</t>
        </is>
      </c>
      <c r="E107" t="inlineStr">
        <is>
          <t>Makro Comas, Mall Plaza Comas</t>
        </is>
      </c>
      <c r="F107" s="11" t="n">
        <v>0.0165</v>
      </c>
      <c r="G107" s="6">
        <f>IF($F$125=0,0,F107/$F$125)</f>
        <v/>
      </c>
      <c r="H107" s="5" t="n">
        <v>678588.64</v>
      </c>
      <c r="I107" t="n">
        <v>3</v>
      </c>
      <c r="J107" t="n">
        <v>3</v>
      </c>
      <c r="L107" s="5" t="n">
        <v>2035765.92</v>
      </c>
    </row>
    <row r="108">
      <c r="A108" t="inlineStr">
        <is>
          <t>LIMA</t>
        </is>
      </c>
      <c r="B108" t="inlineStr">
        <is>
          <t>LIMA</t>
        </is>
      </c>
      <c r="C108" t="inlineStr">
        <is>
          <t>INDEPENDENCIA</t>
        </is>
      </c>
      <c r="D108" t="inlineStr">
        <is>
          <t>150112</t>
        </is>
      </c>
      <c r="E108" t="inlineStr">
        <is>
          <t>Makro Independencia</t>
        </is>
      </c>
      <c r="F108" s="11" t="n">
        <v>0.0083</v>
      </c>
      <c r="G108" s="6">
        <f>IF($F$125=0,0,F108/$F$125)</f>
        <v/>
      </c>
      <c r="H108" s="5" t="n">
        <v>339294.32</v>
      </c>
      <c r="I108" t="n">
        <v>5</v>
      </c>
      <c r="J108" t="n">
        <v>2</v>
      </c>
      <c r="L108" s="5" t="n">
        <v>1187530.12</v>
      </c>
    </row>
    <row r="109">
      <c r="A109" t="inlineStr">
        <is>
          <t>LIMA</t>
        </is>
      </c>
      <c r="B109" t="inlineStr">
        <is>
          <t>LIMA</t>
        </is>
      </c>
      <c r="C109" t="inlineStr">
        <is>
          <t>SAN LUIS</t>
        </is>
      </c>
      <c r="D109" t="inlineStr">
        <is>
          <t>150134</t>
        </is>
      </c>
      <c r="E109" t="inlineStr">
        <is>
          <t>MiFarma Canadá 3201</t>
        </is>
      </c>
      <c r="F109" s="11" t="n">
        <v>0.0083</v>
      </c>
      <c r="G109" s="6">
        <f>IF($F$125=0,0,F109/$F$125)</f>
        <v/>
      </c>
      <c r="H109" s="5" t="n">
        <v>339294.32</v>
      </c>
      <c r="I109" t="n">
        <v>1</v>
      </c>
      <c r="J109" t="n">
        <v>3</v>
      </c>
      <c r="L109" s="5" t="n">
        <v>678588.64</v>
      </c>
    </row>
    <row r="110">
      <c r="A110" t="inlineStr">
        <is>
          <t>PIURA</t>
        </is>
      </c>
      <c r="B110" t="inlineStr">
        <is>
          <t>PIURA</t>
        </is>
      </c>
      <c r="C110" t="inlineStr">
        <is>
          <t>PIURA</t>
        </is>
      </c>
      <c r="D110" t="inlineStr">
        <is>
          <t>200101</t>
        </is>
      </c>
      <c r="E110" t="inlineStr">
        <is>
          <t>Mall Plaza Piura</t>
        </is>
      </c>
      <c r="F110" s="11" t="n">
        <v>0.0083</v>
      </c>
      <c r="G110" s="6">
        <f>IF($F$125=0,0,F110/$F$125)</f>
        <v/>
      </c>
      <c r="H110" s="5" t="n">
        <v>339294.32</v>
      </c>
      <c r="I110" t="n">
        <v>1</v>
      </c>
      <c r="J110" t="n">
        <v>5</v>
      </c>
      <c r="L110" s="5" t="n">
        <v>1017882.96</v>
      </c>
    </row>
    <row r="111">
      <c r="A111" t="inlineStr">
        <is>
          <t>AREQUIPA</t>
        </is>
      </c>
      <c r="B111" t="inlineStr">
        <is>
          <t>AREQUIPA</t>
        </is>
      </c>
      <c r="C111" t="inlineStr">
        <is>
          <t>CAYMA</t>
        </is>
      </c>
      <c r="D111" t="inlineStr">
        <is>
          <t>040103</t>
        </is>
      </c>
      <c r="E111" t="inlineStr">
        <is>
          <t>Mall Plaza Cayma</t>
        </is>
      </c>
      <c r="F111" s="11" t="n">
        <v>0.0083</v>
      </c>
      <c r="G111" s="6">
        <f>IF($F$125=0,0,F111/$F$125)</f>
        <v/>
      </c>
      <c r="H111" s="5" t="n">
        <v>339294.32</v>
      </c>
      <c r="I111" t="n">
        <v>4</v>
      </c>
      <c r="J111" t="n">
        <v>3</v>
      </c>
      <c r="K111" t="n">
        <v>4</v>
      </c>
      <c r="L111" s="5" t="n">
        <v>1244079.17</v>
      </c>
    </row>
    <row r="112">
      <c r="A112" t="inlineStr">
        <is>
          <t>LIMA</t>
        </is>
      </c>
      <c r="B112" t="inlineStr">
        <is>
          <t>HUARAL</t>
        </is>
      </c>
      <c r="C112" t="inlineStr">
        <is>
          <t>HUARAL</t>
        </is>
      </c>
      <c r="D112" t="inlineStr">
        <is>
          <t>150601</t>
        </is>
      </c>
      <c r="E112" t="inlineStr">
        <is>
          <t>Inkafarma Calle Derecha</t>
        </is>
      </c>
      <c r="F112" s="11" t="n">
        <v>0.0083</v>
      </c>
      <c r="G112" s="6">
        <f>IF($F$125=0,0,F112/$F$125)</f>
        <v/>
      </c>
      <c r="H112" s="5" t="n">
        <v>339294.32</v>
      </c>
      <c r="I112" t="n">
        <v>4</v>
      </c>
      <c r="J112" t="n">
        <v>4</v>
      </c>
      <c r="L112" s="5" t="n">
        <v>1357177.28</v>
      </c>
    </row>
    <row r="113">
      <c r="A113" t="inlineStr">
        <is>
          <t>LIMA</t>
        </is>
      </c>
      <c r="B113" t="inlineStr">
        <is>
          <t>LIMA</t>
        </is>
      </c>
      <c r="C113" t="inlineStr">
        <is>
          <t>SANTA ANITA</t>
        </is>
      </c>
      <c r="D113" t="inlineStr">
        <is>
          <t>150137</t>
        </is>
      </c>
      <c r="E113" t="inlineStr">
        <is>
          <t>Makro Santa Anita</t>
        </is>
      </c>
      <c r="F113" s="11" t="n">
        <v>0.0083</v>
      </c>
      <c r="G113" s="6">
        <f>IF($F$125=0,0,F113/$F$125)</f>
        <v/>
      </c>
      <c r="H113" s="5" t="n">
        <v>339294.32</v>
      </c>
      <c r="I113" t="n">
        <v>2</v>
      </c>
      <c r="J113" t="n">
        <v>4</v>
      </c>
      <c r="L113" s="5" t="n">
        <v>1017882.96</v>
      </c>
    </row>
    <row r="114">
      <c r="A114" t="inlineStr">
        <is>
          <t>CALLAO</t>
        </is>
      </c>
      <c r="B114" t="inlineStr">
        <is>
          <t>CALLAO</t>
        </is>
      </c>
      <c r="C114" t="inlineStr">
        <is>
          <t>BELLAVISTA</t>
        </is>
      </c>
      <c r="D114" t="inlineStr">
        <is>
          <t>070102</t>
        </is>
      </c>
      <c r="E114" t="inlineStr">
        <is>
          <t>Inkafarma Guardia Chalaca</t>
        </is>
      </c>
      <c r="F114" s="11" t="n">
        <v>0.0083</v>
      </c>
      <c r="G114" s="6">
        <f>IF($F$125=0,0,F114/$F$125)</f>
        <v/>
      </c>
      <c r="H114" s="5" t="n">
        <v>339294.32</v>
      </c>
      <c r="I114" t="n">
        <v>1</v>
      </c>
      <c r="J114" t="n">
        <v>4</v>
      </c>
      <c r="L114" s="5" t="n">
        <v>848235.8</v>
      </c>
    </row>
    <row r="115">
      <c r="A115" t="inlineStr">
        <is>
          <t>HUANUCO</t>
        </is>
      </c>
      <c r="B115" t="inlineStr">
        <is>
          <t>HUANUCO</t>
        </is>
      </c>
      <c r="C115" t="inlineStr">
        <is>
          <t>HUANUCO</t>
        </is>
      </c>
      <c r="D115" t="inlineStr">
        <is>
          <t>100101</t>
        </is>
      </c>
      <c r="E115" t="inlineStr">
        <is>
          <t>Mall Plaza Huánuco</t>
        </is>
      </c>
      <c r="F115" s="11" t="n">
        <v>0.0083</v>
      </c>
      <c r="G115" s="6">
        <f>IF($F$125=0,0,F115/$F$125)</f>
        <v/>
      </c>
      <c r="H115" s="5" t="n">
        <v>339294.32</v>
      </c>
      <c r="I115" t="n">
        <v>4</v>
      </c>
      <c r="J115" t="n">
        <v>3</v>
      </c>
      <c r="K115" t="n">
        <v>4</v>
      </c>
      <c r="L115" s="5" t="n">
        <v>1244079.17</v>
      </c>
    </row>
    <row r="116">
      <c r="A116" t="inlineStr">
        <is>
          <t>LIMA</t>
        </is>
      </c>
      <c r="B116" t="inlineStr">
        <is>
          <t>LIMA</t>
        </is>
      </c>
      <c r="C116" t="inlineStr">
        <is>
          <t>SAN JUAN DE MIRAFLORES</t>
        </is>
      </c>
      <c r="D116" t="inlineStr">
        <is>
          <t>150133</t>
        </is>
      </c>
      <c r="E116" t="inlineStr">
        <is>
          <t>Makro San Juan de Miraflores</t>
        </is>
      </c>
      <c r="F116" s="11" t="n">
        <v>0.0083</v>
      </c>
      <c r="G116" s="6">
        <f>IF($F$125=0,0,F116/$F$125)</f>
        <v/>
      </c>
      <c r="H116" s="5" t="n">
        <v>339294.32</v>
      </c>
      <c r="I116" t="n">
        <v>2</v>
      </c>
      <c r="J116" t="n">
        <v>3</v>
      </c>
      <c r="L116" s="5" t="n">
        <v>848235.8</v>
      </c>
    </row>
    <row r="117">
      <c r="A117" t="inlineStr">
        <is>
          <t>CUSCO</t>
        </is>
      </c>
      <c r="B117" t="inlineStr">
        <is>
          <t>CUSCO</t>
        </is>
      </c>
      <c r="C117" t="inlineStr">
        <is>
          <t>CUSCO</t>
        </is>
      </c>
      <c r="D117" t="inlineStr">
        <is>
          <t>080101</t>
        </is>
      </c>
      <c r="E117" t="inlineStr">
        <is>
          <t>Makro Cusco</t>
        </is>
      </c>
      <c r="F117" s="11" t="n">
        <v>0.0083</v>
      </c>
      <c r="G117" s="6">
        <f>IF($F$125=0,0,F117/$F$125)</f>
        <v/>
      </c>
      <c r="H117" s="5" t="n">
        <v>339294.32</v>
      </c>
      <c r="I117" t="n">
        <v>4</v>
      </c>
      <c r="J117" t="n">
        <v>2</v>
      </c>
      <c r="K117" t="n">
        <v>3</v>
      </c>
      <c r="L117" s="5" t="n">
        <v>1017882.96</v>
      </c>
    </row>
    <row r="118">
      <c r="A118" t="inlineStr">
        <is>
          <t>JUNIN</t>
        </is>
      </c>
      <c r="B118" t="inlineStr">
        <is>
          <t>TARMA</t>
        </is>
      </c>
      <c r="C118" t="inlineStr">
        <is>
          <t>TARMA</t>
        </is>
      </c>
      <c r="D118" t="inlineStr">
        <is>
          <t>120701</t>
        </is>
      </c>
      <c r="E118" t="inlineStr">
        <is>
          <t>Inkafarma Ayacucho</t>
        </is>
      </c>
      <c r="F118" s="11" t="n">
        <v>0.0083</v>
      </c>
      <c r="G118" s="6">
        <f>IF($F$125=0,0,F118/$F$125)</f>
        <v/>
      </c>
      <c r="H118" s="5" t="n">
        <v>339294.32</v>
      </c>
      <c r="I118" t="n">
        <v>5</v>
      </c>
      <c r="J118" t="n">
        <v>2</v>
      </c>
      <c r="K118" t="n">
        <v>5</v>
      </c>
      <c r="L118" s="5" t="n">
        <v>1357177.28</v>
      </c>
    </row>
    <row r="119">
      <c r="A119" t="inlineStr">
        <is>
          <t>LIMA</t>
        </is>
      </c>
      <c r="B119" t="inlineStr">
        <is>
          <t>LIMA</t>
        </is>
      </c>
      <c r="C119" t="inlineStr">
        <is>
          <t>LURIN</t>
        </is>
      </c>
      <c r="D119" t="inlineStr">
        <is>
          <t>150119</t>
        </is>
      </c>
      <c r="E119" t="inlineStr">
        <is>
          <t>MiFarma Tarapacá</t>
        </is>
      </c>
      <c r="F119" s="11" t="n">
        <v>0.0083</v>
      </c>
      <c r="G119" s="6">
        <f>IF($F$125=0,0,F119/$F$125)</f>
        <v/>
      </c>
      <c r="H119" s="5" t="n">
        <v>339294.32</v>
      </c>
      <c r="I119" t="n">
        <v>3</v>
      </c>
      <c r="J119" t="n">
        <v>3</v>
      </c>
      <c r="L119" s="5" t="n">
        <v>1017882.96</v>
      </c>
    </row>
    <row r="120">
      <c r="A120" t="inlineStr">
        <is>
          <t>LIMA</t>
        </is>
      </c>
      <c r="B120" t="inlineStr">
        <is>
          <t>LIMA</t>
        </is>
      </c>
      <c r="C120" t="inlineStr">
        <is>
          <t>LURIGANCHO</t>
        </is>
      </c>
      <c r="D120" t="inlineStr">
        <is>
          <t>150118</t>
        </is>
      </c>
      <c r="E120" t="inlineStr">
        <is>
          <t>Inkafarma Lima Lurigancho</t>
        </is>
      </c>
      <c r="F120" s="11" t="n">
        <v>0.0083</v>
      </c>
      <c r="G120" s="6">
        <f>IF($F$125=0,0,F120/$F$125)</f>
        <v/>
      </c>
      <c r="H120" s="5" t="n">
        <v>339294.32</v>
      </c>
      <c r="I120" t="n">
        <v>5</v>
      </c>
      <c r="J120" t="n">
        <v>4</v>
      </c>
      <c r="L120" s="5" t="n">
        <v>1526824.44</v>
      </c>
    </row>
    <row r="121">
      <c r="A121" t="inlineStr">
        <is>
          <t>LIMA</t>
        </is>
      </c>
      <c r="B121" t="inlineStr">
        <is>
          <t>LIMA</t>
        </is>
      </c>
      <c r="C121" t="inlineStr">
        <is>
          <t>LOS OLIVOS</t>
        </is>
      </c>
      <c r="D121" t="inlineStr">
        <is>
          <t>150117</t>
        </is>
      </c>
      <c r="E121" t="inlineStr">
        <is>
          <t>MiFarma Próceres</t>
        </is>
      </c>
      <c r="F121" s="11" t="n">
        <v>0.0083</v>
      </c>
      <c r="G121" s="6">
        <f>IF($F$125=0,0,F121/$F$125)</f>
        <v/>
      </c>
      <c r="H121" s="5" t="n">
        <v>339294.32</v>
      </c>
      <c r="I121" t="n">
        <v>1</v>
      </c>
      <c r="J121" t="n">
        <v>4</v>
      </c>
      <c r="L121" s="5" t="n">
        <v>848235.8</v>
      </c>
    </row>
    <row r="122">
      <c r="A122" t="inlineStr">
        <is>
          <t>LIMA</t>
        </is>
      </c>
      <c r="B122" t="inlineStr">
        <is>
          <t>LIMA</t>
        </is>
      </c>
      <c r="C122" t="inlineStr">
        <is>
          <t>ATE</t>
        </is>
      </c>
      <c r="D122" t="inlineStr">
        <is>
          <t>150103</t>
        </is>
      </c>
      <c r="E122" t="inlineStr">
        <is>
          <t>MiFarma Javier Prado Ate</t>
        </is>
      </c>
      <c r="F122" s="11" t="n">
        <v>0.0083</v>
      </c>
      <c r="G122" s="6">
        <f>IF($F$125=0,0,F122/$F$125)</f>
        <v/>
      </c>
      <c r="H122" s="5" t="n">
        <v>339294.32</v>
      </c>
      <c r="I122" t="n">
        <v>4</v>
      </c>
      <c r="J122" t="n">
        <v>3</v>
      </c>
      <c r="L122" s="5" t="n">
        <v>1187530.12</v>
      </c>
    </row>
    <row r="123">
      <c r="A123" t="inlineStr">
        <is>
          <t>LIMA</t>
        </is>
      </c>
      <c r="B123" t="inlineStr">
        <is>
          <t>LIMA</t>
        </is>
      </c>
      <c r="C123" t="inlineStr">
        <is>
          <t>BARRANCO</t>
        </is>
      </c>
      <c r="D123" t="inlineStr">
        <is>
          <t>150104</t>
        </is>
      </c>
      <c r="E123" t="inlineStr">
        <is>
          <t>MiFarma Prol. San Martín</t>
        </is>
      </c>
      <c r="F123" s="11" t="n">
        <v>0.0083</v>
      </c>
      <c r="G123" s="6">
        <f>IF($F$125=0,0,F123/$F$125)</f>
        <v/>
      </c>
      <c r="H123" s="5" t="n">
        <v>339294.32</v>
      </c>
      <c r="I123" t="n">
        <v>1</v>
      </c>
      <c r="J123" t="n">
        <v>4</v>
      </c>
      <c r="L123" s="5" t="n">
        <v>848235.8</v>
      </c>
    </row>
    <row r="124">
      <c r="A124" t="inlineStr">
        <is>
          <t>SAN MARTIN</t>
        </is>
      </c>
      <c r="B124" t="inlineStr">
        <is>
          <t>MOYOBAMBA</t>
        </is>
      </c>
      <c r="C124" t="inlineStr">
        <is>
          <t>MOYOBAMBA</t>
        </is>
      </c>
      <c r="D124" t="inlineStr">
        <is>
          <t>220101</t>
        </is>
      </c>
      <c r="E124" t="inlineStr">
        <is>
          <t>Makro Moyobamba</t>
        </is>
      </c>
      <c r="F124" s="11" t="n">
        <v>0.0083</v>
      </c>
      <c r="G124" s="6">
        <f>IF($F$125=0,0,F124/$F$125)</f>
        <v/>
      </c>
      <c r="H124" s="5" t="n">
        <v>339294.32</v>
      </c>
      <c r="I124" t="n">
        <v>4</v>
      </c>
      <c r="J124" t="n">
        <v>4</v>
      </c>
      <c r="K124" t="n">
        <v>2</v>
      </c>
      <c r="L124" s="5" t="n">
        <v>1130981.06</v>
      </c>
    </row>
    <row r="125">
      <c r="A125" s="12" t="inlineStr">
        <is>
          <t>TOTAL</t>
        </is>
      </c>
      <c r="B125" t="inlineStr"/>
      <c r="C125" t="inlineStr"/>
      <c r="D125" t="inlineStr"/>
      <c r="E125" t="inlineStr"/>
      <c r="F125" s="13">
        <f>SUM(F5:F124)</f>
        <v/>
      </c>
      <c r="G125" t="inlineStr"/>
      <c r="H125" s="14">
        <f>SUM(H5:H124)</f>
        <v/>
      </c>
      <c r="I125" t="inlineStr"/>
      <c r="J125" t="inlineStr"/>
      <c r="K125" t="inlineStr"/>
      <c r="L125" s="14">
        <f>SUM(L5:L124)</f>
        <v/>
      </c>
    </row>
    <row r="128">
      <c r="A128" s="15" t="inlineStr">
        <is>
          <t>Detalle por colocaciones (Miles S/)</t>
        </is>
      </c>
    </row>
    <row r="129">
      <c r="A129" s="3" t="inlineStr">
        <is>
          <t>Distrito</t>
        </is>
      </c>
      <c r="B129" s="3" t="inlineStr">
        <is>
          <t>Ubigeo</t>
        </is>
      </c>
      <c r="C129" s="3" t="inlineStr">
        <is>
          <t>Mineral</t>
        </is>
      </c>
      <c r="D129" s="3" t="inlineStr">
        <is>
          <t>Unidad</t>
        </is>
      </c>
      <c r="E129" s="3" t="inlineStr">
        <is>
          <t>Cantidad (orig.)</t>
        </is>
      </c>
      <c r="F129" s="3" t="inlineStr">
        <is>
          <t>TMF equiv.</t>
        </is>
      </c>
    </row>
    <row r="130">
      <c r="A130" t="inlineStr">
        <is>
          <t>LIMA</t>
        </is>
      </c>
      <c r="B130" t="inlineStr">
        <is>
          <t>150101</t>
        </is>
      </c>
      <c r="C130" t="inlineStr">
        <is>
          <t>Pharma</t>
        </is>
      </c>
      <c r="D130" t="inlineStr">
        <is>
          <t>holding</t>
        </is>
      </c>
      <c r="E130" s="11" t="n">
        <v>0.07439999999999999</v>
      </c>
      <c r="F130" s="16" t="n">
        <v>0.07438</v>
      </c>
    </row>
    <row r="131">
      <c r="A131" t="inlineStr">
        <is>
          <t>SAN ISIDRO</t>
        </is>
      </c>
      <c r="B131" t="inlineStr">
        <is>
          <t>150131</t>
        </is>
      </c>
      <c r="C131" t="inlineStr">
        <is>
          <t>Food Retail</t>
        </is>
      </c>
      <c r="D131" t="inlineStr">
        <is>
          <t>holding</t>
        </is>
      </c>
      <c r="E131" s="11" t="n">
        <v>0.0248</v>
      </c>
      <c r="F131" s="16" t="n">
        <v>0.024793</v>
      </c>
    </row>
    <row r="132">
      <c r="A132" t="inlineStr">
        <is>
          <t>SAN ISIDRO</t>
        </is>
      </c>
      <c r="B132" t="inlineStr">
        <is>
          <t>150131</t>
        </is>
      </c>
      <c r="C132" t="inlineStr">
        <is>
          <t>Pharma</t>
        </is>
      </c>
      <c r="D132" t="inlineStr">
        <is>
          <t>holding</t>
        </is>
      </c>
      <c r="E132" s="11" t="n">
        <v>0.0248</v>
      </c>
      <c r="F132" s="16" t="n">
        <v>0.024793</v>
      </c>
    </row>
    <row r="133">
      <c r="A133" t="inlineStr">
        <is>
          <t>LA VICTORIA</t>
        </is>
      </c>
      <c r="B133" t="inlineStr">
        <is>
          <t>150115</t>
        </is>
      </c>
      <c r="C133" t="inlineStr">
        <is>
          <t>Pharma</t>
        </is>
      </c>
      <c r="D133" t="inlineStr">
        <is>
          <t>holding</t>
        </is>
      </c>
      <c r="E133" s="11" t="n">
        <v>0.0496</v>
      </c>
      <c r="F133" s="16" t="n">
        <v>0.049587</v>
      </c>
    </row>
    <row r="134">
      <c r="A134" t="inlineStr">
        <is>
          <t>TRUJILLO</t>
        </is>
      </c>
      <c r="B134" t="inlineStr">
        <is>
          <t>130101</t>
        </is>
      </c>
      <c r="C134" t="inlineStr">
        <is>
          <t>Food Retail</t>
        </is>
      </c>
      <c r="D134" t="inlineStr">
        <is>
          <t>holding</t>
        </is>
      </c>
      <c r="E134" s="11" t="n">
        <v>0.0083</v>
      </c>
      <c r="F134" s="16" t="n">
        <v>0.008264000000000001</v>
      </c>
    </row>
    <row r="135">
      <c r="A135" t="inlineStr">
        <is>
          <t>TRUJILLO</t>
        </is>
      </c>
      <c r="B135" t="inlineStr">
        <is>
          <t>130101</t>
        </is>
      </c>
      <c r="C135" t="inlineStr">
        <is>
          <t>Shopping Malls</t>
        </is>
      </c>
      <c r="D135" t="inlineStr">
        <is>
          <t>holding</t>
        </is>
      </c>
      <c r="E135" s="11" t="n">
        <v>0.0083</v>
      </c>
      <c r="F135" s="16" t="n">
        <v>0.008264000000000001</v>
      </c>
    </row>
    <row r="136">
      <c r="A136" t="inlineStr">
        <is>
          <t>SANTIAGO DE SURCO</t>
        </is>
      </c>
      <c r="B136" t="inlineStr">
        <is>
          <t>150140</t>
        </is>
      </c>
      <c r="C136" t="inlineStr">
        <is>
          <t>Créditos</t>
        </is>
      </c>
      <c r="D136" t="inlineStr">
        <is>
          <t>Miles S/</t>
        </is>
      </c>
      <c r="E136" s="11" t="n">
        <v>705927.7001</v>
      </c>
      <c r="F136" s="16" t="n">
        <v>705927.70008</v>
      </c>
    </row>
    <row r="137">
      <c r="A137" t="inlineStr">
        <is>
          <t>AREQUIPA</t>
        </is>
      </c>
      <c r="B137" t="inlineStr">
        <is>
          <t>040101</t>
        </is>
      </c>
      <c r="C137" t="inlineStr">
        <is>
          <t>Créditos</t>
        </is>
      </c>
      <c r="D137" t="inlineStr">
        <is>
          <t>Miles S/</t>
        </is>
      </c>
      <c r="E137" s="11" t="n">
        <v>637519.2946</v>
      </c>
      <c r="F137" s="16" t="n">
        <v>637519.2946500001</v>
      </c>
    </row>
    <row r="138">
      <c r="A138" t="inlineStr">
        <is>
          <t>CHICLAYO</t>
        </is>
      </c>
      <c r="B138" t="inlineStr">
        <is>
          <t>140101</t>
        </is>
      </c>
      <c r="C138" t="inlineStr">
        <is>
          <t>Food Retail</t>
        </is>
      </c>
      <c r="D138" t="inlineStr">
        <is>
          <t>holding</t>
        </is>
      </c>
      <c r="E138" s="11" t="n">
        <v>0.0083</v>
      </c>
      <c r="F138" s="16" t="n">
        <v>0.008264000000000001</v>
      </c>
    </row>
    <row r="139">
      <c r="A139" t="inlineStr">
        <is>
          <t>CHICLAYO</t>
        </is>
      </c>
      <c r="B139" t="inlineStr">
        <is>
          <t>140101</t>
        </is>
      </c>
      <c r="C139" t="inlineStr">
        <is>
          <t>Shopping Malls</t>
        </is>
      </c>
      <c r="D139" t="inlineStr">
        <is>
          <t>holding</t>
        </is>
      </c>
      <c r="E139" s="11" t="n">
        <v>0.0083</v>
      </c>
      <c r="F139" s="16" t="n">
        <v>0.008264000000000001</v>
      </c>
    </row>
    <row r="140">
      <c r="A140" t="inlineStr">
        <is>
          <t>PIURA</t>
        </is>
      </c>
      <c r="B140" t="inlineStr">
        <is>
          <t>200101</t>
        </is>
      </c>
      <c r="C140" t="inlineStr">
        <is>
          <t>Shopping Malls</t>
        </is>
      </c>
      <c r="D140" t="inlineStr">
        <is>
          <t>holding</t>
        </is>
      </c>
      <c r="E140" s="11" t="n">
        <v>0.0083</v>
      </c>
      <c r="F140" s="16" t="n">
        <v>0.008264000000000001</v>
      </c>
    </row>
    <row r="141">
      <c r="A141" t="inlineStr">
        <is>
          <t>MIRAFLORES</t>
        </is>
      </c>
      <c r="B141" t="inlineStr">
        <is>
          <t>150122</t>
        </is>
      </c>
      <c r="C141" t="inlineStr">
        <is>
          <t>Food Retail</t>
        </is>
      </c>
      <c r="D141" t="inlineStr">
        <is>
          <t>holding</t>
        </is>
      </c>
      <c r="E141" s="11" t="n">
        <v>0.0248</v>
      </c>
      <c r="F141" s="16" t="n">
        <v>0.024793</v>
      </c>
    </row>
    <row r="142">
      <c r="A142" t="inlineStr">
        <is>
          <t>MIRAFLORES</t>
        </is>
      </c>
      <c r="B142" t="inlineStr">
        <is>
          <t>150122</t>
        </is>
      </c>
      <c r="C142" t="inlineStr">
        <is>
          <t>Pharma</t>
        </is>
      </c>
      <c r="D142" t="inlineStr">
        <is>
          <t>holding</t>
        </is>
      </c>
      <c r="E142" s="11" t="n">
        <v>0.0331</v>
      </c>
      <c r="F142" s="16" t="n">
        <v>0.033058</v>
      </c>
    </row>
    <row r="143">
      <c r="A143" t="inlineStr">
        <is>
          <t>ICA</t>
        </is>
      </c>
      <c r="B143" t="inlineStr">
        <is>
          <t>110101</t>
        </is>
      </c>
      <c r="C143" t="inlineStr">
        <is>
          <t>Food Retail</t>
        </is>
      </c>
      <c r="D143" t="inlineStr">
        <is>
          <t>holding</t>
        </is>
      </c>
      <c r="E143" s="11" t="n">
        <v>0.0083</v>
      </c>
      <c r="F143" s="16" t="n">
        <v>0.008264000000000001</v>
      </c>
    </row>
    <row r="144">
      <c r="A144" t="inlineStr">
        <is>
          <t>ICA</t>
        </is>
      </c>
      <c r="B144" t="inlineStr">
        <is>
          <t>110101</t>
        </is>
      </c>
      <c r="C144" t="inlineStr">
        <is>
          <t>Pharma</t>
        </is>
      </c>
      <c r="D144" t="inlineStr">
        <is>
          <t>holding</t>
        </is>
      </c>
      <c r="E144" s="11" t="n">
        <v>0.0083</v>
      </c>
      <c r="F144" s="16" t="n">
        <v>0.008264000000000001</v>
      </c>
    </row>
    <row r="145">
      <c r="A145" t="inlineStr">
        <is>
          <t>HUANCAYO</t>
        </is>
      </c>
      <c r="B145" t="inlineStr">
        <is>
          <t>120101</t>
        </is>
      </c>
      <c r="C145" t="inlineStr">
        <is>
          <t>Pharma</t>
        </is>
      </c>
      <c r="D145" t="inlineStr">
        <is>
          <t>holding</t>
        </is>
      </c>
      <c r="E145" s="11" t="n">
        <v>0.0083</v>
      </c>
      <c r="F145" s="16" t="n">
        <v>0.008264000000000001</v>
      </c>
    </row>
    <row r="146">
      <c r="A146" t="inlineStr">
        <is>
          <t>HUANCAYO</t>
        </is>
      </c>
      <c r="B146" t="inlineStr">
        <is>
          <t>120101</t>
        </is>
      </c>
      <c r="C146" t="inlineStr">
        <is>
          <t>Shopping Malls</t>
        </is>
      </c>
      <c r="D146" t="inlineStr">
        <is>
          <t>holding</t>
        </is>
      </c>
      <c r="E146" s="11" t="n">
        <v>0.0083</v>
      </c>
      <c r="F146" s="16" t="n">
        <v>0.008264000000000001</v>
      </c>
    </row>
    <row r="147">
      <c r="A147" t="inlineStr">
        <is>
          <t>SAN BORJA</t>
        </is>
      </c>
      <c r="B147" t="inlineStr">
        <is>
          <t>150130</t>
        </is>
      </c>
      <c r="C147" t="inlineStr">
        <is>
          <t>Pharma</t>
        </is>
      </c>
      <c r="D147" t="inlineStr">
        <is>
          <t>holding</t>
        </is>
      </c>
      <c r="E147" s="11" t="n">
        <v>0.0331</v>
      </c>
      <c r="F147" s="16" t="n">
        <v>0.033058</v>
      </c>
    </row>
    <row r="148">
      <c r="A148" t="inlineStr">
        <is>
          <t>CUSCO</t>
        </is>
      </c>
      <c r="B148" t="inlineStr">
        <is>
          <t>080101</t>
        </is>
      </c>
      <c r="C148" t="inlineStr">
        <is>
          <t>Food Retail</t>
        </is>
      </c>
      <c r="D148" t="inlineStr">
        <is>
          <t>holding</t>
        </is>
      </c>
      <c r="E148" s="11" t="n">
        <v>0.0083</v>
      </c>
      <c r="F148" s="16" t="n">
        <v>0.008264000000000001</v>
      </c>
    </row>
    <row r="149">
      <c r="A149" t="inlineStr">
        <is>
          <t>JAEN</t>
        </is>
      </c>
      <c r="B149" t="inlineStr">
        <is>
          <t>060801</t>
        </is>
      </c>
      <c r="C149" t="inlineStr">
        <is>
          <t>Créditos</t>
        </is>
      </c>
      <c r="D149" t="inlineStr">
        <is>
          <t>Miles S/</t>
        </is>
      </c>
      <c r="E149" s="11" t="n">
        <v>287256.4805</v>
      </c>
      <c r="F149" s="16" t="n">
        <v>287256.48052</v>
      </c>
    </row>
    <row r="150">
      <c r="A150" t="inlineStr">
        <is>
          <t>CAJAMARCA</t>
        </is>
      </c>
      <c r="B150" t="inlineStr">
        <is>
          <t>060101</t>
        </is>
      </c>
      <c r="C150" t="inlineStr">
        <is>
          <t>Food Retail</t>
        </is>
      </c>
      <c r="D150" t="inlineStr">
        <is>
          <t>holding</t>
        </is>
      </c>
      <c r="E150" s="11" t="n">
        <v>0.0083</v>
      </c>
      <c r="F150" s="16" t="n">
        <v>0.008264000000000001</v>
      </c>
    </row>
    <row r="151">
      <c r="A151" t="inlineStr">
        <is>
          <t>CAJAMARCA</t>
        </is>
      </c>
      <c r="B151" t="inlineStr">
        <is>
          <t>060101</t>
        </is>
      </c>
      <c r="C151" t="inlineStr">
        <is>
          <t>Shopping Malls</t>
        </is>
      </c>
      <c r="D151" t="inlineStr">
        <is>
          <t>holding</t>
        </is>
      </c>
      <c r="E151" s="11" t="n">
        <v>0.0083</v>
      </c>
      <c r="F151" s="16" t="n">
        <v>0.008264000000000001</v>
      </c>
    </row>
    <row r="152">
      <c r="A152" t="inlineStr">
        <is>
          <t>IQUITOS</t>
        </is>
      </c>
      <c r="B152" t="inlineStr">
        <is>
          <t>160101</t>
        </is>
      </c>
      <c r="C152" t="inlineStr">
        <is>
          <t>Créditos</t>
        </is>
      </c>
      <c r="D152" t="inlineStr">
        <is>
          <t>Miles S/</t>
        </is>
      </c>
      <c r="E152" s="11" t="n">
        <v>265417.6659</v>
      </c>
      <c r="F152" s="16" t="n">
        <v>265417.66594</v>
      </c>
    </row>
    <row r="153">
      <c r="A153" t="inlineStr">
        <is>
          <t>CHIMBOTE</t>
        </is>
      </c>
      <c r="B153" t="inlineStr">
        <is>
          <t>021801</t>
        </is>
      </c>
      <c r="C153" t="inlineStr">
        <is>
          <t>Créditos</t>
        </is>
      </c>
      <c r="D153" t="inlineStr">
        <is>
          <t>Miles S/</t>
        </is>
      </c>
      <c r="E153" s="11" t="n">
        <v>255104.7509</v>
      </c>
      <c r="F153" s="16" t="n">
        <v>255104.75094</v>
      </c>
    </row>
    <row r="154">
      <c r="A154" t="inlineStr">
        <is>
          <t>TARAPOTO</t>
        </is>
      </c>
      <c r="B154" t="inlineStr">
        <is>
          <t>220901</t>
        </is>
      </c>
      <c r="C154" t="inlineStr">
        <is>
          <t>Créditos</t>
        </is>
      </c>
      <c r="D154" t="inlineStr">
        <is>
          <t>Miles S/</t>
        </is>
      </c>
      <c r="E154" s="11" t="n">
        <v>239590.9401</v>
      </c>
      <c r="F154" s="16" t="n">
        <v>239590.94014</v>
      </c>
    </row>
    <row r="155">
      <c r="A155" t="inlineStr">
        <is>
          <t>CHINCHA ALTA</t>
        </is>
      </c>
      <c r="B155" t="inlineStr">
        <is>
          <t>110201</t>
        </is>
      </c>
      <c r="C155" t="inlineStr">
        <is>
          <t>Créditos</t>
        </is>
      </c>
      <c r="D155" t="inlineStr">
        <is>
          <t>Miles S/</t>
        </is>
      </c>
      <c r="E155" s="11" t="n">
        <v>222378.0303</v>
      </c>
      <c r="F155" s="16" t="n">
        <v>222378.0303</v>
      </c>
    </row>
    <row r="156">
      <c r="A156" t="inlineStr">
        <is>
          <t>AYACUCHO</t>
        </is>
      </c>
      <c r="B156" t="inlineStr">
        <is>
          <t>050101</t>
        </is>
      </c>
      <c r="C156" t="inlineStr">
        <is>
          <t>Créditos</t>
        </is>
      </c>
      <c r="D156" t="inlineStr">
        <is>
          <t>Miles S/</t>
        </is>
      </c>
      <c r="E156" s="11" t="n">
        <v>219388.8248</v>
      </c>
      <c r="F156" s="16" t="n">
        <v>219388.82479</v>
      </c>
    </row>
    <row r="157">
      <c r="A157" t="inlineStr">
        <is>
          <t>TACNA</t>
        </is>
      </c>
      <c r="B157" t="inlineStr">
        <is>
          <t>230101</t>
        </is>
      </c>
      <c r="C157" t="inlineStr">
        <is>
          <t>Créditos</t>
        </is>
      </c>
      <c r="D157" t="inlineStr">
        <is>
          <t>Miles S/</t>
        </is>
      </c>
      <c r="E157" s="11" t="n">
        <v>213414.9748</v>
      </c>
      <c r="F157" s="16" t="n">
        <v>213414.9748</v>
      </c>
    </row>
    <row r="158">
      <c r="A158" t="inlineStr">
        <is>
          <t>SANTA ANITA</t>
        </is>
      </c>
      <c r="B158" t="inlineStr">
        <is>
          <t>150137</t>
        </is>
      </c>
      <c r="C158" t="inlineStr">
        <is>
          <t>Food Retail</t>
        </is>
      </c>
      <c r="D158" t="inlineStr">
        <is>
          <t>holding</t>
        </is>
      </c>
      <c r="E158" s="11" t="n">
        <v>0.0083</v>
      </c>
      <c r="F158" s="16" t="n">
        <v>0.008264000000000001</v>
      </c>
    </row>
    <row r="159">
      <c r="A159" t="inlineStr">
        <is>
          <t>HUARAZ</t>
        </is>
      </c>
      <c r="B159" t="inlineStr">
        <is>
          <t>020101</t>
        </is>
      </c>
      <c r="C159" t="inlineStr">
        <is>
          <t>Créditos</t>
        </is>
      </c>
      <c r="D159" t="inlineStr">
        <is>
          <t>Miles S/</t>
        </is>
      </c>
      <c r="E159" s="11" t="n">
        <v>208193.107</v>
      </c>
      <c r="F159" s="16" t="n">
        <v>208193.10698</v>
      </c>
    </row>
    <row r="160">
      <c r="A160" t="inlineStr">
        <is>
          <t>JULIACA</t>
        </is>
      </c>
      <c r="B160" t="inlineStr">
        <is>
          <t>211101</t>
        </is>
      </c>
      <c r="C160" t="inlineStr">
        <is>
          <t>Créditos</t>
        </is>
      </c>
      <c r="D160" t="inlineStr">
        <is>
          <t>Miles S/</t>
        </is>
      </c>
      <c r="E160" s="11" t="n">
        <v>196283.3693</v>
      </c>
      <c r="F160" s="16" t="n">
        <v>196283.36926</v>
      </c>
    </row>
    <row r="161">
      <c r="A161" t="inlineStr">
        <is>
          <t>HUANUCO</t>
        </is>
      </c>
      <c r="B161" t="inlineStr">
        <is>
          <t>100101</t>
        </is>
      </c>
      <c r="C161" t="inlineStr">
        <is>
          <t>Shopping Malls</t>
        </is>
      </c>
      <c r="D161" t="inlineStr">
        <is>
          <t>holding</t>
        </is>
      </c>
      <c r="E161" s="11" t="n">
        <v>0.0083</v>
      </c>
      <c r="F161" s="16" t="n">
        <v>0.008264000000000001</v>
      </c>
    </row>
    <row r="162">
      <c r="A162" t="inlineStr">
        <is>
          <t>LOS OLIVOS</t>
        </is>
      </c>
      <c r="B162" t="inlineStr">
        <is>
          <t>150117</t>
        </is>
      </c>
      <c r="C162" t="inlineStr">
        <is>
          <t>Pharma</t>
        </is>
      </c>
      <c r="D162" t="inlineStr">
        <is>
          <t>holding</t>
        </is>
      </c>
      <c r="E162" s="11" t="n">
        <v>0.0083</v>
      </c>
      <c r="F162" s="16" t="n">
        <v>0.008264000000000001</v>
      </c>
    </row>
    <row r="163">
      <c r="A163" t="inlineStr">
        <is>
          <t>EL TAMBO</t>
        </is>
      </c>
      <c r="B163" t="inlineStr">
        <is>
          <t>120114</t>
        </is>
      </c>
      <c r="C163" t="inlineStr">
        <is>
          <t>Créditos</t>
        </is>
      </c>
      <c r="D163" t="inlineStr">
        <is>
          <t>Miles S/</t>
        </is>
      </c>
      <c r="E163" s="11" t="n">
        <v>175485.9232</v>
      </c>
      <c r="F163" s="16" t="n">
        <v>175485.92325</v>
      </c>
    </row>
    <row r="164">
      <c r="A164" t="inlineStr">
        <is>
          <t>JESUS MARIA</t>
        </is>
      </c>
      <c r="B164" t="inlineStr">
        <is>
          <t>150113</t>
        </is>
      </c>
      <c r="C164" t="inlineStr">
        <is>
          <t>Pharma</t>
        </is>
      </c>
      <c r="D164" t="inlineStr">
        <is>
          <t>holding</t>
        </is>
      </c>
      <c r="E164" s="11" t="n">
        <v>0.0165</v>
      </c>
      <c r="F164" s="16" t="n">
        <v>0.016529</v>
      </c>
    </row>
    <row r="165">
      <c r="A165" t="inlineStr">
        <is>
          <t>CAYMA</t>
        </is>
      </c>
      <c r="B165" t="inlineStr">
        <is>
          <t>040103</t>
        </is>
      </c>
      <c r="C165" t="inlineStr">
        <is>
          <t>Shopping Malls</t>
        </is>
      </c>
      <c r="D165" t="inlineStr">
        <is>
          <t>holding</t>
        </is>
      </c>
      <c r="E165" s="11" t="n">
        <v>0.0083</v>
      </c>
      <c r="F165" s="16" t="n">
        <v>0.008264000000000001</v>
      </c>
    </row>
    <row r="166">
      <c r="A166" t="inlineStr">
        <is>
          <t>BELLAVISTA</t>
        </is>
      </c>
      <c r="B166" t="inlineStr">
        <is>
          <t>070102</t>
        </is>
      </c>
      <c r="C166" t="inlineStr">
        <is>
          <t>Pharma</t>
        </is>
      </c>
      <c r="D166" t="inlineStr">
        <is>
          <t>holding</t>
        </is>
      </c>
      <c r="E166" s="11" t="n">
        <v>0.0083</v>
      </c>
      <c r="F166" s="16" t="n">
        <v>0.008264000000000001</v>
      </c>
    </row>
    <row r="167">
      <c r="A167" t="inlineStr">
        <is>
          <t>SAN JUAN DE LURIGANCHO</t>
        </is>
      </c>
      <c r="B167" t="inlineStr">
        <is>
          <t>150132</t>
        </is>
      </c>
      <c r="C167" t="inlineStr">
        <is>
          <t>Food Retail</t>
        </is>
      </c>
      <c r="D167" t="inlineStr">
        <is>
          <t>holding</t>
        </is>
      </c>
      <c r="E167" s="11" t="n">
        <v>0.0083</v>
      </c>
      <c r="F167" s="16" t="n">
        <v>0.008264000000000001</v>
      </c>
    </row>
    <row r="168">
      <c r="A168" t="inlineStr">
        <is>
          <t>SAN JUAN DE LURIGANCHO</t>
        </is>
      </c>
      <c r="B168" t="inlineStr">
        <is>
          <t>150132</t>
        </is>
      </c>
      <c r="C168" t="inlineStr">
        <is>
          <t>Pharma</t>
        </is>
      </c>
      <c r="D168" t="inlineStr">
        <is>
          <t>holding</t>
        </is>
      </c>
      <c r="E168" s="11" t="n">
        <v>0.0248</v>
      </c>
      <c r="F168" s="16" t="n">
        <v>0.024793</v>
      </c>
    </row>
    <row r="169">
      <c r="A169" t="inlineStr">
        <is>
          <t>YANAHUARA</t>
        </is>
      </c>
      <c r="B169" t="inlineStr">
        <is>
          <t>040126</t>
        </is>
      </c>
      <c r="C169" t="inlineStr">
        <is>
          <t>Créditos</t>
        </is>
      </c>
      <c r="D169" t="inlineStr">
        <is>
          <t>Miles S/</t>
        </is>
      </c>
      <c r="E169" s="11" t="n">
        <v>149473.5188</v>
      </c>
      <c r="F169" s="16" t="n">
        <v>149473.51876</v>
      </c>
    </row>
    <row r="170">
      <c r="A170" t="inlineStr">
        <is>
          <t>CALLERIA</t>
        </is>
      </c>
      <c r="B170" t="inlineStr">
        <is>
          <t>250101</t>
        </is>
      </c>
      <c r="C170" t="inlineStr">
        <is>
          <t>Créditos</t>
        </is>
      </c>
      <c r="D170" t="inlineStr">
        <is>
          <t>Miles S/</t>
        </is>
      </c>
      <c r="E170" s="11" t="n">
        <v>139233.2887</v>
      </c>
      <c r="F170" s="16" t="n">
        <v>139233.28873</v>
      </c>
    </row>
    <row r="171">
      <c r="A171" t="inlineStr">
        <is>
          <t>SAN JUAN DE MIRAFLORES</t>
        </is>
      </c>
      <c r="B171" t="inlineStr">
        <is>
          <t>150133</t>
        </is>
      </c>
      <c r="C171" t="inlineStr">
        <is>
          <t>Food Retail</t>
        </is>
      </c>
      <c r="D171" t="inlineStr">
        <is>
          <t>holding</t>
        </is>
      </c>
      <c r="E171" s="11" t="n">
        <v>0.0083</v>
      </c>
      <c r="F171" s="16" t="n">
        <v>0.008264000000000001</v>
      </c>
    </row>
    <row r="172">
      <c r="A172" t="inlineStr">
        <is>
          <t>CHORRILLOS</t>
        </is>
      </c>
      <c r="B172" t="inlineStr">
        <is>
          <t>150108</t>
        </is>
      </c>
      <c r="C172" t="inlineStr">
        <is>
          <t>Food Retail</t>
        </is>
      </c>
      <c r="D172" t="inlineStr">
        <is>
          <t>holding</t>
        </is>
      </c>
      <c r="E172" s="11" t="n">
        <v>0.0083</v>
      </c>
      <c r="F172" s="16" t="n">
        <v>0.008264000000000001</v>
      </c>
    </row>
    <row r="173">
      <c r="A173" t="inlineStr">
        <is>
          <t>CHORRILLOS</t>
        </is>
      </c>
      <c r="B173" t="inlineStr">
        <is>
          <t>150108</t>
        </is>
      </c>
      <c r="C173" t="inlineStr">
        <is>
          <t>Pharma</t>
        </is>
      </c>
      <c r="D173" t="inlineStr">
        <is>
          <t>holding</t>
        </is>
      </c>
      <c r="E173" s="11" t="n">
        <v>0.0331</v>
      </c>
      <c r="F173" s="16" t="n">
        <v>0.033058</v>
      </c>
    </row>
    <row r="174">
      <c r="A174" t="inlineStr">
        <is>
          <t>INDEPENDENCIA</t>
        </is>
      </c>
      <c r="B174" t="inlineStr">
        <is>
          <t>150112</t>
        </is>
      </c>
      <c r="C174" t="inlineStr">
        <is>
          <t>Food Retail</t>
        </is>
      </c>
      <c r="D174" t="inlineStr">
        <is>
          <t>holding</t>
        </is>
      </c>
      <c r="E174" s="11" t="n">
        <v>0.0083</v>
      </c>
      <c r="F174" s="16" t="n">
        <v>0.008264000000000001</v>
      </c>
    </row>
    <row r="175">
      <c r="A175" t="inlineStr">
        <is>
          <t>CALLAO</t>
        </is>
      </c>
      <c r="B175" t="inlineStr">
        <is>
          <t>070101</t>
        </is>
      </c>
      <c r="C175" t="inlineStr">
        <is>
          <t>Pharma</t>
        </is>
      </c>
      <c r="D175" t="inlineStr">
        <is>
          <t>holding</t>
        </is>
      </c>
      <c r="E175" s="11" t="n">
        <v>0.0165</v>
      </c>
      <c r="F175" s="16" t="n">
        <v>0.016529</v>
      </c>
    </row>
    <row r="176">
      <c r="A176" t="inlineStr">
        <is>
          <t>LA MOLINA</t>
        </is>
      </c>
      <c r="B176" t="inlineStr">
        <is>
          <t>150114</t>
        </is>
      </c>
      <c r="C176" t="inlineStr">
        <is>
          <t>Pharma</t>
        </is>
      </c>
      <c r="D176" t="inlineStr">
        <is>
          <t>holding</t>
        </is>
      </c>
      <c r="E176" s="11" t="n">
        <v>0.0413</v>
      </c>
      <c r="F176" s="16" t="n">
        <v>0.041322</v>
      </c>
    </row>
    <row r="177">
      <c r="A177" t="inlineStr">
        <is>
          <t>HUACHO</t>
        </is>
      </c>
      <c r="B177" t="inlineStr">
        <is>
          <t>150801</t>
        </is>
      </c>
      <c r="C177" t="inlineStr">
        <is>
          <t>Créditos</t>
        </is>
      </c>
      <c r="D177" t="inlineStr">
        <is>
          <t>Miles S/</t>
        </is>
      </c>
      <c r="E177" s="11" t="n">
        <v>99444.6136</v>
      </c>
      <c r="F177" s="16" t="n">
        <v>99444.61365</v>
      </c>
    </row>
    <row r="178">
      <c r="A178" t="inlineStr">
        <is>
          <t>PUNO</t>
        </is>
      </c>
      <c r="B178" t="inlineStr">
        <is>
          <t>210101</t>
        </is>
      </c>
      <c r="C178" t="inlineStr">
        <is>
          <t>Créditos</t>
        </is>
      </c>
      <c r="D178" t="inlineStr">
        <is>
          <t>Miles S/</t>
        </is>
      </c>
      <c r="E178" s="11" t="n">
        <v>96744.9016</v>
      </c>
      <c r="F178" s="16" t="n">
        <v>96744.90158999999</v>
      </c>
    </row>
    <row r="179">
      <c r="A179" t="inlineStr">
        <is>
          <t>SAN MARTIN DE PORRES</t>
        </is>
      </c>
      <c r="B179" t="inlineStr">
        <is>
          <t>150135</t>
        </is>
      </c>
      <c r="C179" t="inlineStr">
        <is>
          <t>Créditos</t>
        </is>
      </c>
      <c r="D179" t="inlineStr">
        <is>
          <t>Miles S/</t>
        </is>
      </c>
      <c r="E179" s="11" t="n">
        <v>94629.3054</v>
      </c>
      <c r="F179" s="16" t="n">
        <v>94629.30544</v>
      </c>
    </row>
    <row r="180">
      <c r="A180" t="inlineStr">
        <is>
          <t>PAUCARPATA</t>
        </is>
      </c>
      <c r="B180" t="inlineStr">
        <is>
          <t>040112</t>
        </is>
      </c>
      <c r="C180" t="inlineStr">
        <is>
          <t>Créditos</t>
        </is>
      </c>
      <c r="D180" t="inlineStr">
        <is>
          <t>Miles S/</t>
        </is>
      </c>
      <c r="E180" s="11" t="n">
        <v>83449.56299999999</v>
      </c>
      <c r="F180" s="16" t="n">
        <v>83449.56297</v>
      </c>
    </row>
    <row r="181">
      <c r="A181" t="inlineStr">
        <is>
          <t>SULLANA</t>
        </is>
      </c>
      <c r="B181" t="inlineStr">
        <is>
          <t>200601</t>
        </is>
      </c>
      <c r="C181" t="inlineStr">
        <is>
          <t>Créditos</t>
        </is>
      </c>
      <c r="D181" t="inlineStr">
        <is>
          <t>Miles S/</t>
        </is>
      </c>
      <c r="E181" s="11" t="n">
        <v>82754.4412</v>
      </c>
      <c r="F181" s="16" t="n">
        <v>82754.44117999999</v>
      </c>
    </row>
    <row r="182">
      <c r="A182" t="inlineStr">
        <is>
          <t>ABANCAY</t>
        </is>
      </c>
      <c r="B182" t="inlineStr">
        <is>
          <t>030101</t>
        </is>
      </c>
      <c r="C182" t="inlineStr">
        <is>
          <t>Créditos</t>
        </is>
      </c>
      <c r="D182" t="inlineStr">
        <is>
          <t>Miles S/</t>
        </is>
      </c>
      <c r="E182" s="11" t="n">
        <v>74959.8602</v>
      </c>
      <c r="F182" s="16" t="n">
        <v>74959.86016</v>
      </c>
    </row>
    <row r="183">
      <c r="A183" t="inlineStr">
        <is>
          <t>BREÑA</t>
        </is>
      </c>
      <c r="B183" t="inlineStr">
        <is>
          <t>150105</t>
        </is>
      </c>
      <c r="C183" t="inlineStr">
        <is>
          <t>Créditos</t>
        </is>
      </c>
      <c r="D183" t="inlineStr">
        <is>
          <t>Miles S/</t>
        </is>
      </c>
      <c r="E183" s="11" t="n">
        <v>74835.9277</v>
      </c>
      <c r="F183" s="16" t="n">
        <v>74835.92772000001</v>
      </c>
    </row>
    <row r="184">
      <c r="A184" t="inlineStr">
        <is>
          <t>TAMBOPATA</t>
        </is>
      </c>
      <c r="B184" t="inlineStr">
        <is>
          <t>170101</t>
        </is>
      </c>
      <c r="C184" t="inlineStr">
        <is>
          <t>Créditos</t>
        </is>
      </c>
      <c r="D184" t="inlineStr">
        <is>
          <t>Miles S/</t>
        </is>
      </c>
      <c r="E184" s="11" t="n">
        <v>71075.2812</v>
      </c>
      <c r="F184" s="16" t="n">
        <v>71075.28125</v>
      </c>
    </row>
    <row r="185">
      <c r="A185" t="inlineStr">
        <is>
          <t>LINCE</t>
        </is>
      </c>
      <c r="B185" t="inlineStr">
        <is>
          <t>150116</t>
        </is>
      </c>
      <c r="C185" t="inlineStr">
        <is>
          <t>Pharma</t>
        </is>
      </c>
      <c r="D185" t="inlineStr">
        <is>
          <t>holding</t>
        </is>
      </c>
      <c r="E185" s="11" t="n">
        <v>0.0165</v>
      </c>
      <c r="F185" s="16" t="n">
        <v>0.016529</v>
      </c>
    </row>
    <row r="186">
      <c r="A186" t="inlineStr">
        <is>
          <t>TUMBES</t>
        </is>
      </c>
      <c r="B186" t="inlineStr">
        <is>
          <t>240101</t>
        </is>
      </c>
      <c r="C186" t="inlineStr">
        <is>
          <t>Créditos</t>
        </is>
      </c>
      <c r="D186" t="inlineStr">
        <is>
          <t>Miles S/</t>
        </is>
      </c>
      <c r="E186" s="11" t="n">
        <v>63380.2978</v>
      </c>
      <c r="F186" s="16" t="n">
        <v>63380.29776</v>
      </c>
    </row>
    <row r="187">
      <c r="A187" t="inlineStr">
        <is>
          <t>MAGDALENA VIEJA</t>
        </is>
      </c>
      <c r="B187" t="inlineStr">
        <is>
          <t>150121</t>
        </is>
      </c>
      <c r="C187" t="inlineStr">
        <is>
          <t>Créditos</t>
        </is>
      </c>
      <c r="D187" t="inlineStr">
        <is>
          <t>Miles S/</t>
        </is>
      </c>
      <c r="E187" s="11" t="n">
        <v>61416.1928</v>
      </c>
      <c r="F187" s="16" t="n">
        <v>61416.19275</v>
      </c>
    </row>
    <row r="188">
      <c r="A188" t="inlineStr">
        <is>
          <t>ATE</t>
        </is>
      </c>
      <c r="B188" t="inlineStr">
        <is>
          <t>150103</t>
        </is>
      </c>
      <c r="C188" t="inlineStr">
        <is>
          <t>Pharma</t>
        </is>
      </c>
      <c r="D188" t="inlineStr">
        <is>
          <t>holding</t>
        </is>
      </c>
      <c r="E188" s="11" t="n">
        <v>0.0083</v>
      </c>
      <c r="F188" s="16" t="n">
        <v>0.008264000000000001</v>
      </c>
    </row>
    <row r="189">
      <c r="A189" t="inlineStr">
        <is>
          <t>PISCO</t>
        </is>
      </c>
      <c r="B189" t="inlineStr">
        <is>
          <t>110501</t>
        </is>
      </c>
      <c r="C189" t="inlineStr">
        <is>
          <t>Créditos</t>
        </is>
      </c>
      <c r="D189" t="inlineStr">
        <is>
          <t>Miles S/</t>
        </is>
      </c>
      <c r="E189" s="11" t="n">
        <v>59363.8795</v>
      </c>
      <c r="F189" s="16" t="n">
        <v>59363.87955</v>
      </c>
    </row>
    <row r="190">
      <c r="A190" t="inlineStr">
        <is>
          <t>MOQUEGUA</t>
        </is>
      </c>
      <c r="B190" t="inlineStr">
        <is>
          <t>180101</t>
        </is>
      </c>
      <c r="C190" t="inlineStr">
        <is>
          <t>Créditos</t>
        </is>
      </c>
      <c r="D190" t="inlineStr">
        <is>
          <t>Miles S/</t>
        </is>
      </c>
      <c r="E190" s="11" t="n">
        <v>57048.3772</v>
      </c>
      <c r="F190" s="16" t="n">
        <v>57048.37715</v>
      </c>
    </row>
    <row r="191">
      <c r="A191" t="inlineStr">
        <is>
          <t>SAN VICENTE DE CAÑETE</t>
        </is>
      </c>
      <c r="B191" t="inlineStr">
        <is>
          <t>150501</t>
        </is>
      </c>
      <c r="C191" t="inlineStr">
        <is>
          <t>Créditos</t>
        </is>
      </c>
      <c r="D191" t="inlineStr">
        <is>
          <t>Miles S/</t>
        </is>
      </c>
      <c r="E191" s="11" t="n">
        <v>51283.9942</v>
      </c>
      <c r="F191" s="16" t="n">
        <v>51283.99421</v>
      </c>
    </row>
    <row r="192">
      <c r="A192" t="inlineStr">
        <is>
          <t>BARRANCO</t>
        </is>
      </c>
      <c r="B192" t="inlineStr">
        <is>
          <t>150104</t>
        </is>
      </c>
      <c r="C192" t="inlineStr">
        <is>
          <t>Pharma</t>
        </is>
      </c>
      <c r="D192" t="inlineStr">
        <is>
          <t>holding</t>
        </is>
      </c>
      <c r="E192" s="11" t="n">
        <v>0.0083</v>
      </c>
      <c r="F192" s="16" t="n">
        <v>0.008264000000000001</v>
      </c>
    </row>
    <row r="193">
      <c r="A193" t="inlineStr">
        <is>
          <t>CHANCHAMAYO</t>
        </is>
      </c>
      <c r="B193" t="inlineStr">
        <is>
          <t>120301</t>
        </is>
      </c>
      <c r="C193" t="inlineStr">
        <is>
          <t>Créditos</t>
        </is>
      </c>
      <c r="D193" t="inlineStr">
        <is>
          <t>Miles S/</t>
        </is>
      </c>
      <c r="E193" s="11" t="n">
        <v>43978.8228</v>
      </c>
      <c r="F193" s="16" t="n">
        <v>43978.82281</v>
      </c>
    </row>
    <row r="194">
      <c r="A194" t="inlineStr">
        <is>
          <t>VILLA EL SALVADOR</t>
        </is>
      </c>
      <c r="B194" t="inlineStr">
        <is>
          <t>150142</t>
        </is>
      </c>
      <c r="C194" t="inlineStr">
        <is>
          <t>Pharma</t>
        </is>
      </c>
      <c r="D194" t="inlineStr">
        <is>
          <t>holding</t>
        </is>
      </c>
      <c r="E194" s="11" t="n">
        <v>0.0165</v>
      </c>
      <c r="F194" s="16" t="n">
        <v>0.016529</v>
      </c>
    </row>
    <row r="195">
      <c r="A195" t="inlineStr">
        <is>
          <t>NAZCA</t>
        </is>
      </c>
      <c r="B195" t="inlineStr">
        <is>
          <t>110301</t>
        </is>
      </c>
      <c r="C195" t="inlineStr">
        <is>
          <t>Créditos</t>
        </is>
      </c>
      <c r="D195" t="inlineStr">
        <is>
          <t>Miles S/</t>
        </is>
      </c>
      <c r="E195" s="11" t="n">
        <v>38411.4783</v>
      </c>
      <c r="F195" s="16" t="n">
        <v>38411.47835</v>
      </c>
    </row>
    <row r="196">
      <c r="A196" t="inlineStr">
        <is>
          <t>HUARAL</t>
        </is>
      </c>
      <c r="B196" t="inlineStr">
        <is>
          <t>150601</t>
        </is>
      </c>
      <c r="C196" t="inlineStr">
        <is>
          <t>Pharma</t>
        </is>
      </c>
      <c r="D196" t="inlineStr">
        <is>
          <t>holding</t>
        </is>
      </c>
      <c r="E196" s="11" t="n">
        <v>0.0083</v>
      </c>
      <c r="F196" s="16" t="n">
        <v>0.008264000000000001</v>
      </c>
    </row>
    <row r="197">
      <c r="A197" t="inlineStr">
        <is>
          <t>PARIÑAS</t>
        </is>
      </c>
      <c r="B197" t="inlineStr">
        <is>
          <t>200701</t>
        </is>
      </c>
      <c r="C197" t="inlineStr">
        <is>
          <t>Créditos</t>
        </is>
      </c>
      <c r="D197" t="inlineStr">
        <is>
          <t>Miles S/</t>
        </is>
      </c>
      <c r="E197" s="11" t="n">
        <v>35572.2974</v>
      </c>
      <c r="F197" s="16" t="n">
        <v>35572.29739</v>
      </c>
    </row>
    <row r="198">
      <c r="A198" t="inlineStr">
        <is>
          <t>COMAS</t>
        </is>
      </c>
      <c r="B198" t="inlineStr">
        <is>
          <t>150110</t>
        </is>
      </c>
      <c r="C198" t="inlineStr">
        <is>
          <t>Food Retail</t>
        </is>
      </c>
      <c r="D198" t="inlineStr">
        <is>
          <t>holding</t>
        </is>
      </c>
      <c r="E198" s="11" t="n">
        <v>0.0083</v>
      </c>
      <c r="F198" s="16" t="n">
        <v>0.008264000000000001</v>
      </c>
    </row>
    <row r="199">
      <c r="A199" t="inlineStr">
        <is>
          <t>COMAS</t>
        </is>
      </c>
      <c r="B199" t="inlineStr">
        <is>
          <t>150110</t>
        </is>
      </c>
      <c r="C199" t="inlineStr">
        <is>
          <t>Shopping Malls</t>
        </is>
      </c>
      <c r="D199" t="inlineStr">
        <is>
          <t>holding</t>
        </is>
      </c>
      <c r="E199" s="11" t="n">
        <v>0.0083</v>
      </c>
      <c r="F199" s="16" t="n">
        <v>0.008264000000000001</v>
      </c>
    </row>
    <row r="200">
      <c r="A200" t="inlineStr">
        <is>
          <t>MAGDALENA DEL MAR</t>
        </is>
      </c>
      <c r="B200" t="inlineStr">
        <is>
          <t>150120</t>
        </is>
      </c>
      <c r="C200" t="inlineStr">
        <is>
          <t>Food Retail</t>
        </is>
      </c>
      <c r="D200" t="inlineStr">
        <is>
          <t>holding</t>
        </is>
      </c>
      <c r="E200" s="11" t="n">
        <v>0.0083</v>
      </c>
      <c r="F200" s="16" t="n">
        <v>0.008264000000000001</v>
      </c>
    </row>
    <row r="201">
      <c r="A201" t="inlineStr">
        <is>
          <t>MAGDALENA DEL MAR</t>
        </is>
      </c>
      <c r="B201" t="inlineStr">
        <is>
          <t>150120</t>
        </is>
      </c>
      <c r="C201" t="inlineStr">
        <is>
          <t>Pharma</t>
        </is>
      </c>
      <c r="D201" t="inlineStr">
        <is>
          <t>holding</t>
        </is>
      </c>
      <c r="E201" s="11" t="n">
        <v>0.0413</v>
      </c>
      <c r="F201" s="16" t="n">
        <v>0.041322</v>
      </c>
    </row>
    <row r="202">
      <c r="A202" t="inlineStr">
        <is>
          <t>BARRANCA</t>
        </is>
      </c>
      <c r="B202" t="inlineStr">
        <is>
          <t>150201</t>
        </is>
      </c>
      <c r="C202" t="inlineStr">
        <is>
          <t>Créditos</t>
        </is>
      </c>
      <c r="D202" t="inlineStr">
        <is>
          <t>Miles S/</t>
        </is>
      </c>
      <c r="E202" s="11" t="n">
        <v>33291.5779</v>
      </c>
      <c r="F202" s="16" t="n">
        <v>33291.5779</v>
      </c>
    </row>
    <row r="203">
      <c r="A203" t="inlineStr">
        <is>
          <t>JOSE LUIS BUSTAMANTE Y RIVERO</t>
        </is>
      </c>
      <c r="B203" t="inlineStr">
        <is>
          <t>040129</t>
        </is>
      </c>
      <c r="C203" t="inlineStr">
        <is>
          <t>Créditos</t>
        </is>
      </c>
      <c r="D203" t="inlineStr">
        <is>
          <t>Miles S/</t>
        </is>
      </c>
      <c r="E203" s="11" t="n">
        <v>33199.5909</v>
      </c>
      <c r="F203" s="16" t="n">
        <v>33199.59088</v>
      </c>
    </row>
    <row r="204">
      <c r="A204" t="inlineStr">
        <is>
          <t>ILO</t>
        </is>
      </c>
      <c r="B204" t="inlineStr">
        <is>
          <t>180301</t>
        </is>
      </c>
      <c r="C204" t="inlineStr">
        <is>
          <t>Créditos</t>
        </is>
      </c>
      <c r="D204" t="inlineStr">
        <is>
          <t>Miles S/</t>
        </is>
      </c>
      <c r="E204" s="11" t="n">
        <v>33093.9009</v>
      </c>
      <c r="F204" s="16" t="n">
        <v>33093.90086</v>
      </c>
    </row>
    <row r="205">
      <c r="A205" t="inlineStr">
        <is>
          <t>MOYOBAMBA</t>
        </is>
      </c>
      <c r="B205" t="inlineStr">
        <is>
          <t>220101</t>
        </is>
      </c>
      <c r="C205" t="inlineStr">
        <is>
          <t>Food Retail</t>
        </is>
      </c>
      <c r="D205" t="inlineStr">
        <is>
          <t>holding</t>
        </is>
      </c>
      <c r="E205" s="11" t="n">
        <v>0.0083</v>
      </c>
      <c r="F205" s="16" t="n">
        <v>0.008264000000000001</v>
      </c>
    </row>
    <row r="206">
      <c r="A206" t="inlineStr">
        <is>
          <t>YANACANCHA</t>
        </is>
      </c>
      <c r="B206" t="inlineStr">
        <is>
          <t>190113</t>
        </is>
      </c>
      <c r="C206" t="inlineStr">
        <is>
          <t>Créditos</t>
        </is>
      </c>
      <c r="D206" t="inlineStr">
        <is>
          <t>Miles S/</t>
        </is>
      </c>
      <c r="E206" s="11" t="n">
        <v>27866.2702</v>
      </c>
      <c r="F206" s="16" t="n">
        <v>27866.27019</v>
      </c>
    </row>
    <row r="207">
      <c r="A207" t="inlineStr">
        <is>
          <t>SAN SEBASTIAN</t>
        </is>
      </c>
      <c r="B207" t="inlineStr">
        <is>
          <t>080105</t>
        </is>
      </c>
      <c r="C207" t="inlineStr">
        <is>
          <t>Créditos</t>
        </is>
      </c>
      <c r="D207" t="inlineStr">
        <is>
          <t>Miles S/</t>
        </is>
      </c>
      <c r="E207" s="11" t="n">
        <v>25653.7194</v>
      </c>
      <c r="F207" s="16" t="n">
        <v>25653.71944</v>
      </c>
    </row>
    <row r="208">
      <c r="A208" t="inlineStr">
        <is>
          <t>CAMANA</t>
        </is>
      </c>
      <c r="B208" t="inlineStr">
        <is>
          <t>040201</t>
        </is>
      </c>
      <c r="C208" t="inlineStr">
        <is>
          <t>Créditos</t>
        </is>
      </c>
      <c r="D208" t="inlineStr">
        <is>
          <t>Miles S/</t>
        </is>
      </c>
      <c r="E208" s="11" t="n">
        <v>24045.2624</v>
      </c>
      <c r="F208" s="16" t="n">
        <v>24045.26243</v>
      </c>
    </row>
    <row r="209">
      <c r="A209" t="inlineStr">
        <is>
          <t>PAITA</t>
        </is>
      </c>
      <c r="B209" t="inlineStr">
        <is>
          <t>200501</t>
        </is>
      </c>
      <c r="C209" t="inlineStr">
        <is>
          <t>Créditos</t>
        </is>
      </c>
      <c r="D209" t="inlineStr">
        <is>
          <t>Miles S/</t>
        </is>
      </c>
      <c r="E209" s="11" t="n">
        <v>23831.1279</v>
      </c>
      <c r="F209" s="16" t="n">
        <v>23831.12795</v>
      </c>
    </row>
    <row r="210">
      <c r="A210" t="inlineStr">
        <is>
          <t>PUENTE PIEDRA</t>
        </is>
      </c>
      <c r="B210" t="inlineStr">
        <is>
          <t>150125</t>
        </is>
      </c>
      <c r="C210" t="inlineStr">
        <is>
          <t>Pharma</t>
        </is>
      </c>
      <c r="D210" t="inlineStr">
        <is>
          <t>holding</t>
        </is>
      </c>
      <c r="E210" s="11" t="n">
        <v>0.0331</v>
      </c>
      <c r="F210" s="16" t="n">
        <v>0.033058</v>
      </c>
    </row>
    <row r="211">
      <c r="A211" t="inlineStr">
        <is>
          <t>LURIN</t>
        </is>
      </c>
      <c r="B211" t="inlineStr">
        <is>
          <t>150119</t>
        </is>
      </c>
      <c r="C211" t="inlineStr">
        <is>
          <t>Pharma</t>
        </is>
      </c>
      <c r="D211" t="inlineStr">
        <is>
          <t>holding</t>
        </is>
      </c>
      <c r="E211" s="11" t="n">
        <v>0.0083</v>
      </c>
      <c r="F211" s="16" t="n">
        <v>0.008264000000000001</v>
      </c>
    </row>
    <row r="212">
      <c r="A212" t="inlineStr">
        <is>
          <t>CARABAYLLO</t>
        </is>
      </c>
      <c r="B212" t="inlineStr">
        <is>
          <t>150106</t>
        </is>
      </c>
      <c r="C212" t="inlineStr">
        <is>
          <t>Créditos</t>
        </is>
      </c>
      <c r="D212" t="inlineStr">
        <is>
          <t>Miles S/</t>
        </is>
      </c>
      <c r="E212" s="11" t="n">
        <v>16003.7408</v>
      </c>
      <c r="F212" s="16" t="n">
        <v>16003.74076</v>
      </c>
    </row>
    <row r="213">
      <c r="A213" t="inlineStr">
        <is>
          <t>MARCONA</t>
        </is>
      </c>
      <c r="B213" t="inlineStr">
        <is>
          <t>110304</t>
        </is>
      </c>
      <c r="C213" t="inlineStr">
        <is>
          <t>Créditos</t>
        </is>
      </c>
      <c r="D213" t="inlineStr">
        <is>
          <t>Miles S/</t>
        </is>
      </c>
      <c r="E213" s="11" t="n">
        <v>14726.4571</v>
      </c>
      <c r="F213" s="16" t="n">
        <v>14726.45708</v>
      </c>
    </row>
    <row r="214">
      <c r="A214" t="inlineStr">
        <is>
          <t>VENTANILLA</t>
        </is>
      </c>
      <c r="B214" t="inlineStr">
        <is>
          <t>070106</t>
        </is>
      </c>
      <c r="C214" t="inlineStr">
        <is>
          <t>Créditos</t>
        </is>
      </c>
      <c r="D214" t="inlineStr">
        <is>
          <t>Miles S/</t>
        </is>
      </c>
      <c r="E214" s="11" t="n">
        <v>13996.8848</v>
      </c>
      <c r="F214" s="16" t="n">
        <v>13996.88482</v>
      </c>
    </row>
    <row r="215">
      <c r="A215" t="inlineStr">
        <is>
          <t>CHALLHUAHUACHO</t>
        </is>
      </c>
      <c r="B215" t="inlineStr">
        <is>
          <t>030506</t>
        </is>
      </c>
      <c r="C215" t="inlineStr">
        <is>
          <t>Créditos</t>
        </is>
      </c>
      <c r="D215" t="inlineStr">
        <is>
          <t>Miles S/</t>
        </is>
      </c>
      <c r="E215" s="11" t="n">
        <v>12790.7785</v>
      </c>
      <c r="F215" s="16" t="n">
        <v>12790.77851</v>
      </c>
    </row>
    <row r="216">
      <c r="A216" t="inlineStr">
        <is>
          <t>CHANCAY</t>
        </is>
      </c>
      <c r="B216" t="inlineStr">
        <is>
          <t>150605</t>
        </is>
      </c>
      <c r="C216" t="inlineStr">
        <is>
          <t>Créditos</t>
        </is>
      </c>
      <c r="D216" t="inlineStr">
        <is>
          <t>Miles S/</t>
        </is>
      </c>
      <c r="E216" s="11" t="n">
        <v>10167.0856</v>
      </c>
      <c r="F216" s="16" t="n">
        <v>10167.08557</v>
      </c>
    </row>
    <row r="217">
      <c r="A217" t="inlineStr">
        <is>
          <t>LURIGANCHO</t>
        </is>
      </c>
      <c r="B217" t="inlineStr">
        <is>
          <t>150118</t>
        </is>
      </c>
      <c r="C217" t="inlineStr">
        <is>
          <t>Pharma</t>
        </is>
      </c>
      <c r="D217" t="inlineStr">
        <is>
          <t>holding</t>
        </is>
      </c>
      <c r="E217" s="11" t="n">
        <v>0.0083</v>
      </c>
      <c r="F217" s="16" t="n">
        <v>0.008264000000000001</v>
      </c>
    </row>
    <row r="218">
      <c r="A218" t="inlineStr">
        <is>
          <t>PARCOY</t>
        </is>
      </c>
      <c r="B218" t="inlineStr">
        <is>
          <t>130808</t>
        </is>
      </c>
      <c r="C218" t="inlineStr">
        <is>
          <t>Créditos</t>
        </is>
      </c>
      <c r="D218" t="inlineStr">
        <is>
          <t>Miles S/</t>
        </is>
      </c>
      <c r="E218" s="11" t="n">
        <v>1020.7405</v>
      </c>
      <c r="F218" s="16" t="n">
        <v>1020.74055</v>
      </c>
    </row>
    <row r="219">
      <c r="A219" t="inlineStr">
        <is>
          <t>YARINACOCHA</t>
        </is>
      </c>
      <c r="B219" t="inlineStr">
        <is>
          <t>250105</t>
        </is>
      </c>
      <c r="C219" t="inlineStr">
        <is>
          <t>Créditos</t>
        </is>
      </c>
      <c r="D219" t="inlineStr">
        <is>
          <t>Miles S/</t>
        </is>
      </c>
      <c r="E219" s="11" t="n">
        <v>980.9661</v>
      </c>
      <c r="F219" s="16" t="n">
        <v>980.96614</v>
      </c>
    </row>
    <row r="220">
      <c r="A220" t="inlineStr">
        <is>
          <t>VILLA MARIA DEL TRIUNFO</t>
        </is>
      </c>
      <c r="B220" t="inlineStr">
        <is>
          <t>150143</t>
        </is>
      </c>
      <c r="C220" t="inlineStr">
        <is>
          <t>Créditos</t>
        </is>
      </c>
      <c r="D220" t="inlineStr">
        <is>
          <t>Miles S/</t>
        </is>
      </c>
      <c r="E220" s="11" t="n">
        <v>339.6747</v>
      </c>
      <c r="F220" s="16" t="n">
        <v>339.67473</v>
      </c>
    </row>
    <row r="221">
      <c r="A221" t="inlineStr">
        <is>
          <t>LIMA</t>
        </is>
      </c>
      <c r="B221" t="inlineStr">
        <is>
          <t>150101</t>
        </is>
      </c>
      <c r="C221" t="inlineStr">
        <is>
          <t>Pharma</t>
        </is>
      </c>
      <c r="D221" t="inlineStr">
        <is>
          <t>holding</t>
        </is>
      </c>
      <c r="E221" s="11" t="n">
        <v>0.07439999999999999</v>
      </c>
      <c r="F221" s="16" t="n">
        <v>0.07438</v>
      </c>
    </row>
    <row r="222">
      <c r="A222" t="inlineStr">
        <is>
          <t>SURCO</t>
        </is>
      </c>
      <c r="B222" t="inlineStr">
        <is>
          <t>150732</t>
        </is>
      </c>
      <c r="C222" t="inlineStr">
        <is>
          <t>Food Retail</t>
        </is>
      </c>
      <c r="D222" t="inlineStr">
        <is>
          <t>holding</t>
        </is>
      </c>
      <c r="E222" s="11" t="n">
        <v>0.0083</v>
      </c>
      <c r="F222" s="16" t="n">
        <v>0.008264000000000001</v>
      </c>
    </row>
    <row r="223">
      <c r="A223" t="inlineStr">
        <is>
          <t>SURCO</t>
        </is>
      </c>
      <c r="B223" t="inlineStr">
        <is>
          <t>150732</t>
        </is>
      </c>
      <c r="C223" t="inlineStr">
        <is>
          <t>Pharma</t>
        </is>
      </c>
      <c r="D223" t="inlineStr">
        <is>
          <t>holding</t>
        </is>
      </c>
      <c r="E223" s="11" t="n">
        <v>0.06610000000000001</v>
      </c>
      <c r="F223" s="16" t="n">
        <v>0.06611599999999999</v>
      </c>
    </row>
    <row r="224">
      <c r="A224" t="inlineStr">
        <is>
          <t>MIRAFLORES</t>
        </is>
      </c>
      <c r="B224" t="inlineStr">
        <is>
          <t>150122</t>
        </is>
      </c>
      <c r="C224" t="inlineStr">
        <is>
          <t>Food Retail</t>
        </is>
      </c>
      <c r="D224" t="inlineStr">
        <is>
          <t>holding</t>
        </is>
      </c>
      <c r="E224" s="11" t="n">
        <v>0.0248</v>
      </c>
      <c r="F224" s="16" t="n">
        <v>0.024793</v>
      </c>
    </row>
    <row r="225">
      <c r="A225" t="inlineStr">
        <is>
          <t>MIRAFLORES</t>
        </is>
      </c>
      <c r="B225" t="inlineStr">
        <is>
          <t>150122</t>
        </is>
      </c>
      <c r="C225" t="inlineStr">
        <is>
          <t>Pharma</t>
        </is>
      </c>
      <c r="D225" t="inlineStr">
        <is>
          <t>holding</t>
        </is>
      </c>
      <c r="E225" s="11" t="n">
        <v>0.0331</v>
      </c>
      <c r="F225" s="16" t="n">
        <v>0.033058</v>
      </c>
    </row>
    <row r="226">
      <c r="A226" t="inlineStr">
        <is>
          <t>LA VICTORIA</t>
        </is>
      </c>
      <c r="B226" t="inlineStr">
        <is>
          <t>150115</t>
        </is>
      </c>
      <c r="C226" t="inlineStr">
        <is>
          <t>Pharma</t>
        </is>
      </c>
      <c r="D226" t="inlineStr">
        <is>
          <t>holding</t>
        </is>
      </c>
      <c r="E226" s="11" t="n">
        <v>0.0496</v>
      </c>
      <c r="F226" s="16" t="n">
        <v>0.049587</v>
      </c>
    </row>
    <row r="227">
      <c r="A227" t="inlineStr">
        <is>
          <t>MAGDALENA DEL MAR</t>
        </is>
      </c>
      <c r="B227" t="inlineStr">
        <is>
          <t>150120</t>
        </is>
      </c>
      <c r="C227" t="inlineStr">
        <is>
          <t>Food Retail</t>
        </is>
      </c>
      <c r="D227" t="inlineStr">
        <is>
          <t>holding</t>
        </is>
      </c>
      <c r="E227" s="11" t="n">
        <v>0.0083</v>
      </c>
      <c r="F227" s="16" t="n">
        <v>0.008264000000000001</v>
      </c>
    </row>
    <row r="228">
      <c r="A228" t="inlineStr">
        <is>
          <t>MAGDALENA DEL MAR</t>
        </is>
      </c>
      <c r="B228" t="inlineStr">
        <is>
          <t>150120</t>
        </is>
      </c>
      <c r="C228" t="inlineStr">
        <is>
          <t>Pharma</t>
        </is>
      </c>
      <c r="D228" t="inlineStr">
        <is>
          <t>holding</t>
        </is>
      </c>
      <c r="E228" s="11" t="n">
        <v>0.0413</v>
      </c>
      <c r="F228" s="16" t="n">
        <v>0.041322</v>
      </c>
    </row>
    <row r="229">
      <c r="A229" t="inlineStr">
        <is>
          <t>SAN ISIDRO</t>
        </is>
      </c>
      <c r="B229" t="inlineStr">
        <is>
          <t>150131</t>
        </is>
      </c>
      <c r="C229" t="inlineStr">
        <is>
          <t>Food Retail</t>
        </is>
      </c>
      <c r="D229" t="inlineStr">
        <is>
          <t>holding</t>
        </is>
      </c>
      <c r="E229" s="11" t="n">
        <v>0.0248</v>
      </c>
      <c r="F229" s="16" t="n">
        <v>0.024793</v>
      </c>
    </row>
    <row r="230">
      <c r="A230" t="inlineStr">
        <is>
          <t>SAN ISIDRO</t>
        </is>
      </c>
      <c r="B230" t="inlineStr">
        <is>
          <t>150131</t>
        </is>
      </c>
      <c r="C230" t="inlineStr">
        <is>
          <t>Pharma</t>
        </is>
      </c>
      <c r="D230" t="inlineStr">
        <is>
          <t>holding</t>
        </is>
      </c>
      <c r="E230" s="11" t="n">
        <v>0.0248</v>
      </c>
      <c r="F230" s="16" t="n">
        <v>0.024793</v>
      </c>
    </row>
    <row r="231">
      <c r="A231" t="inlineStr">
        <is>
          <t>LA MOLINA</t>
        </is>
      </c>
      <c r="B231" t="inlineStr">
        <is>
          <t>150114</t>
        </is>
      </c>
      <c r="C231" t="inlineStr">
        <is>
          <t>Pharma</t>
        </is>
      </c>
      <c r="D231" t="inlineStr">
        <is>
          <t>holding</t>
        </is>
      </c>
      <c r="E231" s="11" t="n">
        <v>0.0413</v>
      </c>
      <c r="F231" s="16" t="n">
        <v>0.041322</v>
      </c>
    </row>
    <row r="232">
      <c r="A232" t="inlineStr">
        <is>
          <t>CHORRILLOS</t>
        </is>
      </c>
      <c r="B232" t="inlineStr">
        <is>
          <t>150108</t>
        </is>
      </c>
      <c r="C232" t="inlineStr">
        <is>
          <t>Food Retail</t>
        </is>
      </c>
      <c r="D232" t="inlineStr">
        <is>
          <t>holding</t>
        </is>
      </c>
      <c r="E232" s="11" t="n">
        <v>0.0083</v>
      </c>
      <c r="F232" s="16" t="n">
        <v>0.008264000000000001</v>
      </c>
    </row>
    <row r="233">
      <c r="A233" t="inlineStr">
        <is>
          <t>CHORRILLOS</t>
        </is>
      </c>
      <c r="B233" t="inlineStr">
        <is>
          <t>150108</t>
        </is>
      </c>
      <c r="C233" t="inlineStr">
        <is>
          <t>Pharma</t>
        </is>
      </c>
      <c r="D233" t="inlineStr">
        <is>
          <t>holding</t>
        </is>
      </c>
      <c r="E233" s="11" t="n">
        <v>0.0331</v>
      </c>
      <c r="F233" s="16" t="n">
        <v>0.033058</v>
      </c>
    </row>
    <row r="234">
      <c r="A234" t="inlineStr">
        <is>
          <t>PUENTE PIEDRA</t>
        </is>
      </c>
      <c r="B234" t="inlineStr">
        <is>
          <t>150125</t>
        </is>
      </c>
      <c r="C234" t="inlineStr">
        <is>
          <t>Pharma</t>
        </is>
      </c>
      <c r="D234" t="inlineStr">
        <is>
          <t>holding</t>
        </is>
      </c>
      <c r="E234" s="11" t="n">
        <v>0.0331</v>
      </c>
      <c r="F234" s="16" t="n">
        <v>0.033058</v>
      </c>
    </row>
    <row r="235">
      <c r="A235" t="inlineStr">
        <is>
          <t>SAN BORJA</t>
        </is>
      </c>
      <c r="B235" t="inlineStr">
        <is>
          <t>150130</t>
        </is>
      </c>
      <c r="C235" t="inlineStr">
        <is>
          <t>Pharma</t>
        </is>
      </c>
      <c r="D235" t="inlineStr">
        <is>
          <t>holding</t>
        </is>
      </c>
      <c r="E235" s="11" t="n">
        <v>0.0331</v>
      </c>
      <c r="F235" s="16" t="n">
        <v>0.033058</v>
      </c>
    </row>
    <row r="236">
      <c r="A236" t="inlineStr">
        <is>
          <t>SAN JUAN DE LURIGANCHO</t>
        </is>
      </c>
      <c r="B236" t="inlineStr">
        <is>
          <t>150132</t>
        </is>
      </c>
      <c r="C236" t="inlineStr">
        <is>
          <t>Food Retail</t>
        </is>
      </c>
      <c r="D236" t="inlineStr">
        <is>
          <t>holding</t>
        </is>
      </c>
      <c r="E236" s="11" t="n">
        <v>0.0083</v>
      </c>
      <c r="F236" s="16" t="n">
        <v>0.008264000000000001</v>
      </c>
    </row>
    <row r="237">
      <c r="A237" t="inlineStr">
        <is>
          <t>SAN JUAN DE LURIGANCHO</t>
        </is>
      </c>
      <c r="B237" t="inlineStr">
        <is>
          <t>150132</t>
        </is>
      </c>
      <c r="C237" t="inlineStr">
        <is>
          <t>Pharma</t>
        </is>
      </c>
      <c r="D237" t="inlineStr">
        <is>
          <t>holding</t>
        </is>
      </c>
      <c r="E237" s="11" t="n">
        <v>0.0248</v>
      </c>
      <c r="F237" s="16" t="n">
        <v>0.024793</v>
      </c>
    </row>
    <row r="238">
      <c r="A238" t="inlineStr">
        <is>
          <t>SURQUILLO</t>
        </is>
      </c>
      <c r="B238" t="inlineStr">
        <is>
          <t>150141</t>
        </is>
      </c>
      <c r="C238" t="inlineStr">
        <is>
          <t>Pharma</t>
        </is>
      </c>
      <c r="D238" t="inlineStr">
        <is>
          <t>holding</t>
        </is>
      </c>
      <c r="E238" s="11" t="n">
        <v>0.0331</v>
      </c>
      <c r="F238" s="16" t="n">
        <v>0.033058</v>
      </c>
    </row>
    <row r="239">
      <c r="A239" t="inlineStr">
        <is>
          <t>SAN MIGUEL</t>
        </is>
      </c>
      <c r="B239" t="inlineStr">
        <is>
          <t>150136</t>
        </is>
      </c>
      <c r="C239" t="inlineStr">
        <is>
          <t>Pharma</t>
        </is>
      </c>
      <c r="D239" t="inlineStr">
        <is>
          <t>holding</t>
        </is>
      </c>
      <c r="E239" s="11" t="n">
        <v>0.0248</v>
      </c>
      <c r="F239" s="16" t="n">
        <v>0.024793</v>
      </c>
    </row>
    <row r="240">
      <c r="A240" t="inlineStr">
        <is>
          <t>LINCE</t>
        </is>
      </c>
      <c r="B240" t="inlineStr">
        <is>
          <t>150116</t>
        </is>
      </c>
      <c r="C240" t="inlineStr">
        <is>
          <t>Pharma</t>
        </is>
      </c>
      <c r="D240" t="inlineStr">
        <is>
          <t>holding</t>
        </is>
      </c>
      <c r="E240" s="11" t="n">
        <v>0.0165</v>
      </c>
      <c r="F240" s="16" t="n">
        <v>0.016529</v>
      </c>
    </row>
    <row r="241">
      <c r="A241" t="inlineStr">
        <is>
          <t>VILLA EL SALVADOR</t>
        </is>
      </c>
      <c r="B241" t="inlineStr">
        <is>
          <t>150142</t>
        </is>
      </c>
      <c r="C241" t="inlineStr">
        <is>
          <t>Pharma</t>
        </is>
      </c>
      <c r="D241" t="inlineStr">
        <is>
          <t>holding</t>
        </is>
      </c>
      <c r="E241" s="11" t="n">
        <v>0.0165</v>
      </c>
      <c r="F241" s="16" t="n">
        <v>0.016529</v>
      </c>
    </row>
    <row r="242">
      <c r="A242" t="inlineStr">
        <is>
          <t>JESUS MARIA</t>
        </is>
      </c>
      <c r="B242" t="inlineStr">
        <is>
          <t>150113</t>
        </is>
      </c>
      <c r="C242" t="inlineStr">
        <is>
          <t>Pharma</t>
        </is>
      </c>
      <c r="D242" t="inlineStr">
        <is>
          <t>holding</t>
        </is>
      </c>
      <c r="E242" s="11" t="n">
        <v>0.0165</v>
      </c>
      <c r="F242" s="16" t="n">
        <v>0.016529</v>
      </c>
    </row>
    <row r="243">
      <c r="A243" t="inlineStr">
        <is>
          <t>TRUJILLO</t>
        </is>
      </c>
      <c r="B243" t="inlineStr">
        <is>
          <t>130101</t>
        </is>
      </c>
      <c r="C243" t="inlineStr">
        <is>
          <t>Food Retail</t>
        </is>
      </c>
      <c r="D243" t="inlineStr">
        <is>
          <t>holding</t>
        </is>
      </c>
      <c r="E243" s="11" t="n">
        <v>0.0083</v>
      </c>
      <c r="F243" s="16" t="n">
        <v>0.008264000000000001</v>
      </c>
    </row>
    <row r="244">
      <c r="A244" t="inlineStr">
        <is>
          <t>TRUJILLO</t>
        </is>
      </c>
      <c r="B244" t="inlineStr">
        <is>
          <t>130101</t>
        </is>
      </c>
      <c r="C244" t="inlineStr">
        <is>
          <t>Shopping Malls</t>
        </is>
      </c>
      <c r="D244" t="inlineStr">
        <is>
          <t>holding</t>
        </is>
      </c>
      <c r="E244" s="11" t="n">
        <v>0.0083</v>
      </c>
      <c r="F244" s="16" t="n">
        <v>0.008264000000000001</v>
      </c>
    </row>
    <row r="245">
      <c r="A245" t="inlineStr">
        <is>
          <t>CAJAMARCA</t>
        </is>
      </c>
      <c r="B245" t="inlineStr">
        <is>
          <t>060101</t>
        </is>
      </c>
      <c r="C245" t="inlineStr">
        <is>
          <t>Food Retail</t>
        </is>
      </c>
      <c r="D245" t="inlineStr">
        <is>
          <t>holding</t>
        </is>
      </c>
      <c r="E245" s="11" t="n">
        <v>0.0083</v>
      </c>
      <c r="F245" s="16" t="n">
        <v>0.008264000000000001</v>
      </c>
    </row>
    <row r="246">
      <c r="A246" t="inlineStr">
        <is>
          <t>CAJAMARCA</t>
        </is>
      </c>
      <c r="B246" t="inlineStr">
        <is>
          <t>060101</t>
        </is>
      </c>
      <c r="C246" t="inlineStr">
        <is>
          <t>Shopping Malls</t>
        </is>
      </c>
      <c r="D246" t="inlineStr">
        <is>
          <t>holding</t>
        </is>
      </c>
      <c r="E246" s="11" t="n">
        <v>0.0083</v>
      </c>
      <c r="F246" s="16" t="n">
        <v>0.008264000000000001</v>
      </c>
    </row>
    <row r="247">
      <c r="A247" t="inlineStr">
        <is>
          <t>CALLAO</t>
        </is>
      </c>
      <c r="B247" t="inlineStr">
        <is>
          <t>070101</t>
        </is>
      </c>
      <c r="C247" t="inlineStr">
        <is>
          <t>Pharma</t>
        </is>
      </c>
      <c r="D247" t="inlineStr">
        <is>
          <t>holding</t>
        </is>
      </c>
      <c r="E247" s="11" t="n">
        <v>0.0165</v>
      </c>
      <c r="F247" s="16" t="n">
        <v>0.016529</v>
      </c>
    </row>
    <row r="248">
      <c r="A248" t="inlineStr">
        <is>
          <t>CHICLAYO</t>
        </is>
      </c>
      <c r="B248" t="inlineStr">
        <is>
          <t>140101</t>
        </is>
      </c>
      <c r="C248" t="inlineStr">
        <is>
          <t>Food Retail</t>
        </is>
      </c>
      <c r="D248" t="inlineStr">
        <is>
          <t>holding</t>
        </is>
      </c>
      <c r="E248" s="11" t="n">
        <v>0.0083</v>
      </c>
      <c r="F248" s="16" t="n">
        <v>0.008264000000000001</v>
      </c>
    </row>
    <row r="249">
      <c r="A249" t="inlineStr">
        <is>
          <t>CHICLAYO</t>
        </is>
      </c>
      <c r="B249" t="inlineStr">
        <is>
          <t>140101</t>
        </is>
      </c>
      <c r="C249" t="inlineStr">
        <is>
          <t>Shopping Malls</t>
        </is>
      </c>
      <c r="D249" t="inlineStr">
        <is>
          <t>holding</t>
        </is>
      </c>
      <c r="E249" s="11" t="n">
        <v>0.0083</v>
      </c>
      <c r="F249" s="16" t="n">
        <v>0.008264000000000001</v>
      </c>
    </row>
    <row r="250">
      <c r="A250" t="inlineStr">
        <is>
          <t>HUANCAYO</t>
        </is>
      </c>
      <c r="B250" t="inlineStr">
        <is>
          <t>120101</t>
        </is>
      </c>
      <c r="C250" t="inlineStr">
        <is>
          <t>Pharma</t>
        </is>
      </c>
      <c r="D250" t="inlineStr">
        <is>
          <t>holding</t>
        </is>
      </c>
      <c r="E250" s="11" t="n">
        <v>0.0083</v>
      </c>
      <c r="F250" s="16" t="n">
        <v>0.008264000000000001</v>
      </c>
    </row>
    <row r="251">
      <c r="A251" t="inlineStr">
        <is>
          <t>HUANCAYO</t>
        </is>
      </c>
      <c r="B251" t="inlineStr">
        <is>
          <t>120101</t>
        </is>
      </c>
      <c r="C251" t="inlineStr">
        <is>
          <t>Shopping Malls</t>
        </is>
      </c>
      <c r="D251" t="inlineStr">
        <is>
          <t>holding</t>
        </is>
      </c>
      <c r="E251" s="11" t="n">
        <v>0.0083</v>
      </c>
      <c r="F251" s="16" t="n">
        <v>0.008264000000000001</v>
      </c>
    </row>
    <row r="252">
      <c r="A252" t="inlineStr">
        <is>
          <t>ICA</t>
        </is>
      </c>
      <c r="B252" t="inlineStr">
        <is>
          <t>110101</t>
        </is>
      </c>
      <c r="C252" t="inlineStr">
        <is>
          <t>Food Retail</t>
        </is>
      </c>
      <c r="D252" t="inlineStr">
        <is>
          <t>holding</t>
        </is>
      </c>
      <c r="E252" s="11" t="n">
        <v>0.0083</v>
      </c>
      <c r="F252" s="16" t="n">
        <v>0.008264000000000001</v>
      </c>
    </row>
    <row r="253">
      <c r="A253" t="inlineStr">
        <is>
          <t>ICA</t>
        </is>
      </c>
      <c r="B253" t="inlineStr">
        <is>
          <t>110101</t>
        </is>
      </c>
      <c r="C253" t="inlineStr">
        <is>
          <t>Pharma</t>
        </is>
      </c>
      <c r="D253" t="inlineStr">
        <is>
          <t>holding</t>
        </is>
      </c>
      <c r="E253" s="11" t="n">
        <v>0.0083</v>
      </c>
      <c r="F253" s="16" t="n">
        <v>0.008264000000000001</v>
      </c>
    </row>
    <row r="254">
      <c r="A254" t="inlineStr">
        <is>
          <t>COMAS</t>
        </is>
      </c>
      <c r="B254" t="inlineStr">
        <is>
          <t>150110</t>
        </is>
      </c>
      <c r="C254" t="inlineStr">
        <is>
          <t>Food Retail</t>
        </is>
      </c>
      <c r="D254" t="inlineStr">
        <is>
          <t>holding</t>
        </is>
      </c>
      <c r="E254" s="11" t="n">
        <v>0.0083</v>
      </c>
      <c r="F254" s="16" t="n">
        <v>0.008264000000000001</v>
      </c>
    </row>
    <row r="255">
      <c r="A255" t="inlineStr">
        <is>
          <t>COMAS</t>
        </is>
      </c>
      <c r="B255" t="inlineStr">
        <is>
          <t>150110</t>
        </is>
      </c>
      <c r="C255" t="inlineStr">
        <is>
          <t>Shopping Malls</t>
        </is>
      </c>
      <c r="D255" t="inlineStr">
        <is>
          <t>holding</t>
        </is>
      </c>
      <c r="E255" s="11" t="n">
        <v>0.0083</v>
      </c>
      <c r="F255" s="16" t="n">
        <v>0.008264000000000001</v>
      </c>
    </row>
    <row r="256">
      <c r="A256" t="inlineStr">
        <is>
          <t>INDEPENDENCIA</t>
        </is>
      </c>
      <c r="B256" t="inlineStr">
        <is>
          <t>150112</t>
        </is>
      </c>
      <c r="C256" t="inlineStr">
        <is>
          <t>Food Retail</t>
        </is>
      </c>
      <c r="D256" t="inlineStr">
        <is>
          <t>holding</t>
        </is>
      </c>
      <c r="E256" s="11" t="n">
        <v>0.0083</v>
      </c>
      <c r="F256" s="16" t="n">
        <v>0.008264000000000001</v>
      </c>
    </row>
    <row r="257">
      <c r="A257" t="inlineStr">
        <is>
          <t>SAN LUIS</t>
        </is>
      </c>
      <c r="B257" t="inlineStr">
        <is>
          <t>150134</t>
        </is>
      </c>
      <c r="C257" t="inlineStr">
        <is>
          <t>Pharma</t>
        </is>
      </c>
      <c r="D257" t="inlineStr">
        <is>
          <t>holding</t>
        </is>
      </c>
      <c r="E257" s="11" t="n">
        <v>0.0083</v>
      </c>
      <c r="F257" s="16" t="n">
        <v>0.008264000000000001</v>
      </c>
    </row>
    <row r="258">
      <c r="A258" t="inlineStr">
        <is>
          <t>PIURA</t>
        </is>
      </c>
      <c r="B258" t="inlineStr">
        <is>
          <t>200101</t>
        </is>
      </c>
      <c r="C258" t="inlineStr">
        <is>
          <t>Shopping Malls</t>
        </is>
      </c>
      <c r="D258" t="inlineStr">
        <is>
          <t>holding</t>
        </is>
      </c>
      <c r="E258" s="11" t="n">
        <v>0.0083</v>
      </c>
      <c r="F258" s="16" t="n">
        <v>0.008264000000000001</v>
      </c>
    </row>
    <row r="259">
      <c r="A259" t="inlineStr">
        <is>
          <t>CAYMA</t>
        </is>
      </c>
      <c r="B259" t="inlineStr">
        <is>
          <t>040103</t>
        </is>
      </c>
      <c r="C259" t="inlineStr">
        <is>
          <t>Shopping Malls</t>
        </is>
      </c>
      <c r="D259" t="inlineStr">
        <is>
          <t>holding</t>
        </is>
      </c>
      <c r="E259" s="11" t="n">
        <v>0.0083</v>
      </c>
      <c r="F259" s="16" t="n">
        <v>0.008264000000000001</v>
      </c>
    </row>
    <row r="260">
      <c r="A260" t="inlineStr">
        <is>
          <t>HUARAL</t>
        </is>
      </c>
      <c r="B260" t="inlineStr">
        <is>
          <t>150601</t>
        </is>
      </c>
      <c r="C260" t="inlineStr">
        <is>
          <t>Pharma</t>
        </is>
      </c>
      <c r="D260" t="inlineStr">
        <is>
          <t>holding</t>
        </is>
      </c>
      <c r="E260" s="11" t="n">
        <v>0.0083</v>
      </c>
      <c r="F260" s="16" t="n">
        <v>0.008264000000000001</v>
      </c>
    </row>
    <row r="261">
      <c r="A261" t="inlineStr">
        <is>
          <t>SANTA ANITA</t>
        </is>
      </c>
      <c r="B261" t="inlineStr">
        <is>
          <t>150137</t>
        </is>
      </c>
      <c r="C261" t="inlineStr">
        <is>
          <t>Food Retail</t>
        </is>
      </c>
      <c r="D261" t="inlineStr">
        <is>
          <t>holding</t>
        </is>
      </c>
      <c r="E261" s="11" t="n">
        <v>0.0083</v>
      </c>
      <c r="F261" s="16" t="n">
        <v>0.008264000000000001</v>
      </c>
    </row>
    <row r="262">
      <c r="A262" t="inlineStr">
        <is>
          <t>BELLAVISTA</t>
        </is>
      </c>
      <c r="B262" t="inlineStr">
        <is>
          <t>070102</t>
        </is>
      </c>
      <c r="C262" t="inlineStr">
        <is>
          <t>Pharma</t>
        </is>
      </c>
      <c r="D262" t="inlineStr">
        <is>
          <t>holding</t>
        </is>
      </c>
      <c r="E262" s="11" t="n">
        <v>0.0083</v>
      </c>
      <c r="F262" s="16" t="n">
        <v>0.008264000000000001</v>
      </c>
    </row>
    <row r="263">
      <c r="A263" t="inlineStr">
        <is>
          <t>HUANUCO</t>
        </is>
      </c>
      <c r="B263" t="inlineStr">
        <is>
          <t>100101</t>
        </is>
      </c>
      <c r="C263" t="inlineStr">
        <is>
          <t>Shopping Malls</t>
        </is>
      </c>
      <c r="D263" t="inlineStr">
        <is>
          <t>holding</t>
        </is>
      </c>
      <c r="E263" s="11" t="n">
        <v>0.0083</v>
      </c>
      <c r="F263" s="16" t="n">
        <v>0.008264000000000001</v>
      </c>
    </row>
    <row r="264">
      <c r="A264" t="inlineStr">
        <is>
          <t>SAN JUAN DE MIRAFLORES</t>
        </is>
      </c>
      <c r="B264" t="inlineStr">
        <is>
          <t>150133</t>
        </is>
      </c>
      <c r="C264" t="inlineStr">
        <is>
          <t>Food Retail</t>
        </is>
      </c>
      <c r="D264" t="inlineStr">
        <is>
          <t>holding</t>
        </is>
      </c>
      <c r="E264" s="11" t="n">
        <v>0.0083</v>
      </c>
      <c r="F264" s="16" t="n">
        <v>0.008264000000000001</v>
      </c>
    </row>
    <row r="265">
      <c r="A265" t="inlineStr">
        <is>
          <t>CUSCO</t>
        </is>
      </c>
      <c r="B265" t="inlineStr">
        <is>
          <t>080101</t>
        </is>
      </c>
      <c r="C265" t="inlineStr">
        <is>
          <t>Food Retail</t>
        </is>
      </c>
      <c r="D265" t="inlineStr">
        <is>
          <t>holding</t>
        </is>
      </c>
      <c r="E265" s="11" t="n">
        <v>0.0083</v>
      </c>
      <c r="F265" s="16" t="n">
        <v>0.008264000000000001</v>
      </c>
    </row>
    <row r="266">
      <c r="A266" t="inlineStr">
        <is>
          <t>TARMA</t>
        </is>
      </c>
      <c r="B266" t="inlineStr">
        <is>
          <t>120701</t>
        </is>
      </c>
      <c r="C266" t="inlineStr">
        <is>
          <t>Pharma</t>
        </is>
      </c>
      <c r="D266" t="inlineStr">
        <is>
          <t>holding</t>
        </is>
      </c>
      <c r="E266" s="11" t="n">
        <v>0.0083</v>
      </c>
      <c r="F266" s="16" t="n">
        <v>0.008264000000000001</v>
      </c>
    </row>
    <row r="267">
      <c r="A267" t="inlineStr">
        <is>
          <t>LURIN</t>
        </is>
      </c>
      <c r="B267" t="inlineStr">
        <is>
          <t>150119</t>
        </is>
      </c>
      <c r="C267" t="inlineStr">
        <is>
          <t>Pharma</t>
        </is>
      </c>
      <c r="D267" t="inlineStr">
        <is>
          <t>holding</t>
        </is>
      </c>
      <c r="E267" s="11" t="n">
        <v>0.0083</v>
      </c>
      <c r="F267" s="16" t="n">
        <v>0.008264000000000001</v>
      </c>
    </row>
    <row r="268">
      <c r="A268" t="inlineStr">
        <is>
          <t>LURIGANCHO</t>
        </is>
      </c>
      <c r="B268" t="inlineStr">
        <is>
          <t>150118</t>
        </is>
      </c>
      <c r="C268" t="inlineStr">
        <is>
          <t>Pharma</t>
        </is>
      </c>
      <c r="D268" t="inlineStr">
        <is>
          <t>holding</t>
        </is>
      </c>
      <c r="E268" s="11" t="n">
        <v>0.0083</v>
      </c>
      <c r="F268" s="16" t="n">
        <v>0.008264000000000001</v>
      </c>
    </row>
    <row r="269">
      <c r="A269" t="inlineStr">
        <is>
          <t>LOS OLIVOS</t>
        </is>
      </c>
      <c r="B269" t="inlineStr">
        <is>
          <t>150117</t>
        </is>
      </c>
      <c r="C269" t="inlineStr">
        <is>
          <t>Pharma</t>
        </is>
      </c>
      <c r="D269" t="inlineStr">
        <is>
          <t>holding</t>
        </is>
      </c>
      <c r="E269" s="11" t="n">
        <v>0.0083</v>
      </c>
      <c r="F269" s="16" t="n">
        <v>0.008264000000000001</v>
      </c>
    </row>
    <row r="270">
      <c r="A270" t="inlineStr">
        <is>
          <t>ATE</t>
        </is>
      </c>
      <c r="B270" t="inlineStr">
        <is>
          <t>150103</t>
        </is>
      </c>
      <c r="C270" t="inlineStr">
        <is>
          <t>Pharma</t>
        </is>
      </c>
      <c r="D270" t="inlineStr">
        <is>
          <t>holding</t>
        </is>
      </c>
      <c r="E270" s="11" t="n">
        <v>0.0083</v>
      </c>
      <c r="F270" s="16" t="n">
        <v>0.008264000000000001</v>
      </c>
    </row>
    <row r="271">
      <c r="A271" t="inlineStr">
        <is>
          <t>BARRANCO</t>
        </is>
      </c>
      <c r="B271" t="inlineStr">
        <is>
          <t>150104</t>
        </is>
      </c>
      <c r="C271" t="inlineStr">
        <is>
          <t>Pharma</t>
        </is>
      </c>
      <c r="D271" t="inlineStr">
        <is>
          <t>holding</t>
        </is>
      </c>
      <c r="E271" s="11" t="n">
        <v>0.0083</v>
      </c>
      <c r="F271" s="16" t="n">
        <v>0.008264000000000001</v>
      </c>
    </row>
    <row r="272">
      <c r="A272" t="inlineStr">
        <is>
          <t>MOYOBAMBA</t>
        </is>
      </c>
      <c r="B272" t="inlineStr">
        <is>
          <t>220101</t>
        </is>
      </c>
      <c r="C272" t="inlineStr">
        <is>
          <t>Food Retail</t>
        </is>
      </c>
      <c r="D272" t="inlineStr">
        <is>
          <t>holding</t>
        </is>
      </c>
      <c r="E272" s="11" t="n">
        <v>0.0083</v>
      </c>
      <c r="F272" s="16" t="n">
        <v>0.008264000000000001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6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IFS — Créditos colocados por distrito y exposición asignada</t>
        </is>
      </c>
    </row>
    <row r="2">
      <c r="A2" s="2" t="inlineStr">
        <is>
          <t>Créditos colocados total: 49,530,941.93 Miles S/   ·   Exposición en cartera: S/ 360,921,827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LIMA</t>
        </is>
      </c>
      <c r="D5" t="inlineStr">
        <is>
          <t>150101</t>
        </is>
      </c>
      <c r="E5" t="inlineStr">
        <is>
          <t>—</t>
        </is>
      </c>
      <c r="F5" s="11" t="n">
        <v>22385471.5266</v>
      </c>
      <c r="G5" s="6">
        <f>IF($F$85=0,0,F5/$F$85)</f>
        <v/>
      </c>
      <c r="H5" s="5" t="n">
        <v>163118345.21</v>
      </c>
      <c r="I5" t="n">
        <v>2</v>
      </c>
      <c r="J5" t="n">
        <v>4</v>
      </c>
      <c r="L5" s="5" t="n">
        <v>489355035.63</v>
      </c>
    </row>
    <row r="6">
      <c r="A6" t="inlineStr">
        <is>
          <t>LIMA</t>
        </is>
      </c>
      <c r="B6" t="inlineStr">
        <is>
          <t>LIMA</t>
        </is>
      </c>
      <c r="C6" t="inlineStr">
        <is>
          <t>SAN ISIDRO</t>
        </is>
      </c>
      <c r="D6" t="inlineStr">
        <is>
          <t>150131</t>
        </is>
      </c>
      <c r="E6" t="inlineStr">
        <is>
          <t>—</t>
        </is>
      </c>
      <c r="F6" s="11" t="n">
        <v>7856949.2896</v>
      </c>
      <c r="G6" s="6">
        <f>IF($F$85=0,0,F6/$F$85)</f>
        <v/>
      </c>
      <c r="H6" s="5" t="n">
        <v>57251979.93</v>
      </c>
      <c r="I6" t="n">
        <v>1</v>
      </c>
      <c r="J6" t="n">
        <v>4</v>
      </c>
      <c r="L6" s="5" t="n">
        <v>143129949.82</v>
      </c>
    </row>
    <row r="7">
      <c r="A7" t="inlineStr">
        <is>
          <t>LIMA</t>
        </is>
      </c>
      <c r="B7" t="inlineStr">
        <is>
          <t>LIMA</t>
        </is>
      </c>
      <c r="C7" t="inlineStr">
        <is>
          <t>LA VICTORIA</t>
        </is>
      </c>
      <c r="D7" t="inlineStr">
        <is>
          <t>150115</t>
        </is>
      </c>
      <c r="E7" t="inlineStr">
        <is>
          <t>—</t>
        </is>
      </c>
      <c r="F7" s="11" t="n">
        <v>6681545.7373</v>
      </c>
      <c r="G7" s="6">
        <f>IF($F$85=0,0,F7/$F$85)</f>
        <v/>
      </c>
      <c r="H7" s="5" t="n">
        <v>48687055.03</v>
      </c>
      <c r="I7" t="n">
        <v>1</v>
      </c>
      <c r="J7" t="n">
        <v>3</v>
      </c>
      <c r="L7" s="5" t="n">
        <v>97374110.06</v>
      </c>
    </row>
    <row r="8">
      <c r="A8" t="inlineStr">
        <is>
          <t>LA LIBERTAD</t>
        </is>
      </c>
      <c r="B8" t="inlineStr">
        <is>
          <t>TRUJILLO</t>
        </is>
      </c>
      <c r="C8" t="inlineStr">
        <is>
          <t>TRUJILLO</t>
        </is>
      </c>
      <c r="D8" t="inlineStr">
        <is>
          <t>130101</t>
        </is>
      </c>
      <c r="E8" t="inlineStr">
        <is>
          <t>—</t>
        </is>
      </c>
      <c r="F8" s="11" t="n">
        <v>1647816.371</v>
      </c>
      <c r="G8" s="6">
        <f>IF($F$85=0,0,F8/$F$85)</f>
        <v/>
      </c>
      <c r="H8" s="5" t="n">
        <v>12007300.33</v>
      </c>
      <c r="I8" t="n">
        <v>1</v>
      </c>
      <c r="J8" t="n">
        <v>5</v>
      </c>
      <c r="L8" s="5" t="n">
        <v>36021900.99</v>
      </c>
    </row>
    <row r="9">
      <c r="A9" t="inlineStr">
        <is>
          <t>LIMA</t>
        </is>
      </c>
      <c r="B9" t="inlineStr">
        <is>
          <t>LIMA</t>
        </is>
      </c>
      <c r="C9" t="inlineStr">
        <is>
          <t>SANTIAGO DE SURCO</t>
        </is>
      </c>
      <c r="D9" t="inlineStr">
        <is>
          <t>150140</t>
        </is>
      </c>
      <c r="E9" t="inlineStr">
        <is>
          <t>—</t>
        </is>
      </c>
      <c r="F9" s="11" t="n">
        <v>705927.7001</v>
      </c>
      <c r="G9" s="6">
        <f>IF($F$85=0,0,F9/$F$85)</f>
        <v/>
      </c>
      <c r="H9" s="5" t="n">
        <v>5143950.54</v>
      </c>
      <c r="I9" t="n">
        <v>1</v>
      </c>
      <c r="J9" t="n">
        <v>3</v>
      </c>
      <c r="L9" s="5" t="n">
        <v>10287901.07</v>
      </c>
    </row>
    <row r="10">
      <c r="A10" t="inlineStr">
        <is>
          <t>AREQUIPA</t>
        </is>
      </c>
      <c r="B10" t="inlineStr">
        <is>
          <t>AREQUIPA</t>
        </is>
      </c>
      <c r="C10" t="inlineStr">
        <is>
          <t>AREQUIPA</t>
        </is>
      </c>
      <c r="D10" t="inlineStr">
        <is>
          <t>040101</t>
        </is>
      </c>
      <c r="E10" t="inlineStr">
        <is>
          <t>—</t>
        </is>
      </c>
      <c r="F10" s="11" t="n">
        <v>637519.2946</v>
      </c>
      <c r="G10" s="6">
        <f>IF($F$85=0,0,F10/$F$85)</f>
        <v/>
      </c>
      <c r="H10" s="5" t="n">
        <v>4645472.5</v>
      </c>
      <c r="I10" t="n">
        <v>2</v>
      </c>
      <c r="J10" t="n">
        <v>5</v>
      </c>
      <c r="L10" s="5" t="n">
        <v>16259153.75</v>
      </c>
    </row>
    <row r="11">
      <c r="A11" t="inlineStr">
        <is>
          <t>LAMBAYEQUE</t>
        </is>
      </c>
      <c r="B11" t="inlineStr">
        <is>
          <t>CHICLAYO</t>
        </is>
      </c>
      <c r="C11" t="inlineStr">
        <is>
          <t>CHICLAYO</t>
        </is>
      </c>
      <c r="D11" t="inlineStr">
        <is>
          <t>140101</t>
        </is>
      </c>
      <c r="E11" t="inlineStr">
        <is>
          <t>—</t>
        </is>
      </c>
      <c r="F11" s="11" t="n">
        <v>577316.63</v>
      </c>
      <c r="G11" s="6">
        <f>IF($F$85=0,0,F11/$F$85)</f>
        <v/>
      </c>
      <c r="H11" s="5" t="n">
        <v>4206788.02</v>
      </c>
      <c r="I11" t="n">
        <v>1</v>
      </c>
      <c r="J11" t="n">
        <v>4</v>
      </c>
      <c r="L11" s="5" t="n">
        <v>10516970.04</v>
      </c>
    </row>
    <row r="12">
      <c r="A12" t="inlineStr">
        <is>
          <t>PIURA</t>
        </is>
      </c>
      <c r="B12" t="inlineStr">
        <is>
          <t>PIURA</t>
        </is>
      </c>
      <c r="C12" t="inlineStr">
        <is>
          <t>PIURA</t>
        </is>
      </c>
      <c r="D12" t="inlineStr">
        <is>
          <t>200101</t>
        </is>
      </c>
      <c r="E12" t="inlineStr">
        <is>
          <t>—</t>
        </is>
      </c>
      <c r="F12" s="11" t="n">
        <v>549051.7502</v>
      </c>
      <c r="G12" s="6">
        <f>IF($F$85=0,0,F12/$F$85)</f>
        <v/>
      </c>
      <c r="H12" s="5" t="n">
        <v>4000827.63</v>
      </c>
      <c r="I12" t="n">
        <v>1</v>
      </c>
      <c r="J12" t="n">
        <v>5</v>
      </c>
      <c r="L12" s="5" t="n">
        <v>12002482.88</v>
      </c>
    </row>
    <row r="13">
      <c r="A13" t="inlineStr">
        <is>
          <t>LIMA</t>
        </is>
      </c>
      <c r="B13" t="inlineStr">
        <is>
          <t>LIMA</t>
        </is>
      </c>
      <c r="C13" t="inlineStr">
        <is>
          <t>MIRAFLORES</t>
        </is>
      </c>
      <c r="D13" t="inlineStr">
        <is>
          <t>150122</t>
        </is>
      </c>
      <c r="E13" t="inlineStr">
        <is>
          <t>—</t>
        </is>
      </c>
      <c r="F13" s="11" t="n">
        <v>543905.1094</v>
      </c>
      <c r="G13" s="6">
        <f>IF($F$85=0,0,F13/$F$85)</f>
        <v/>
      </c>
      <c r="H13" s="5" t="n">
        <v>3963325.11</v>
      </c>
      <c r="I13" t="n">
        <v>2</v>
      </c>
      <c r="J13" t="n">
        <v>4</v>
      </c>
      <c r="L13" s="5" t="n">
        <v>11889975.33</v>
      </c>
    </row>
    <row r="14">
      <c r="A14" t="inlineStr">
        <is>
          <t>ICA</t>
        </is>
      </c>
      <c r="B14" t="inlineStr">
        <is>
          <t>ICA</t>
        </is>
      </c>
      <c r="C14" t="inlineStr">
        <is>
          <t>ICA</t>
        </is>
      </c>
      <c r="D14" t="inlineStr">
        <is>
          <t>110101</t>
        </is>
      </c>
      <c r="E14" t="inlineStr">
        <is>
          <t>—</t>
        </is>
      </c>
      <c r="F14" s="11" t="n">
        <v>477275.9654</v>
      </c>
      <c r="G14" s="6">
        <f>IF($F$85=0,0,F14/$F$85)</f>
        <v/>
      </c>
      <c r="H14" s="5" t="n">
        <v>3477812.19</v>
      </c>
      <c r="I14" t="n">
        <v>1</v>
      </c>
      <c r="J14" t="n">
        <v>5</v>
      </c>
      <c r="L14" s="5" t="n">
        <v>10433436.56</v>
      </c>
    </row>
    <row r="15">
      <c r="A15" t="inlineStr">
        <is>
          <t>JUNIN</t>
        </is>
      </c>
      <c r="B15" t="inlineStr">
        <is>
          <t>HUANCAYO</t>
        </is>
      </c>
      <c r="C15" t="inlineStr">
        <is>
          <t>HUANCAYO</t>
        </is>
      </c>
      <c r="D15" t="inlineStr">
        <is>
          <t>120101</t>
        </is>
      </c>
      <c r="E15" t="inlineStr">
        <is>
          <t>—</t>
        </is>
      </c>
      <c r="F15" s="11" t="n">
        <v>344334.1533</v>
      </c>
      <c r="G15" s="6">
        <f>IF($F$85=0,0,F15/$F$85)</f>
        <v/>
      </c>
      <c r="H15" s="5" t="n">
        <v>2509092.44</v>
      </c>
      <c r="I15" t="n">
        <v>4</v>
      </c>
      <c r="J15" t="n">
        <v>2</v>
      </c>
      <c r="K15" t="n">
        <v>3</v>
      </c>
      <c r="L15" s="5" t="n">
        <v>7527277.31</v>
      </c>
    </row>
    <row r="16">
      <c r="A16" t="inlineStr">
        <is>
          <t>LIMA</t>
        </is>
      </c>
      <c r="B16" t="inlineStr">
        <is>
          <t>LIMA</t>
        </is>
      </c>
      <c r="C16" t="inlineStr">
        <is>
          <t>SAN BORJA</t>
        </is>
      </c>
      <c r="D16" t="inlineStr">
        <is>
          <t>150130</t>
        </is>
      </c>
      <c r="E16" t="inlineStr">
        <is>
          <t>—</t>
        </is>
      </c>
      <c r="F16" s="11" t="n">
        <v>341077.4555</v>
      </c>
      <c r="G16" s="6">
        <f>IF($F$85=0,0,F16/$F$85)</f>
        <v/>
      </c>
      <c r="H16" s="5" t="n">
        <v>2485361.55</v>
      </c>
      <c r="I16" t="n">
        <v>1</v>
      </c>
      <c r="J16" t="n">
        <v>2</v>
      </c>
      <c r="L16" s="5" t="n">
        <v>3728042.32</v>
      </c>
    </row>
    <row r="17">
      <c r="A17" t="inlineStr">
        <is>
          <t>CUSCO</t>
        </is>
      </c>
      <c r="B17" t="inlineStr">
        <is>
          <t>CUSCO</t>
        </is>
      </c>
      <c r="C17" t="inlineStr">
        <is>
          <t>CUSCO</t>
        </is>
      </c>
      <c r="D17" t="inlineStr">
        <is>
          <t>080101</t>
        </is>
      </c>
      <c r="E17" t="inlineStr">
        <is>
          <t>—</t>
        </is>
      </c>
      <c r="F17" s="11" t="n">
        <v>327466.2482</v>
      </c>
      <c r="G17" s="6">
        <f>IF($F$85=0,0,F17/$F$85)</f>
        <v/>
      </c>
      <c r="H17" s="5" t="n">
        <v>2386179.47</v>
      </c>
      <c r="I17" t="n">
        <v>4</v>
      </c>
      <c r="J17" t="n">
        <v>2</v>
      </c>
      <c r="K17" t="n">
        <v>3</v>
      </c>
      <c r="L17" s="5" t="n">
        <v>7158538.4</v>
      </c>
    </row>
    <row r="18">
      <c r="A18" t="inlineStr">
        <is>
          <t>CAJAMARCA</t>
        </is>
      </c>
      <c r="B18" t="inlineStr">
        <is>
          <t>JAEN</t>
        </is>
      </c>
      <c r="C18" t="inlineStr">
        <is>
          <t>JAEN</t>
        </is>
      </c>
      <c r="D18" t="inlineStr">
        <is>
          <t>060801</t>
        </is>
      </c>
      <c r="E18" t="inlineStr">
        <is>
          <t>—</t>
        </is>
      </c>
      <c r="F18" s="11" t="n">
        <v>287256.4805</v>
      </c>
      <c r="G18" s="6">
        <f>IF($F$85=0,0,F18/$F$85)</f>
        <v/>
      </c>
      <c r="H18" s="5" t="n">
        <v>2093179.13</v>
      </c>
      <c r="I18" t="n">
        <v>4</v>
      </c>
      <c r="J18" t="n">
        <v>3</v>
      </c>
      <c r="K18" t="n">
        <v>2</v>
      </c>
      <c r="L18" s="5" t="n">
        <v>6279537.38</v>
      </c>
    </row>
    <row r="19">
      <c r="A19" t="inlineStr">
        <is>
          <t>CAJAMARCA</t>
        </is>
      </c>
      <c r="B19" t="inlineStr">
        <is>
          <t>CAJAMARCA</t>
        </is>
      </c>
      <c r="C19" t="inlineStr">
        <is>
          <t>CAJAMARCA</t>
        </is>
      </c>
      <c r="D19" t="inlineStr">
        <is>
          <t>060101</t>
        </is>
      </c>
      <c r="E19" t="inlineStr">
        <is>
          <t>—</t>
        </is>
      </c>
      <c r="F19" s="11" t="n">
        <v>268308.1283</v>
      </c>
      <c r="G19" s="6">
        <f>IF($F$85=0,0,F19/$F$85)</f>
        <v/>
      </c>
      <c r="H19" s="5" t="n">
        <v>1955106.37</v>
      </c>
      <c r="I19" t="n">
        <v>4</v>
      </c>
      <c r="J19" t="n">
        <v>4</v>
      </c>
      <c r="K19" t="n">
        <v>3</v>
      </c>
      <c r="L19" s="5" t="n">
        <v>7168723.34</v>
      </c>
    </row>
    <row r="20">
      <c r="A20" t="inlineStr">
        <is>
          <t>LORETO</t>
        </is>
      </c>
      <c r="B20" t="inlineStr">
        <is>
          <t>MAYNAS</t>
        </is>
      </c>
      <c r="C20" t="inlineStr">
        <is>
          <t>IQUITOS</t>
        </is>
      </c>
      <c r="D20" t="inlineStr">
        <is>
          <t>160101</t>
        </is>
      </c>
      <c r="E20" t="inlineStr">
        <is>
          <t>—</t>
        </is>
      </c>
      <c r="F20" s="11" t="n">
        <v>265417.6659</v>
      </c>
      <c r="G20" s="6">
        <f>IF($F$85=0,0,F20/$F$85)</f>
        <v/>
      </c>
      <c r="H20" s="5" t="n">
        <v>1934044.16</v>
      </c>
      <c r="I20" t="n">
        <v>3</v>
      </c>
      <c r="J20" t="n">
        <v>4</v>
      </c>
      <c r="K20" t="n">
        <v>2</v>
      </c>
      <c r="L20" s="5" t="n">
        <v>5802132.48</v>
      </c>
    </row>
    <row r="21">
      <c r="A21" t="inlineStr">
        <is>
          <t>ANCASH</t>
        </is>
      </c>
      <c r="B21" t="inlineStr">
        <is>
          <t>SANTA</t>
        </is>
      </c>
      <c r="C21" t="inlineStr">
        <is>
          <t>CHIMBOTE</t>
        </is>
      </c>
      <c r="D21" t="inlineStr">
        <is>
          <t>021801</t>
        </is>
      </c>
      <c r="E21" t="inlineStr">
        <is>
          <t>—</t>
        </is>
      </c>
      <c r="F21" s="11" t="n">
        <v>255104.7509</v>
      </c>
      <c r="G21" s="6">
        <f>IF($F$85=0,0,F21/$F$85)</f>
        <v/>
      </c>
      <c r="H21" s="5" t="n">
        <v>1858896.06</v>
      </c>
      <c r="I21" t="n">
        <v>5</v>
      </c>
      <c r="J21" t="n">
        <v>4</v>
      </c>
      <c r="K21" t="n">
        <v>3</v>
      </c>
      <c r="L21" s="5" t="n">
        <v>7435584.24</v>
      </c>
    </row>
    <row r="22">
      <c r="A22" t="inlineStr">
        <is>
          <t>SAN MARTIN</t>
        </is>
      </c>
      <c r="B22" t="inlineStr">
        <is>
          <t>SAN MARTIN</t>
        </is>
      </c>
      <c r="C22" t="inlineStr">
        <is>
          <t>TARAPOTO</t>
        </is>
      </c>
      <c r="D22" t="inlineStr">
        <is>
          <t>220901</t>
        </is>
      </c>
      <c r="E22" t="inlineStr">
        <is>
          <t>—</t>
        </is>
      </c>
      <c r="F22" s="11" t="n">
        <v>239590.9401</v>
      </c>
      <c r="G22" s="6">
        <f>IF($F$85=0,0,F22/$F$85)</f>
        <v/>
      </c>
      <c r="H22" s="5" t="n">
        <v>1745850.1</v>
      </c>
      <c r="I22" t="n">
        <v>4</v>
      </c>
      <c r="J22" t="n">
        <v>4</v>
      </c>
      <c r="K22" t="n">
        <v>2</v>
      </c>
      <c r="L22" s="5" t="n">
        <v>5819500.33</v>
      </c>
    </row>
    <row r="23">
      <c r="A23" t="inlineStr">
        <is>
          <t>ICA</t>
        </is>
      </c>
      <c r="B23" t="inlineStr">
        <is>
          <t>CHINCHA</t>
        </is>
      </c>
      <c r="C23" t="inlineStr">
        <is>
          <t>CHINCHA ALTA</t>
        </is>
      </c>
      <c r="D23" t="inlineStr">
        <is>
          <t>110201</t>
        </is>
      </c>
      <c r="E23" t="inlineStr">
        <is>
          <t>—</t>
        </is>
      </c>
      <c r="F23" s="11" t="n">
        <v>222378.0303</v>
      </c>
      <c r="G23" s="6">
        <f>IF($F$85=0,0,F23/$F$85)</f>
        <v/>
      </c>
      <c r="H23" s="5" t="n">
        <v>1620423.15</v>
      </c>
      <c r="I23" t="n">
        <v>4</v>
      </c>
      <c r="J23" t="n">
        <v>4</v>
      </c>
      <c r="L23" s="5" t="n">
        <v>6481692.61</v>
      </c>
    </row>
    <row r="24">
      <c r="A24" t="inlineStr">
        <is>
          <t>AYACUCHO</t>
        </is>
      </c>
      <c r="B24" t="inlineStr">
        <is>
          <t>HUAMANGA</t>
        </is>
      </c>
      <c r="C24" t="inlineStr">
        <is>
          <t>AYACUCHO</t>
        </is>
      </c>
      <c r="D24" t="inlineStr">
        <is>
          <t>050101</t>
        </is>
      </c>
      <c r="E24" t="inlineStr">
        <is>
          <t>—</t>
        </is>
      </c>
      <c r="F24" s="11" t="n">
        <v>219388.8248</v>
      </c>
      <c r="G24" s="6">
        <f>IF($F$85=0,0,F24/$F$85)</f>
        <v/>
      </c>
      <c r="H24" s="5" t="n">
        <v>1598641.42</v>
      </c>
      <c r="I24" t="n">
        <v>4</v>
      </c>
      <c r="J24" t="n">
        <v>3</v>
      </c>
      <c r="K24" t="n">
        <v>4</v>
      </c>
      <c r="L24" s="5" t="n">
        <v>5861685.22</v>
      </c>
    </row>
    <row r="25">
      <c r="A25" t="inlineStr">
        <is>
          <t>TACNA</t>
        </is>
      </c>
      <c r="B25" t="inlineStr">
        <is>
          <t>TACNA</t>
        </is>
      </c>
      <c r="C25" t="inlineStr">
        <is>
          <t>TACNA</t>
        </is>
      </c>
      <c r="D25" t="inlineStr">
        <is>
          <t>230101</t>
        </is>
      </c>
      <c r="E25" t="inlineStr">
        <is>
          <t>—</t>
        </is>
      </c>
      <c r="F25" s="11" t="n">
        <v>213414.9748</v>
      </c>
      <c r="G25" s="6">
        <f>IF($F$85=0,0,F25/$F$85)</f>
        <v/>
      </c>
      <c r="H25" s="5" t="n">
        <v>1555111.2</v>
      </c>
      <c r="I25" t="n">
        <v>3</v>
      </c>
      <c r="J25" t="n">
        <v>3</v>
      </c>
      <c r="L25" s="5" t="n">
        <v>4665333.61</v>
      </c>
    </row>
    <row r="26">
      <c r="A26" t="inlineStr">
        <is>
          <t>LIMA</t>
        </is>
      </c>
      <c r="B26" t="inlineStr">
        <is>
          <t>LIMA</t>
        </is>
      </c>
      <c r="C26" t="inlineStr">
        <is>
          <t>SANTA ANITA</t>
        </is>
      </c>
      <c r="D26" t="inlineStr">
        <is>
          <t>150137</t>
        </is>
      </c>
      <c r="E26" t="inlineStr">
        <is>
          <t>—</t>
        </is>
      </c>
      <c r="F26" s="11" t="n">
        <v>211991.1513</v>
      </c>
      <c r="G26" s="6">
        <f>IF($F$85=0,0,F26/$F$85)</f>
        <v/>
      </c>
      <c r="H26" s="5" t="n">
        <v>1544736.09</v>
      </c>
      <c r="I26" t="n">
        <v>2</v>
      </c>
      <c r="J26" t="n">
        <v>4</v>
      </c>
      <c r="L26" s="5" t="n">
        <v>4634208.28</v>
      </c>
    </row>
    <row r="27">
      <c r="A27" t="inlineStr">
        <is>
          <t>ANCASH</t>
        </is>
      </c>
      <c r="B27" t="inlineStr">
        <is>
          <t>HUARAZ</t>
        </is>
      </c>
      <c r="C27" t="inlineStr">
        <is>
          <t>HUARAZ</t>
        </is>
      </c>
      <c r="D27" t="inlineStr">
        <is>
          <t>020101</t>
        </is>
      </c>
      <c r="E27" t="inlineStr">
        <is>
          <t>—</t>
        </is>
      </c>
      <c r="F27" s="11" t="n">
        <v>208193.107</v>
      </c>
      <c r="G27" s="6">
        <f>IF($F$85=0,0,F27/$F$85)</f>
        <v/>
      </c>
      <c r="H27" s="5" t="n">
        <v>1517060.52</v>
      </c>
      <c r="I27" t="n">
        <v>4</v>
      </c>
      <c r="J27" t="n">
        <v>3</v>
      </c>
      <c r="K27" t="n">
        <v>4</v>
      </c>
      <c r="L27" s="5" t="n">
        <v>5562555.24</v>
      </c>
    </row>
    <row r="28">
      <c r="A28" t="inlineStr">
        <is>
          <t>PUNO</t>
        </is>
      </c>
      <c r="B28" t="inlineStr">
        <is>
          <t>SAN ROMAN</t>
        </is>
      </c>
      <c r="C28" t="inlineStr">
        <is>
          <t>JULIACA</t>
        </is>
      </c>
      <c r="D28" t="inlineStr">
        <is>
          <t>211101</t>
        </is>
      </c>
      <c r="E28" t="inlineStr">
        <is>
          <t>—</t>
        </is>
      </c>
      <c r="F28" s="11" t="n">
        <v>196283.3693</v>
      </c>
      <c r="G28" s="6">
        <f>IF($F$85=0,0,F28/$F$85)</f>
        <v/>
      </c>
      <c r="H28" s="5" t="n">
        <v>1430276.7</v>
      </c>
      <c r="I28" t="n">
        <v>3</v>
      </c>
      <c r="J28" t="n">
        <v>1</v>
      </c>
      <c r="K28" t="n">
        <v>4</v>
      </c>
      <c r="L28" s="5" t="n">
        <v>3814071.21</v>
      </c>
    </row>
    <row r="29">
      <c r="A29" t="inlineStr">
        <is>
          <t>HUANUCO</t>
        </is>
      </c>
      <c r="B29" t="inlineStr">
        <is>
          <t>HUANUCO</t>
        </is>
      </c>
      <c r="C29" t="inlineStr">
        <is>
          <t>HUANUCO</t>
        </is>
      </c>
      <c r="D29" t="inlineStr">
        <is>
          <t>100101</t>
        </is>
      </c>
      <c r="E29" t="inlineStr">
        <is>
          <t>—</t>
        </is>
      </c>
      <c r="F29" s="11" t="n">
        <v>188283.6005</v>
      </c>
      <c r="G29" s="6">
        <f>IF($F$85=0,0,F29/$F$85)</f>
        <v/>
      </c>
      <c r="H29" s="5" t="n">
        <v>1371984.03</v>
      </c>
      <c r="I29" t="n">
        <v>4</v>
      </c>
      <c r="J29" t="n">
        <v>3</v>
      </c>
      <c r="K29" t="n">
        <v>4</v>
      </c>
      <c r="L29" s="5" t="n">
        <v>5030608.1</v>
      </c>
    </row>
    <row r="30">
      <c r="A30" t="inlineStr">
        <is>
          <t>LIMA</t>
        </is>
      </c>
      <c r="B30" t="inlineStr">
        <is>
          <t>LIMA</t>
        </is>
      </c>
      <c r="C30" t="inlineStr">
        <is>
          <t>LOS OLIVOS</t>
        </is>
      </c>
      <c r="D30" t="inlineStr">
        <is>
          <t>150117</t>
        </is>
      </c>
      <c r="E30" t="inlineStr">
        <is>
          <t>—</t>
        </is>
      </c>
      <c r="F30" s="11" t="n">
        <v>185986.8856</v>
      </c>
      <c r="G30" s="6">
        <f>IF($F$85=0,0,F30/$F$85)</f>
        <v/>
      </c>
      <c r="H30" s="5" t="n">
        <v>1355248.33</v>
      </c>
      <c r="I30" t="n">
        <v>1</v>
      </c>
      <c r="J30" t="n">
        <v>4</v>
      </c>
      <c r="L30" s="5" t="n">
        <v>3388120.84</v>
      </c>
    </row>
    <row r="31">
      <c r="A31" t="inlineStr">
        <is>
          <t>JUNIN</t>
        </is>
      </c>
      <c r="B31" t="inlineStr">
        <is>
          <t>HUANCAYO</t>
        </is>
      </c>
      <c r="C31" t="inlineStr">
        <is>
          <t>EL TAMBO</t>
        </is>
      </c>
      <c r="D31" t="inlineStr">
        <is>
          <t>120114</t>
        </is>
      </c>
      <c r="E31" t="inlineStr">
        <is>
          <t>—</t>
        </is>
      </c>
      <c r="F31" s="11" t="n">
        <v>175485.9232</v>
      </c>
      <c r="G31" s="6">
        <f>IF($F$85=0,0,F31/$F$85)</f>
        <v/>
      </c>
      <c r="H31" s="5" t="n">
        <v>1278729.97</v>
      </c>
      <c r="I31" t="n">
        <v>4</v>
      </c>
      <c r="J31" t="n">
        <v>2</v>
      </c>
      <c r="K31" t="n">
        <v>3</v>
      </c>
      <c r="L31" s="5" t="n">
        <v>3836189.92</v>
      </c>
    </row>
    <row r="32">
      <c r="A32" t="inlineStr">
        <is>
          <t>LIMA</t>
        </is>
      </c>
      <c r="B32" t="inlineStr">
        <is>
          <t>LIMA</t>
        </is>
      </c>
      <c r="C32" t="inlineStr">
        <is>
          <t>JESUS MARIA</t>
        </is>
      </c>
      <c r="D32" t="inlineStr">
        <is>
          <t>150113</t>
        </is>
      </c>
      <c r="E32" t="inlineStr">
        <is>
          <t>—</t>
        </is>
      </c>
      <c r="F32" s="11" t="n">
        <v>171720.8501</v>
      </c>
      <c r="G32" s="6">
        <f>IF($F$85=0,0,F32/$F$85)</f>
        <v/>
      </c>
      <c r="H32" s="5" t="n">
        <v>1251294.66</v>
      </c>
      <c r="I32" t="n">
        <v>1</v>
      </c>
      <c r="J32" t="n">
        <v>4</v>
      </c>
      <c r="L32" s="5" t="n">
        <v>3128236.64</v>
      </c>
    </row>
    <row r="33">
      <c r="A33" t="inlineStr">
        <is>
          <t>AREQUIPA</t>
        </is>
      </c>
      <c r="B33" t="inlineStr">
        <is>
          <t>AREQUIPA</t>
        </is>
      </c>
      <c r="C33" t="inlineStr">
        <is>
          <t>CAYMA</t>
        </is>
      </c>
      <c r="D33" t="inlineStr">
        <is>
          <t>040103</t>
        </is>
      </c>
      <c r="E33" t="inlineStr">
        <is>
          <t>—</t>
        </is>
      </c>
      <c r="F33" s="11" t="n">
        <v>162142.3149</v>
      </c>
      <c r="G33" s="6">
        <f>IF($F$85=0,0,F33/$F$85)</f>
        <v/>
      </c>
      <c r="H33" s="5" t="n">
        <v>1181497.83</v>
      </c>
      <c r="I33" t="n">
        <v>4</v>
      </c>
      <c r="J33" t="n">
        <v>3</v>
      </c>
      <c r="K33" t="n">
        <v>4</v>
      </c>
      <c r="L33" s="5" t="n">
        <v>4332158.72</v>
      </c>
    </row>
    <row r="34">
      <c r="A34" t="inlineStr">
        <is>
          <t>CALLAO</t>
        </is>
      </c>
      <c r="B34" t="inlineStr">
        <is>
          <t>CALLAO</t>
        </is>
      </c>
      <c r="C34" t="inlineStr">
        <is>
          <t>BELLAVISTA</t>
        </is>
      </c>
      <c r="D34" t="inlineStr">
        <is>
          <t>070102</t>
        </is>
      </c>
      <c r="E34" t="inlineStr">
        <is>
          <t>—</t>
        </is>
      </c>
      <c r="F34" s="11" t="n">
        <v>159691.5486</v>
      </c>
      <c r="G34" s="6">
        <f>IF($F$85=0,0,F34/$F$85)</f>
        <v/>
      </c>
      <c r="H34" s="5" t="n">
        <v>1163639.6</v>
      </c>
      <c r="I34" t="n">
        <v>1</v>
      </c>
      <c r="J34" t="n">
        <v>4</v>
      </c>
      <c r="L34" s="5" t="n">
        <v>2909099</v>
      </c>
    </row>
    <row r="35">
      <c r="A35" t="inlineStr">
        <is>
          <t>LIMA</t>
        </is>
      </c>
      <c r="B35" t="inlineStr">
        <is>
          <t>LIMA</t>
        </is>
      </c>
      <c r="C35" t="inlineStr">
        <is>
          <t>SAN JUAN DE LURIGANCHO</t>
        </is>
      </c>
      <c r="D35" t="inlineStr">
        <is>
          <t>150132</t>
        </is>
      </c>
      <c r="E35" t="inlineStr">
        <is>
          <t>—</t>
        </is>
      </c>
      <c r="F35" s="11" t="n">
        <v>152995.9253</v>
      </c>
      <c r="G35" s="6">
        <f>IF($F$85=0,0,F35/$F$85)</f>
        <v/>
      </c>
      <c r="H35" s="5" t="n">
        <v>1114849.97</v>
      </c>
      <c r="I35" t="n">
        <v>5</v>
      </c>
      <c r="J35" t="n">
        <v>2</v>
      </c>
      <c r="L35" s="5" t="n">
        <v>3901974.88</v>
      </c>
    </row>
    <row r="36">
      <c r="A36" t="inlineStr">
        <is>
          <t>AREQUIPA</t>
        </is>
      </c>
      <c r="B36" t="inlineStr">
        <is>
          <t>AREQUIPA</t>
        </is>
      </c>
      <c r="C36" t="inlineStr">
        <is>
          <t>YANAHUARA</t>
        </is>
      </c>
      <c r="D36" t="inlineStr">
        <is>
          <t>040126</t>
        </is>
      </c>
      <c r="E36" t="inlineStr">
        <is>
          <t>—</t>
        </is>
      </c>
      <c r="F36" s="11" t="n">
        <v>149473.5188</v>
      </c>
      <c r="G36" s="6">
        <f>IF($F$85=0,0,F36/$F$85)</f>
        <v/>
      </c>
      <c r="H36" s="5" t="n">
        <v>1089182.91</v>
      </c>
      <c r="I36" t="n">
        <v>2</v>
      </c>
      <c r="J36" t="n">
        <v>5</v>
      </c>
      <c r="L36" s="5" t="n">
        <v>3812140.19</v>
      </c>
    </row>
    <row r="37">
      <c r="A37" t="inlineStr">
        <is>
          <t>UCAYALI</t>
        </is>
      </c>
      <c r="B37" t="inlineStr">
        <is>
          <t>CORONEL PORTILLO</t>
        </is>
      </c>
      <c r="C37" t="inlineStr">
        <is>
          <t>CALLERIA</t>
        </is>
      </c>
      <c r="D37" t="inlineStr">
        <is>
          <t>250101</t>
        </is>
      </c>
      <c r="E37" t="inlineStr">
        <is>
          <t>—</t>
        </is>
      </c>
      <c r="F37" s="11" t="n">
        <v>139233.2887</v>
      </c>
      <c r="G37" s="6">
        <f>IF($F$85=0,0,F37/$F$85)</f>
        <v/>
      </c>
      <c r="H37" s="5" t="n">
        <v>1014564.45</v>
      </c>
      <c r="I37" t="n">
        <v>4</v>
      </c>
      <c r="J37" t="n">
        <v>4</v>
      </c>
      <c r="K37" t="n">
        <v>2</v>
      </c>
      <c r="L37" s="5" t="n">
        <v>3381881.51</v>
      </c>
    </row>
    <row r="38">
      <c r="A38" t="inlineStr">
        <is>
          <t>LIMA</t>
        </is>
      </c>
      <c r="B38" t="inlineStr">
        <is>
          <t>LIMA</t>
        </is>
      </c>
      <c r="C38" t="inlineStr">
        <is>
          <t>SAN JUAN DE MIRAFLORES</t>
        </is>
      </c>
      <c r="D38" t="inlineStr">
        <is>
          <t>150133</t>
        </is>
      </c>
      <c r="E38" t="inlineStr">
        <is>
          <t>—</t>
        </is>
      </c>
      <c r="F38" s="11" t="n">
        <v>137385.7792</v>
      </c>
      <c r="G38" s="6">
        <f>IF($F$85=0,0,F38/$F$85)</f>
        <v/>
      </c>
      <c r="H38" s="5" t="n">
        <v>1001102.03</v>
      </c>
      <c r="I38" t="n">
        <v>2</v>
      </c>
      <c r="J38" t="n">
        <v>3</v>
      </c>
      <c r="L38" s="5" t="n">
        <v>2502755.07</v>
      </c>
    </row>
    <row r="39">
      <c r="A39" t="inlineStr">
        <is>
          <t>LIMA</t>
        </is>
      </c>
      <c r="B39" t="inlineStr">
        <is>
          <t>LIMA</t>
        </is>
      </c>
      <c r="C39" t="inlineStr">
        <is>
          <t>CHORRILLOS</t>
        </is>
      </c>
      <c r="D39" t="inlineStr">
        <is>
          <t>150108</t>
        </is>
      </c>
      <c r="E39" t="inlineStr">
        <is>
          <t>—</t>
        </is>
      </c>
      <c r="F39" s="11" t="n">
        <v>132619.747</v>
      </c>
      <c r="G39" s="6">
        <f>IF($F$85=0,0,F39/$F$85)</f>
        <v/>
      </c>
      <c r="H39" s="5" t="n">
        <v>966372.9300000001</v>
      </c>
      <c r="I39" t="n">
        <v>2</v>
      </c>
      <c r="J39" t="n">
        <v>4</v>
      </c>
      <c r="L39" s="5" t="n">
        <v>2899118.79</v>
      </c>
    </row>
    <row r="40">
      <c r="A40" t="inlineStr">
        <is>
          <t>LIMA</t>
        </is>
      </c>
      <c r="B40" t="inlineStr">
        <is>
          <t>LIMA</t>
        </is>
      </c>
      <c r="C40" t="inlineStr">
        <is>
          <t>INDEPENDENCIA</t>
        </is>
      </c>
      <c r="D40" t="inlineStr">
        <is>
          <t>150112</t>
        </is>
      </c>
      <c r="E40" t="inlineStr">
        <is>
          <t>—</t>
        </is>
      </c>
      <c r="F40" s="11" t="n">
        <v>127337.0562</v>
      </c>
      <c r="G40" s="6">
        <f>IF($F$85=0,0,F40/$F$85)</f>
        <v/>
      </c>
      <c r="H40" s="5" t="n">
        <v>927879.04</v>
      </c>
      <c r="I40" t="n">
        <v>5</v>
      </c>
      <c r="J40" t="n">
        <v>2</v>
      </c>
      <c r="L40" s="5" t="n">
        <v>3247576.65</v>
      </c>
    </row>
    <row r="41">
      <c r="A41" t="inlineStr">
        <is>
          <t>CALLAO</t>
        </is>
      </c>
      <c r="B41" t="inlineStr">
        <is>
          <t>CALLAO</t>
        </is>
      </c>
      <c r="C41" t="inlineStr">
        <is>
          <t>CALLAO</t>
        </is>
      </c>
      <c r="D41" t="inlineStr">
        <is>
          <t>070101</t>
        </is>
      </c>
      <c r="E41" t="inlineStr">
        <is>
          <t>—</t>
        </is>
      </c>
      <c r="F41" s="11" t="n">
        <v>112980.2853</v>
      </c>
      <c r="G41" s="6">
        <f>IF($F$85=0,0,F41/$F$85)</f>
        <v/>
      </c>
      <c r="H41" s="5" t="n">
        <v>823264.1899999999</v>
      </c>
      <c r="I41" t="n">
        <v>1</v>
      </c>
      <c r="J41" t="n">
        <v>5</v>
      </c>
      <c r="L41" s="5" t="n">
        <v>2469792.58</v>
      </c>
    </row>
    <row r="42">
      <c r="A42" t="inlineStr">
        <is>
          <t>LIMA</t>
        </is>
      </c>
      <c r="B42" t="inlineStr">
        <is>
          <t>LIMA</t>
        </is>
      </c>
      <c r="C42" t="inlineStr">
        <is>
          <t>LA MOLINA</t>
        </is>
      </c>
      <c r="D42" t="inlineStr">
        <is>
          <t>150114</t>
        </is>
      </c>
      <c r="E42" t="inlineStr">
        <is>
          <t>—</t>
        </is>
      </c>
      <c r="F42" s="11" t="n">
        <v>104154.0468</v>
      </c>
      <c r="G42" s="6">
        <f>IF($F$85=0,0,F42/$F$85)</f>
        <v/>
      </c>
      <c r="H42" s="5" t="n">
        <v>758949.2</v>
      </c>
      <c r="I42" t="n">
        <v>4</v>
      </c>
      <c r="J42" t="n">
        <v>3</v>
      </c>
      <c r="L42" s="5" t="n">
        <v>2656322.21</v>
      </c>
    </row>
    <row r="43">
      <c r="A43" t="inlineStr">
        <is>
          <t>LIMA</t>
        </is>
      </c>
      <c r="B43" t="inlineStr">
        <is>
          <t>HUAURA</t>
        </is>
      </c>
      <c r="C43" t="inlineStr">
        <is>
          <t>HUACHO</t>
        </is>
      </c>
      <c r="D43" t="inlineStr">
        <is>
          <t>150801</t>
        </is>
      </c>
      <c r="E43" t="inlineStr">
        <is>
          <t>—</t>
        </is>
      </c>
      <c r="F43" s="11" t="n">
        <v>99444.6136</v>
      </c>
      <c r="G43" s="6">
        <f>IF($F$85=0,0,F43/$F$85)</f>
        <v/>
      </c>
      <c r="H43" s="5" t="n">
        <v>724632.53</v>
      </c>
      <c r="I43" t="n">
        <v>3</v>
      </c>
      <c r="J43" t="n">
        <v>3</v>
      </c>
      <c r="L43" s="5" t="n">
        <v>2173897.58</v>
      </c>
    </row>
    <row r="44">
      <c r="A44" t="inlineStr">
        <is>
          <t>PUNO</t>
        </is>
      </c>
      <c r="B44" t="inlineStr">
        <is>
          <t>PUNO</t>
        </is>
      </c>
      <c r="C44" t="inlineStr">
        <is>
          <t>PUNO</t>
        </is>
      </c>
      <c r="D44" t="inlineStr">
        <is>
          <t>210101</t>
        </is>
      </c>
      <c r="E44" t="inlineStr">
        <is>
          <t>—</t>
        </is>
      </c>
      <c r="F44" s="11" t="n">
        <v>96744.9016</v>
      </c>
      <c r="G44" s="6">
        <f>IF($F$85=0,0,F44/$F$85)</f>
        <v/>
      </c>
      <c r="H44" s="5" t="n">
        <v>704960.28</v>
      </c>
      <c r="I44" t="n">
        <v>4</v>
      </c>
      <c r="J44" t="n">
        <v>3</v>
      </c>
      <c r="K44" t="n">
        <v>3</v>
      </c>
      <c r="L44" s="5" t="n">
        <v>2349867.6</v>
      </c>
    </row>
    <row r="45">
      <c r="A45" t="inlineStr">
        <is>
          <t>LIMA</t>
        </is>
      </c>
      <c r="B45" t="inlineStr">
        <is>
          <t>LIMA</t>
        </is>
      </c>
      <c r="C45" t="inlineStr">
        <is>
          <t>SAN MARTIN DE PORRES</t>
        </is>
      </c>
      <c r="D45" t="inlineStr">
        <is>
          <t>150135</t>
        </is>
      </c>
      <c r="E45" t="inlineStr">
        <is>
          <t>—</t>
        </is>
      </c>
      <c r="F45" s="11" t="n">
        <v>94629.3054</v>
      </c>
      <c r="G45" s="6">
        <f>IF($F$85=0,0,F45/$F$85)</f>
        <v/>
      </c>
      <c r="H45" s="5" t="n">
        <v>689544.36</v>
      </c>
      <c r="I45" t="n">
        <v>2</v>
      </c>
      <c r="J45" t="n">
        <v>5</v>
      </c>
      <c r="L45" s="5" t="n">
        <v>2413405.27</v>
      </c>
    </row>
    <row r="46">
      <c r="A46" t="inlineStr">
        <is>
          <t>AREQUIPA</t>
        </is>
      </c>
      <c r="B46" t="inlineStr">
        <is>
          <t>AREQUIPA</t>
        </is>
      </c>
      <c r="C46" t="inlineStr">
        <is>
          <t>PAUCARPATA</t>
        </is>
      </c>
      <c r="D46" t="inlineStr">
        <is>
          <t>040112</t>
        </is>
      </c>
      <c r="E46" t="inlineStr">
        <is>
          <t>—</t>
        </is>
      </c>
      <c r="F46" s="11" t="n">
        <v>83449.56299999999</v>
      </c>
      <c r="G46" s="6">
        <f>IF($F$85=0,0,F46/$F$85)</f>
        <v/>
      </c>
      <c r="H46" s="5" t="n">
        <v>608079.87</v>
      </c>
      <c r="I46" t="n">
        <v>5</v>
      </c>
      <c r="J46" t="n">
        <v>4</v>
      </c>
      <c r="K46" t="n">
        <v>2</v>
      </c>
      <c r="L46" s="5" t="n">
        <v>2229626.19</v>
      </c>
    </row>
    <row r="47">
      <c r="A47" t="inlineStr">
        <is>
          <t>PIURA</t>
        </is>
      </c>
      <c r="B47" t="inlineStr">
        <is>
          <t>SULLANA</t>
        </is>
      </c>
      <c r="C47" t="inlineStr">
        <is>
          <t>SULLANA</t>
        </is>
      </c>
      <c r="D47" t="inlineStr">
        <is>
          <t>200601</t>
        </is>
      </c>
      <c r="E47" t="inlineStr">
        <is>
          <t>—</t>
        </is>
      </c>
      <c r="F47" s="11" t="n">
        <v>82754.4412</v>
      </c>
      <c r="G47" s="6">
        <f>IF($F$85=0,0,F47/$F$85)</f>
        <v/>
      </c>
      <c r="H47" s="5" t="n">
        <v>603014.66</v>
      </c>
      <c r="I47" t="n">
        <v>2</v>
      </c>
      <c r="J47" t="n">
        <v>5</v>
      </c>
      <c r="K47" t="n">
        <v>2</v>
      </c>
      <c r="L47" s="5" t="n">
        <v>1809043.98</v>
      </c>
    </row>
    <row r="48">
      <c r="A48" t="inlineStr">
        <is>
          <t>APURIMAC</t>
        </is>
      </c>
      <c r="B48" t="inlineStr">
        <is>
          <t>ABANCAY</t>
        </is>
      </c>
      <c r="C48" t="inlineStr">
        <is>
          <t>ABANCAY</t>
        </is>
      </c>
      <c r="D48" t="inlineStr">
        <is>
          <t>030101</t>
        </is>
      </c>
      <c r="E48" t="inlineStr">
        <is>
          <t>—</t>
        </is>
      </c>
      <c r="F48" s="11" t="n">
        <v>74959.8602</v>
      </c>
      <c r="G48" s="6">
        <f>IF($F$85=0,0,F48/$F$85)</f>
        <v/>
      </c>
      <c r="H48" s="5" t="n">
        <v>546217.14</v>
      </c>
      <c r="I48" t="n">
        <v>4</v>
      </c>
      <c r="J48" t="n">
        <v>2</v>
      </c>
      <c r="K48" t="n">
        <v>3</v>
      </c>
      <c r="L48" s="5" t="n">
        <v>1638651.43</v>
      </c>
    </row>
    <row r="49">
      <c r="A49" t="inlineStr">
        <is>
          <t>LIMA</t>
        </is>
      </c>
      <c r="B49" t="inlineStr">
        <is>
          <t>LIMA</t>
        </is>
      </c>
      <c r="C49" t="inlineStr">
        <is>
          <t>BREÑA</t>
        </is>
      </c>
      <c r="D49" t="inlineStr">
        <is>
          <t>150105</t>
        </is>
      </c>
      <c r="E49" t="inlineStr">
        <is>
          <t>—</t>
        </is>
      </c>
      <c r="F49" s="11" t="n">
        <v>74835.9277</v>
      </c>
      <c r="G49" s="6">
        <f>IF($F$85=0,0,F49/$F$85)</f>
        <v/>
      </c>
      <c r="H49" s="5" t="n">
        <v>545314.0699999999</v>
      </c>
      <c r="I49" t="n">
        <v>1</v>
      </c>
      <c r="J49" t="n">
        <v>3</v>
      </c>
      <c r="L49" s="5" t="n">
        <v>1090628.15</v>
      </c>
    </row>
    <row r="50">
      <c r="A50" t="inlineStr">
        <is>
          <t>MADRE DE DIOS</t>
        </is>
      </c>
      <c r="B50" t="inlineStr">
        <is>
          <t>TAMBOPATA</t>
        </is>
      </c>
      <c r="C50" t="inlineStr">
        <is>
          <t>TAMBOPATA</t>
        </is>
      </c>
      <c r="D50" t="inlineStr">
        <is>
          <t>170101</t>
        </is>
      </c>
      <c r="E50" t="inlineStr">
        <is>
          <t>—</t>
        </is>
      </c>
      <c r="F50" s="11" t="n">
        <v>71075.2812</v>
      </c>
      <c r="G50" s="6">
        <f>IF($F$85=0,0,F50/$F$85)</f>
        <v/>
      </c>
      <c r="H50" s="5" t="n">
        <v>517911.01</v>
      </c>
      <c r="I50" t="n">
        <v>3</v>
      </c>
      <c r="J50" t="n">
        <v>2</v>
      </c>
      <c r="K50" t="n">
        <v>2</v>
      </c>
      <c r="L50" s="5" t="n">
        <v>1208459.03</v>
      </c>
    </row>
    <row r="51">
      <c r="A51" t="inlineStr">
        <is>
          <t>LIMA</t>
        </is>
      </c>
      <c r="B51" t="inlineStr">
        <is>
          <t>LIMA</t>
        </is>
      </c>
      <c r="C51" t="inlineStr">
        <is>
          <t>LINCE</t>
        </is>
      </c>
      <c r="D51" t="inlineStr">
        <is>
          <t>150116</t>
        </is>
      </c>
      <c r="E51" t="inlineStr">
        <is>
          <t>—</t>
        </is>
      </c>
      <c r="F51" s="11" t="n">
        <v>68728.8416</v>
      </c>
      <c r="G51" s="6">
        <f>IF($F$85=0,0,F51/$F$85)</f>
        <v/>
      </c>
      <c r="H51" s="5" t="n">
        <v>500812.99</v>
      </c>
      <c r="I51" t="n">
        <v>1</v>
      </c>
      <c r="J51" t="n">
        <v>4</v>
      </c>
      <c r="L51" s="5" t="n">
        <v>1252032.47</v>
      </c>
    </row>
    <row r="52">
      <c r="A52" t="inlineStr">
        <is>
          <t>TUMBES</t>
        </is>
      </c>
      <c r="B52" t="inlineStr">
        <is>
          <t>TUMBES</t>
        </is>
      </c>
      <c r="C52" t="inlineStr">
        <is>
          <t>TUMBES</t>
        </is>
      </c>
      <c r="D52" t="inlineStr">
        <is>
          <t>240101</t>
        </is>
      </c>
      <c r="E52" t="inlineStr">
        <is>
          <t>—</t>
        </is>
      </c>
      <c r="F52" s="11" t="n">
        <v>63380.2978</v>
      </c>
      <c r="G52" s="6">
        <f>IF($F$85=0,0,F52/$F$85)</f>
        <v/>
      </c>
      <c r="H52" s="5" t="n">
        <v>461839.25</v>
      </c>
      <c r="I52" t="n">
        <v>3</v>
      </c>
      <c r="J52" t="n">
        <v>5</v>
      </c>
      <c r="K52" t="n">
        <v>4</v>
      </c>
      <c r="L52" s="5" t="n">
        <v>1847356.98</v>
      </c>
    </row>
    <row r="53">
      <c r="A53" t="inlineStr">
        <is>
          <t>LIMA</t>
        </is>
      </c>
      <c r="B53" t="inlineStr">
        <is>
          <t>LIMA</t>
        </is>
      </c>
      <c r="C53" t="inlineStr">
        <is>
          <t>MAGDALENA VIEJA</t>
        </is>
      </c>
      <c r="D53" t="inlineStr">
        <is>
          <t>150121</t>
        </is>
      </c>
      <c r="E53" t="inlineStr">
        <is>
          <t>—</t>
        </is>
      </c>
      <c r="F53" s="11" t="n">
        <v>61416.1928</v>
      </c>
      <c r="G53" s="6">
        <f>IF($F$85=0,0,F53/$F$85)</f>
        <v/>
      </c>
      <c r="H53" s="5" t="n">
        <v>447527.22</v>
      </c>
      <c r="I53" t="n">
        <v>1</v>
      </c>
      <c r="J53" t="n">
        <v>4</v>
      </c>
      <c r="L53" s="5" t="n">
        <v>1118818.04</v>
      </c>
    </row>
    <row r="54">
      <c r="A54" t="inlineStr">
        <is>
          <t>LIMA</t>
        </is>
      </c>
      <c r="B54" t="inlineStr">
        <is>
          <t>LIMA</t>
        </is>
      </c>
      <c r="C54" t="inlineStr">
        <is>
          <t>ATE</t>
        </is>
      </c>
      <c r="D54" t="inlineStr">
        <is>
          <t>150103</t>
        </is>
      </c>
      <c r="E54" t="inlineStr">
        <is>
          <t>—</t>
        </is>
      </c>
      <c r="F54" s="11" t="n">
        <v>60788.2322</v>
      </c>
      <c r="G54" s="6">
        <f>IF($F$85=0,0,F54/$F$85)</f>
        <v/>
      </c>
      <c r="H54" s="5" t="n">
        <v>442951.4</v>
      </c>
      <c r="I54" t="n">
        <v>4</v>
      </c>
      <c r="J54" t="n">
        <v>3</v>
      </c>
      <c r="L54" s="5" t="n">
        <v>1550329.88</v>
      </c>
    </row>
    <row r="55">
      <c r="A55" t="inlineStr">
        <is>
          <t>ICA</t>
        </is>
      </c>
      <c r="B55" t="inlineStr">
        <is>
          <t>PISCO</t>
        </is>
      </c>
      <c r="C55" t="inlineStr">
        <is>
          <t>PISCO</t>
        </is>
      </c>
      <c r="D55" t="inlineStr">
        <is>
          <t>110501</t>
        </is>
      </c>
      <c r="E55" t="inlineStr">
        <is>
          <t>—</t>
        </is>
      </c>
      <c r="F55" s="11" t="n">
        <v>59363.8795</v>
      </c>
      <c r="G55" s="6">
        <f>IF($F$85=0,0,F55/$F$85)</f>
        <v/>
      </c>
      <c r="H55" s="5" t="n">
        <v>432572.43</v>
      </c>
      <c r="I55" t="n">
        <v>3</v>
      </c>
      <c r="J55" t="n">
        <v>5</v>
      </c>
      <c r="L55" s="5" t="n">
        <v>1730289.72</v>
      </c>
    </row>
    <row r="56">
      <c r="A56" t="inlineStr">
        <is>
          <t>MOQUEGUA</t>
        </is>
      </c>
      <c r="B56" t="inlineStr">
        <is>
          <t>MARISCAL NIETO</t>
        </is>
      </c>
      <c r="C56" t="inlineStr">
        <is>
          <t>MOQUEGUA</t>
        </is>
      </c>
      <c r="D56" t="inlineStr">
        <is>
          <t>180101</t>
        </is>
      </c>
      <c r="E56" t="inlineStr">
        <is>
          <t>—</t>
        </is>
      </c>
      <c r="F56" s="11" t="n">
        <v>57048.3772</v>
      </c>
      <c r="G56" s="6">
        <f>IF($F$85=0,0,F56/$F$85)</f>
        <v/>
      </c>
      <c r="H56" s="5" t="n">
        <v>415699.84</v>
      </c>
      <c r="I56" t="n">
        <v>4</v>
      </c>
      <c r="J56" t="n">
        <v>4</v>
      </c>
      <c r="L56" s="5" t="n">
        <v>1662799.35</v>
      </c>
    </row>
    <row r="57">
      <c r="A57" t="inlineStr">
        <is>
          <t>LIMA</t>
        </is>
      </c>
      <c r="B57" t="inlineStr">
        <is>
          <t>CAÑETE</t>
        </is>
      </c>
      <c r="C57" t="inlineStr">
        <is>
          <t>SAN VICENTE DE CAÑETE</t>
        </is>
      </c>
      <c r="D57" t="inlineStr">
        <is>
          <t>150501</t>
        </is>
      </c>
      <c r="E57" t="inlineStr">
        <is>
          <t>—</t>
        </is>
      </c>
      <c r="F57" s="11" t="n">
        <v>51283.9942</v>
      </c>
      <c r="G57" s="6">
        <f>IF($F$85=0,0,F57/$F$85)</f>
        <v/>
      </c>
      <c r="H57" s="5" t="n">
        <v>373695.96</v>
      </c>
      <c r="I57" t="n">
        <v>3</v>
      </c>
      <c r="J57" t="n">
        <v>5</v>
      </c>
      <c r="L57" s="5" t="n">
        <v>1494783.84</v>
      </c>
    </row>
    <row r="58">
      <c r="A58" t="inlineStr">
        <is>
          <t>LIMA</t>
        </is>
      </c>
      <c r="B58" t="inlineStr">
        <is>
          <t>LIMA</t>
        </is>
      </c>
      <c r="C58" t="inlineStr">
        <is>
          <t>BARRANCO</t>
        </is>
      </c>
      <c r="D58" t="inlineStr">
        <is>
          <t>150104</t>
        </is>
      </c>
      <c r="E58" t="inlineStr">
        <is>
          <t>—</t>
        </is>
      </c>
      <c r="F58" s="11" t="n">
        <v>49775.6545</v>
      </c>
      <c r="G58" s="6">
        <f>IF($F$85=0,0,F58/$F$85)</f>
        <v/>
      </c>
      <c r="H58" s="5" t="n">
        <v>362705</v>
      </c>
      <c r="I58" t="n">
        <v>1</v>
      </c>
      <c r="J58" t="n">
        <v>4</v>
      </c>
      <c r="L58" s="5" t="n">
        <v>906762.49</v>
      </c>
    </row>
    <row r="59">
      <c r="A59" t="inlineStr">
        <is>
          <t>JUNIN</t>
        </is>
      </c>
      <c r="B59" t="inlineStr">
        <is>
          <t>CHANCHAMAYO</t>
        </is>
      </c>
      <c r="C59" t="inlineStr">
        <is>
          <t>CHANCHAMAYO</t>
        </is>
      </c>
      <c r="D59" t="inlineStr">
        <is>
          <t>120301</t>
        </is>
      </c>
      <c r="E59" t="inlineStr">
        <is>
          <t>—</t>
        </is>
      </c>
      <c r="F59" s="11" t="n">
        <v>43978.8228</v>
      </c>
      <c r="G59" s="6">
        <f>IF($F$85=0,0,F59/$F$85)</f>
        <v/>
      </c>
      <c r="H59" s="5" t="n">
        <v>320464.67</v>
      </c>
      <c r="I59" t="n">
        <v>5</v>
      </c>
      <c r="J59" t="n">
        <v>2</v>
      </c>
      <c r="K59" t="n">
        <v>3</v>
      </c>
      <c r="L59" s="5" t="n">
        <v>1068215.57</v>
      </c>
    </row>
    <row r="60">
      <c r="A60" t="inlineStr">
        <is>
          <t>LIMA</t>
        </is>
      </c>
      <c r="B60" t="inlineStr">
        <is>
          <t>LIMA</t>
        </is>
      </c>
      <c r="C60" t="inlineStr">
        <is>
          <t>VILLA EL SALVADOR</t>
        </is>
      </c>
      <c r="D60" t="inlineStr">
        <is>
          <t>150142</t>
        </is>
      </c>
      <c r="E60" t="inlineStr">
        <is>
          <t>—</t>
        </is>
      </c>
      <c r="F60" s="11" t="n">
        <v>43027.7335</v>
      </c>
      <c r="G60" s="6">
        <f>IF($F$85=0,0,F60/$F$85)</f>
        <v/>
      </c>
      <c r="H60" s="5" t="n">
        <v>313534.28</v>
      </c>
      <c r="I60" t="n">
        <v>1</v>
      </c>
      <c r="J60" t="n">
        <v>3</v>
      </c>
      <c r="L60" s="5" t="n">
        <v>627068.5600000001</v>
      </c>
    </row>
    <row r="61">
      <c r="A61" t="inlineStr">
        <is>
          <t>ICA</t>
        </is>
      </c>
      <c r="B61" t="inlineStr">
        <is>
          <t>NAZCA</t>
        </is>
      </c>
      <c r="C61" t="inlineStr">
        <is>
          <t>NAZCA</t>
        </is>
      </c>
      <c r="D61" t="inlineStr">
        <is>
          <t>110301</t>
        </is>
      </c>
      <c r="E61" t="inlineStr">
        <is>
          <t>—</t>
        </is>
      </c>
      <c r="F61" s="11" t="n">
        <v>38411.4783</v>
      </c>
      <c r="G61" s="6">
        <f>IF($F$85=0,0,F61/$F$85)</f>
        <v/>
      </c>
      <c r="H61" s="5" t="n">
        <v>279896.57</v>
      </c>
      <c r="I61" t="n">
        <v>3</v>
      </c>
      <c r="J61" t="n">
        <v>5</v>
      </c>
      <c r="L61" s="5" t="n">
        <v>1119586.3</v>
      </c>
    </row>
    <row r="62">
      <c r="A62" t="inlineStr">
        <is>
          <t>LIMA</t>
        </is>
      </c>
      <c r="B62" t="inlineStr">
        <is>
          <t>HUARAL</t>
        </is>
      </c>
      <c r="C62" t="inlineStr">
        <is>
          <t>HUARAL</t>
        </is>
      </c>
      <c r="D62" t="inlineStr">
        <is>
          <t>150601</t>
        </is>
      </c>
      <c r="E62" t="inlineStr">
        <is>
          <t>—</t>
        </is>
      </c>
      <c r="F62" s="11" t="n">
        <v>38291.6875</v>
      </c>
      <c r="G62" s="6">
        <f>IF($F$85=0,0,F62/$F$85)</f>
        <v/>
      </c>
      <c r="H62" s="5" t="n">
        <v>279023.68</v>
      </c>
      <c r="I62" t="n">
        <v>4</v>
      </c>
      <c r="J62" t="n">
        <v>4</v>
      </c>
      <c r="L62" s="5" t="n">
        <v>1116094.73</v>
      </c>
    </row>
    <row r="63">
      <c r="A63" t="inlineStr">
        <is>
          <t>PIURA</t>
        </is>
      </c>
      <c r="B63" t="inlineStr">
        <is>
          <t>TALARA</t>
        </is>
      </c>
      <c r="C63" t="inlineStr">
        <is>
          <t>PARIÑAS</t>
        </is>
      </c>
      <c r="D63" t="inlineStr">
        <is>
          <t>200701</t>
        </is>
      </c>
      <c r="E63" t="inlineStr">
        <is>
          <t>—</t>
        </is>
      </c>
      <c r="F63" s="11" t="n">
        <v>35572.2974</v>
      </c>
      <c r="G63" s="6">
        <f>IF($F$85=0,0,F63/$F$85)</f>
        <v/>
      </c>
      <c r="H63" s="5" t="n">
        <v>259208.04</v>
      </c>
      <c r="I63" t="n">
        <v>3</v>
      </c>
      <c r="J63" t="n">
        <v>4</v>
      </c>
      <c r="K63" t="n">
        <v>3</v>
      </c>
      <c r="L63" s="5" t="n">
        <v>864026.8100000001</v>
      </c>
    </row>
    <row r="64">
      <c r="A64" t="inlineStr">
        <is>
          <t>LIMA</t>
        </is>
      </c>
      <c r="B64" t="inlineStr">
        <is>
          <t>LIMA</t>
        </is>
      </c>
      <c r="C64" t="inlineStr">
        <is>
          <t>COMAS</t>
        </is>
      </c>
      <c r="D64" t="inlineStr">
        <is>
          <t>150110</t>
        </is>
      </c>
      <c r="E64" t="inlineStr">
        <is>
          <t>—</t>
        </is>
      </c>
      <c r="F64" s="11" t="n">
        <v>33884.2088</v>
      </c>
      <c r="G64" s="6">
        <f>IF($F$85=0,0,F64/$F$85)</f>
        <v/>
      </c>
      <c r="H64" s="5" t="n">
        <v>246907.29</v>
      </c>
      <c r="I64" t="n">
        <v>3</v>
      </c>
      <c r="J64" t="n">
        <v>3</v>
      </c>
      <c r="L64" s="5" t="n">
        <v>740721.86</v>
      </c>
    </row>
    <row r="65">
      <c r="A65" t="inlineStr">
        <is>
          <t>LIMA</t>
        </is>
      </c>
      <c r="B65" t="inlineStr">
        <is>
          <t>LIMA</t>
        </is>
      </c>
      <c r="C65" t="inlineStr">
        <is>
          <t>MAGDALENA DEL MAR</t>
        </is>
      </c>
      <c r="D65" t="inlineStr">
        <is>
          <t>150120</t>
        </is>
      </c>
      <c r="E65" t="inlineStr">
        <is>
          <t>—</t>
        </is>
      </c>
      <c r="F65" s="11" t="n">
        <v>33830.357</v>
      </c>
      <c r="G65" s="6">
        <f>IF($F$85=0,0,F65/$F$85)</f>
        <v/>
      </c>
      <c r="H65" s="5" t="n">
        <v>246514.88</v>
      </c>
      <c r="I65" t="n">
        <v>2</v>
      </c>
      <c r="J65" t="n">
        <v>4</v>
      </c>
      <c r="L65" s="5" t="n">
        <v>739544.64</v>
      </c>
    </row>
    <row r="66">
      <c r="A66" t="inlineStr">
        <is>
          <t>LIMA</t>
        </is>
      </c>
      <c r="B66" t="inlineStr">
        <is>
          <t>BARRANCA</t>
        </is>
      </c>
      <c r="C66" t="inlineStr">
        <is>
          <t>BARRANCA</t>
        </is>
      </c>
      <c r="D66" t="inlineStr">
        <is>
          <t>150201</t>
        </is>
      </c>
      <c r="E66" t="inlineStr">
        <is>
          <t>—</t>
        </is>
      </c>
      <c r="F66" s="11" t="n">
        <v>33291.5779</v>
      </c>
      <c r="G66" s="6">
        <f>IF($F$85=0,0,F66/$F$85)</f>
        <v/>
      </c>
      <c r="H66" s="5" t="n">
        <v>242588.91</v>
      </c>
      <c r="I66" t="n">
        <v>3</v>
      </c>
      <c r="J66" t="n">
        <v>4</v>
      </c>
      <c r="L66" s="5" t="n">
        <v>849061.1800000001</v>
      </c>
    </row>
    <row r="67">
      <c r="A67" t="inlineStr">
        <is>
          <t>AREQUIPA</t>
        </is>
      </c>
      <c r="B67" t="inlineStr">
        <is>
          <t>AREQUIPA</t>
        </is>
      </c>
      <c r="C67" t="inlineStr">
        <is>
          <t>JOSE LUIS BUSTAMANTE Y RIVERO</t>
        </is>
      </c>
      <c r="D67" t="inlineStr">
        <is>
          <t>040129</t>
        </is>
      </c>
      <c r="E67" t="inlineStr">
        <is>
          <t>—</t>
        </is>
      </c>
      <c r="F67" s="11" t="n">
        <v>33199.5909</v>
      </c>
      <c r="G67" s="6">
        <f>IF($F$85=0,0,F67/$F$85)</f>
        <v/>
      </c>
      <c r="H67" s="5" t="n">
        <v>241918.62</v>
      </c>
      <c r="I67" t="n">
        <v>2</v>
      </c>
      <c r="J67" t="n">
        <v>5</v>
      </c>
      <c r="L67" s="5" t="n">
        <v>846715.16</v>
      </c>
    </row>
    <row r="68">
      <c r="A68" t="inlineStr">
        <is>
          <t>MOQUEGUA</t>
        </is>
      </c>
      <c r="B68" t="inlineStr">
        <is>
          <t>ILO</t>
        </is>
      </c>
      <c r="C68" t="inlineStr">
        <is>
          <t>ILO</t>
        </is>
      </c>
      <c r="D68" t="inlineStr">
        <is>
          <t>180301</t>
        </is>
      </c>
      <c r="E68" t="inlineStr">
        <is>
          <t>—</t>
        </is>
      </c>
      <c r="F68" s="11" t="n">
        <v>33093.9009</v>
      </c>
      <c r="G68" s="6">
        <f>IF($F$85=0,0,F68/$F$85)</f>
        <v/>
      </c>
      <c r="H68" s="5" t="n">
        <v>241148.48</v>
      </c>
      <c r="I68" t="n">
        <v>4</v>
      </c>
      <c r="J68" t="n">
        <v>2</v>
      </c>
      <c r="L68" s="5" t="n">
        <v>723445.4300000001</v>
      </c>
    </row>
    <row r="69">
      <c r="A69" t="inlineStr">
        <is>
          <t>SAN MARTIN</t>
        </is>
      </c>
      <c r="B69" t="inlineStr">
        <is>
          <t>MOYOBAMBA</t>
        </is>
      </c>
      <c r="C69" t="inlineStr">
        <is>
          <t>MOYOBAMBA</t>
        </is>
      </c>
      <c r="D69" t="inlineStr">
        <is>
          <t>220101</t>
        </is>
      </c>
      <c r="E69" t="inlineStr">
        <is>
          <t>—</t>
        </is>
      </c>
      <c r="F69" s="11" t="n">
        <v>30405.8966</v>
      </c>
      <c r="G69" s="6">
        <f>IF($F$85=0,0,F69/$F$85)</f>
        <v/>
      </c>
      <c r="H69" s="5" t="n">
        <v>221561.54</v>
      </c>
      <c r="I69" t="n">
        <v>4</v>
      </c>
      <c r="J69" t="n">
        <v>4</v>
      </c>
      <c r="K69" t="n">
        <v>2</v>
      </c>
      <c r="L69" s="5" t="n">
        <v>738538.47</v>
      </c>
    </row>
    <row r="70">
      <c r="A70" t="inlineStr">
        <is>
          <t>PASCO</t>
        </is>
      </c>
      <c r="B70" t="inlineStr">
        <is>
          <t>PASCO</t>
        </is>
      </c>
      <c r="C70" t="inlineStr">
        <is>
          <t>YANACANCHA</t>
        </is>
      </c>
      <c r="D70" t="inlineStr">
        <is>
          <t>190113</t>
        </is>
      </c>
      <c r="E70" t="inlineStr">
        <is>
          <t>—</t>
        </is>
      </c>
      <c r="F70" s="11" t="n">
        <v>27866.2702</v>
      </c>
      <c r="G70" s="6">
        <f>IF($F$85=0,0,F70/$F$85)</f>
        <v/>
      </c>
      <c r="H70" s="5" t="n">
        <v>203055.8</v>
      </c>
      <c r="I70" t="n">
        <v>4</v>
      </c>
      <c r="J70" t="n">
        <v>2</v>
      </c>
      <c r="K70" t="n">
        <v>3</v>
      </c>
      <c r="L70" s="5" t="n">
        <v>609167.41</v>
      </c>
    </row>
    <row r="71">
      <c r="A71" t="inlineStr">
        <is>
          <t>CUSCO</t>
        </is>
      </c>
      <c r="B71" t="inlineStr">
        <is>
          <t>CUSCO</t>
        </is>
      </c>
      <c r="C71" t="inlineStr">
        <is>
          <t>SAN SEBASTIAN</t>
        </is>
      </c>
      <c r="D71" t="inlineStr">
        <is>
          <t>080105</t>
        </is>
      </c>
      <c r="E71" t="inlineStr">
        <is>
          <t>—</t>
        </is>
      </c>
      <c r="F71" s="11" t="n">
        <v>25653.7194</v>
      </c>
      <c r="G71" s="6">
        <f>IF($F$85=0,0,F71/$F$85)</f>
        <v/>
      </c>
      <c r="H71" s="5" t="n">
        <v>186933.4</v>
      </c>
      <c r="I71" t="n">
        <v>4</v>
      </c>
      <c r="J71" t="n">
        <v>2</v>
      </c>
      <c r="K71" t="n">
        <v>3</v>
      </c>
      <c r="L71" s="5" t="n">
        <v>560800.1899999999</v>
      </c>
    </row>
    <row r="72">
      <c r="A72" t="inlineStr">
        <is>
          <t>AREQUIPA</t>
        </is>
      </c>
      <c r="B72" t="inlineStr">
        <is>
          <t>CAMANA</t>
        </is>
      </c>
      <c r="C72" t="inlineStr">
        <is>
          <t>CAMANA</t>
        </is>
      </c>
      <c r="D72" t="inlineStr">
        <is>
          <t>040201</t>
        </is>
      </c>
      <c r="E72" t="inlineStr">
        <is>
          <t>—</t>
        </is>
      </c>
      <c r="F72" s="11" t="n">
        <v>24045.2624</v>
      </c>
      <c r="G72" s="6">
        <f>IF($F$85=0,0,F72/$F$85)</f>
        <v/>
      </c>
      <c r="H72" s="5" t="n">
        <v>175212.9</v>
      </c>
      <c r="I72" t="n">
        <v>4</v>
      </c>
      <c r="J72" t="n">
        <v>4</v>
      </c>
      <c r="L72" s="5" t="n">
        <v>700851.61</v>
      </c>
    </row>
    <row r="73">
      <c r="A73" t="inlineStr">
        <is>
          <t>PIURA</t>
        </is>
      </c>
      <c r="B73" t="inlineStr">
        <is>
          <t>PAITA</t>
        </is>
      </c>
      <c r="C73" t="inlineStr">
        <is>
          <t>PAITA</t>
        </is>
      </c>
      <c r="D73" t="inlineStr">
        <is>
          <t>200501</t>
        </is>
      </c>
      <c r="E73" t="inlineStr">
        <is>
          <t>—</t>
        </is>
      </c>
      <c r="F73" s="11" t="n">
        <v>23831.1279</v>
      </c>
      <c r="G73" s="6">
        <f>IF($F$85=0,0,F73/$F$85)</f>
        <v/>
      </c>
      <c r="H73" s="5" t="n">
        <v>173652.55</v>
      </c>
      <c r="I73" t="n">
        <v>2</v>
      </c>
      <c r="J73" t="n">
        <v>4</v>
      </c>
      <c r="L73" s="5" t="n">
        <v>520957.64</v>
      </c>
    </row>
    <row r="74">
      <c r="A74" t="inlineStr">
        <is>
          <t>LIMA</t>
        </is>
      </c>
      <c r="B74" t="inlineStr">
        <is>
          <t>LIMA</t>
        </is>
      </c>
      <c r="C74" t="inlineStr">
        <is>
          <t>PUENTE PIEDRA</t>
        </is>
      </c>
      <c r="D74" t="inlineStr">
        <is>
          <t>150125</t>
        </is>
      </c>
      <c r="E74" t="inlineStr">
        <is>
          <t>—</t>
        </is>
      </c>
      <c r="F74" s="11" t="n">
        <v>23237.3597</v>
      </c>
      <c r="G74" s="6">
        <f>IF($F$85=0,0,F74/$F$85)</f>
        <v/>
      </c>
      <c r="H74" s="5" t="n">
        <v>169325.88</v>
      </c>
      <c r="I74" t="n">
        <v>2</v>
      </c>
      <c r="J74" t="n">
        <v>3</v>
      </c>
      <c r="L74" s="5" t="n">
        <v>423314.7</v>
      </c>
    </row>
    <row r="75">
      <c r="A75" t="inlineStr">
        <is>
          <t>LIMA</t>
        </is>
      </c>
      <c r="B75" t="inlineStr">
        <is>
          <t>LIMA</t>
        </is>
      </c>
      <c r="C75" t="inlineStr">
        <is>
          <t>LURIN</t>
        </is>
      </c>
      <c r="D75" t="inlineStr">
        <is>
          <t>150119</t>
        </is>
      </c>
      <c r="E75" t="inlineStr">
        <is>
          <t>—</t>
        </is>
      </c>
      <c r="F75" s="11" t="n">
        <v>20265.8003</v>
      </c>
      <c r="G75" s="6">
        <f>IF($F$85=0,0,F75/$F$85)</f>
        <v/>
      </c>
      <c r="H75" s="5" t="n">
        <v>147672.73</v>
      </c>
      <c r="I75" t="n">
        <v>3</v>
      </c>
      <c r="J75" t="n">
        <v>3</v>
      </c>
      <c r="L75" s="5" t="n">
        <v>443018.2</v>
      </c>
    </row>
    <row r="76">
      <c r="A76" t="inlineStr">
        <is>
          <t>LIMA</t>
        </is>
      </c>
      <c r="B76" t="inlineStr">
        <is>
          <t>LIMA</t>
        </is>
      </c>
      <c r="C76" t="inlineStr">
        <is>
          <t>CARABAYLLO</t>
        </is>
      </c>
      <c r="D76" t="inlineStr">
        <is>
          <t>150106</t>
        </is>
      </c>
      <c r="E76" t="inlineStr">
        <is>
          <t>—</t>
        </is>
      </c>
      <c r="F76" s="11" t="n">
        <v>16003.7408</v>
      </c>
      <c r="G76" s="6">
        <f>IF($F$85=0,0,F76/$F$85)</f>
        <v/>
      </c>
      <c r="H76" s="5" t="n">
        <v>116615.98</v>
      </c>
      <c r="I76" t="n">
        <v>5</v>
      </c>
      <c r="J76" t="n">
        <v>3</v>
      </c>
      <c r="L76" s="5" t="n">
        <v>466463.92</v>
      </c>
    </row>
    <row r="77">
      <c r="A77" t="inlineStr">
        <is>
          <t>ICA</t>
        </is>
      </c>
      <c r="B77" t="inlineStr">
        <is>
          <t>NAZCA</t>
        </is>
      </c>
      <c r="C77" t="inlineStr">
        <is>
          <t>MARCONA</t>
        </is>
      </c>
      <c r="D77" t="inlineStr">
        <is>
          <t>110304</t>
        </is>
      </c>
      <c r="E77" t="inlineStr">
        <is>
          <t>—</t>
        </is>
      </c>
      <c r="F77" s="11" t="n">
        <v>14726.4571</v>
      </c>
      <c r="G77" s="6">
        <f>IF($F$85=0,0,F77/$F$85)</f>
        <v/>
      </c>
      <c r="H77" s="5" t="n">
        <v>107308.68</v>
      </c>
      <c r="I77" t="n">
        <v>3</v>
      </c>
      <c r="J77" t="n">
        <v>4</v>
      </c>
      <c r="L77" s="5" t="n">
        <v>375580.37</v>
      </c>
    </row>
    <row r="78">
      <c r="A78" t="inlineStr">
        <is>
          <t>CALLAO</t>
        </is>
      </c>
      <c r="B78" t="inlineStr">
        <is>
          <t>CALLAO</t>
        </is>
      </c>
      <c r="C78" t="inlineStr">
        <is>
          <t>VENTANILLA</t>
        </is>
      </c>
      <c r="D78" t="inlineStr">
        <is>
          <t>070106</t>
        </is>
      </c>
      <c r="E78" t="inlineStr">
        <is>
          <t>—</t>
        </is>
      </c>
      <c r="F78" s="11" t="n">
        <v>13996.8848</v>
      </c>
      <c r="G78" s="6">
        <f>IF($F$85=0,0,F78/$F$85)</f>
        <v/>
      </c>
      <c r="H78" s="5" t="n">
        <v>101992.43</v>
      </c>
      <c r="I78" t="n">
        <v>3</v>
      </c>
      <c r="J78" t="n">
        <v>3</v>
      </c>
      <c r="L78" s="5" t="n">
        <v>305977.3</v>
      </c>
    </row>
    <row r="79">
      <c r="A79" t="inlineStr">
        <is>
          <t>APURIMAC</t>
        </is>
      </c>
      <c r="B79" t="inlineStr">
        <is>
          <t>COTABAMBAS</t>
        </is>
      </c>
      <c r="C79" t="inlineStr">
        <is>
          <t>CHALLHUAHUACHO</t>
        </is>
      </c>
      <c r="D79" t="inlineStr">
        <is>
          <t>030506</t>
        </is>
      </c>
      <c r="E79" t="inlineStr">
        <is>
          <t>—</t>
        </is>
      </c>
      <c r="F79" s="11" t="n">
        <v>12790.7785</v>
      </c>
      <c r="G79" s="6">
        <f>IF($F$85=0,0,F79/$F$85)</f>
        <v/>
      </c>
      <c r="H79" s="5" t="n">
        <v>93203.78</v>
      </c>
      <c r="I79" t="n">
        <v>3</v>
      </c>
      <c r="J79" t="n">
        <v>3</v>
      </c>
      <c r="K79" t="n">
        <v>3</v>
      </c>
      <c r="L79" s="5" t="n">
        <v>279611.35</v>
      </c>
    </row>
    <row r="80">
      <c r="A80" t="inlineStr">
        <is>
          <t>LIMA</t>
        </is>
      </c>
      <c r="B80" t="inlineStr">
        <is>
          <t>HUARAL</t>
        </is>
      </c>
      <c r="C80" t="inlineStr">
        <is>
          <t>CHANCAY</t>
        </is>
      </c>
      <c r="D80" t="inlineStr">
        <is>
          <t>150605</t>
        </is>
      </c>
      <c r="E80" t="inlineStr">
        <is>
          <t>—</t>
        </is>
      </c>
      <c r="F80" s="11" t="n">
        <v>10167.0856</v>
      </c>
      <c r="G80" s="6">
        <f>IF($F$85=0,0,F80/$F$85)</f>
        <v/>
      </c>
      <c r="H80" s="5" t="n">
        <v>74085.47</v>
      </c>
      <c r="I80" t="n">
        <v>3</v>
      </c>
      <c r="J80" t="n">
        <v>4</v>
      </c>
      <c r="L80" s="5" t="n">
        <v>259299.14</v>
      </c>
    </row>
    <row r="81">
      <c r="A81" t="inlineStr">
        <is>
          <t>LIMA</t>
        </is>
      </c>
      <c r="B81" t="inlineStr">
        <is>
          <t>LIMA</t>
        </is>
      </c>
      <c r="C81" t="inlineStr">
        <is>
          <t>LURIGANCHO</t>
        </is>
      </c>
      <c r="D81" t="inlineStr">
        <is>
          <t>150118</t>
        </is>
      </c>
      <c r="E81" t="inlineStr">
        <is>
          <t>—</t>
        </is>
      </c>
      <c r="F81" s="11" t="n">
        <v>6873.717</v>
      </c>
      <c r="G81" s="6">
        <f>IF($F$85=0,0,F81/$F$85)</f>
        <v/>
      </c>
      <c r="H81" s="5" t="n">
        <v>50087.37</v>
      </c>
      <c r="I81" t="n">
        <v>5</v>
      </c>
      <c r="J81" t="n">
        <v>4</v>
      </c>
      <c r="L81" s="5" t="n">
        <v>225393.15</v>
      </c>
    </row>
    <row r="82">
      <c r="A82" t="inlineStr">
        <is>
          <t>LA LIBERTAD</t>
        </is>
      </c>
      <c r="B82" t="inlineStr">
        <is>
          <t>PATAZ</t>
        </is>
      </c>
      <c r="C82" t="inlineStr">
        <is>
          <t>PARCOY</t>
        </is>
      </c>
      <c r="D82" t="inlineStr">
        <is>
          <t>130808</t>
        </is>
      </c>
      <c r="E82" t="inlineStr">
        <is>
          <t>—</t>
        </is>
      </c>
      <c r="F82" s="11" t="n">
        <v>1020.7405</v>
      </c>
      <c r="G82" s="6">
        <f>IF($F$85=0,0,F82/$F$85)</f>
        <v/>
      </c>
      <c r="H82" s="5" t="n">
        <v>7437.93</v>
      </c>
      <c r="I82" t="n">
        <v>5</v>
      </c>
      <c r="J82" t="n">
        <v>2</v>
      </c>
      <c r="K82" t="n">
        <v>2</v>
      </c>
      <c r="L82" s="5" t="n">
        <v>22313.78</v>
      </c>
    </row>
    <row r="83">
      <c r="A83" t="inlineStr">
        <is>
          <t>UCAYALI</t>
        </is>
      </c>
      <c r="B83" t="inlineStr">
        <is>
          <t>CORONEL PORTILLO</t>
        </is>
      </c>
      <c r="C83" t="inlineStr">
        <is>
          <t>YARINACOCHA</t>
        </is>
      </c>
      <c r="D83" t="inlineStr">
        <is>
          <t>250105</t>
        </is>
      </c>
      <c r="E83" t="inlineStr">
        <is>
          <t>—</t>
        </is>
      </c>
      <c r="F83" s="11" t="n">
        <v>980.9661</v>
      </c>
      <c r="G83" s="6">
        <f>IF($F$85=0,0,F83/$F$85)</f>
        <v/>
      </c>
      <c r="H83" s="5" t="n">
        <v>7148.1</v>
      </c>
      <c r="I83" t="n">
        <v>1</v>
      </c>
      <c r="J83" t="n">
        <v>5</v>
      </c>
      <c r="K83" t="n">
        <v>2</v>
      </c>
      <c r="L83" s="5" t="n">
        <v>19061.6</v>
      </c>
    </row>
    <row r="84">
      <c r="A84" t="inlineStr">
        <is>
          <t>LIMA</t>
        </is>
      </c>
      <c r="B84" t="inlineStr">
        <is>
          <t>LIMA</t>
        </is>
      </c>
      <c r="C84" t="inlineStr">
        <is>
          <t>VILLA MARIA DEL TRIUNFO</t>
        </is>
      </c>
      <c r="D84" t="inlineStr">
        <is>
          <t>150143</t>
        </is>
      </c>
      <c r="E84" t="inlineStr">
        <is>
          <t>—</t>
        </is>
      </c>
      <c r="F84" s="11" t="n">
        <v>339.6747</v>
      </c>
      <c r="G84" s="6">
        <f>IF($F$85=0,0,F84/$F$85)</f>
        <v/>
      </c>
      <c r="H84" s="5" t="n">
        <v>2475.14</v>
      </c>
      <c r="I84" t="n">
        <v>4</v>
      </c>
      <c r="J84" t="n">
        <v>1</v>
      </c>
      <c r="L84" s="5" t="n">
        <v>6187.85</v>
      </c>
    </row>
    <row r="85">
      <c r="A85" s="12" t="inlineStr">
        <is>
          <t>TOTAL</t>
        </is>
      </c>
      <c r="B85" t="inlineStr"/>
      <c r="C85" t="inlineStr"/>
      <c r="D85" t="inlineStr"/>
      <c r="E85" t="inlineStr"/>
      <c r="F85" s="13">
        <f>SUM(F5:F84)</f>
        <v/>
      </c>
      <c r="G85" t="inlineStr"/>
      <c r="H85" s="14">
        <f>SUM(H5:H84)</f>
        <v/>
      </c>
      <c r="I85" t="inlineStr"/>
      <c r="J85" t="inlineStr"/>
      <c r="K85" t="inlineStr"/>
      <c r="L85" s="14">
        <f>SUM(L5:L84)</f>
        <v/>
      </c>
    </row>
    <row r="88">
      <c r="A88" s="15" t="inlineStr">
        <is>
          <t>Detalle por colocaciones (Miles S/)</t>
        </is>
      </c>
    </row>
    <row r="89">
      <c r="A89" s="3" t="inlineStr">
        <is>
          <t>Distrito</t>
        </is>
      </c>
      <c r="B89" s="3" t="inlineStr">
        <is>
          <t>Ubigeo</t>
        </is>
      </c>
      <c r="C89" s="3" t="inlineStr">
        <is>
          <t>Mineral</t>
        </is>
      </c>
      <c r="D89" s="3" t="inlineStr">
        <is>
          <t>Unidad</t>
        </is>
      </c>
      <c r="E89" s="3" t="inlineStr">
        <is>
          <t>Cantidad (orig.)</t>
        </is>
      </c>
      <c r="F89" s="3" t="inlineStr">
        <is>
          <t>TMF equiv.</t>
        </is>
      </c>
    </row>
    <row r="90">
      <c r="A90" t="inlineStr">
        <is>
          <t>LIMA</t>
        </is>
      </c>
      <c r="B90" t="inlineStr">
        <is>
          <t>150101</t>
        </is>
      </c>
      <c r="C90" t="inlineStr">
        <is>
          <t>Créditos</t>
        </is>
      </c>
      <c r="D90" t="inlineStr">
        <is>
          <t>Miles S/</t>
        </is>
      </c>
      <c r="E90" s="11" t="n">
        <v>22385471.5266</v>
      </c>
      <c r="F90" s="16" t="n">
        <v>22385471.52663</v>
      </c>
    </row>
    <row r="91">
      <c r="A91" t="inlineStr">
        <is>
          <t>SAN ISIDRO</t>
        </is>
      </c>
      <c r="B91" t="inlineStr">
        <is>
          <t>150131</t>
        </is>
      </c>
      <c r="C91" t="inlineStr">
        <is>
          <t>Créditos</t>
        </is>
      </c>
      <c r="D91" t="inlineStr">
        <is>
          <t>Miles S/</t>
        </is>
      </c>
      <c r="E91" s="11" t="n">
        <v>7856949.2896</v>
      </c>
      <c r="F91" s="16" t="n">
        <v>7856949.28961</v>
      </c>
    </row>
    <row r="92">
      <c r="A92" t="inlineStr">
        <is>
          <t>LA VICTORIA</t>
        </is>
      </c>
      <c r="B92" t="inlineStr">
        <is>
          <t>150115</t>
        </is>
      </c>
      <c r="C92" t="inlineStr">
        <is>
          <t>Créditos</t>
        </is>
      </c>
      <c r="D92" t="inlineStr">
        <is>
          <t>Miles S/</t>
        </is>
      </c>
      <c r="E92" s="11" t="n">
        <v>6681545.7373</v>
      </c>
      <c r="F92" s="16" t="n">
        <v>6681545.7373</v>
      </c>
    </row>
    <row r="93">
      <c r="A93" t="inlineStr">
        <is>
          <t>TRUJILLO</t>
        </is>
      </c>
      <c r="B93" t="inlineStr">
        <is>
          <t>130101</t>
        </is>
      </c>
      <c r="C93" t="inlineStr">
        <is>
          <t>Créditos</t>
        </is>
      </c>
      <c r="D93" t="inlineStr">
        <is>
          <t>Miles S/</t>
        </is>
      </c>
      <c r="E93" s="11" t="n">
        <v>1647816.371</v>
      </c>
      <c r="F93" s="16" t="n">
        <v>1647816.37098</v>
      </c>
    </row>
    <row r="94">
      <c r="A94" t="inlineStr">
        <is>
          <t>SANTIAGO DE SURCO</t>
        </is>
      </c>
      <c r="B94" t="inlineStr">
        <is>
          <t>150140</t>
        </is>
      </c>
      <c r="C94" t="inlineStr">
        <is>
          <t>Créditos</t>
        </is>
      </c>
      <c r="D94" t="inlineStr">
        <is>
          <t>Miles S/</t>
        </is>
      </c>
      <c r="E94" s="11" t="n">
        <v>705927.7001</v>
      </c>
      <c r="F94" s="16" t="n">
        <v>705927.70008</v>
      </c>
    </row>
    <row r="95">
      <c r="A95" t="inlineStr">
        <is>
          <t>AREQUIPA</t>
        </is>
      </c>
      <c r="B95" t="inlineStr">
        <is>
          <t>040101</t>
        </is>
      </c>
      <c r="C95" t="inlineStr">
        <is>
          <t>Créditos</t>
        </is>
      </c>
      <c r="D95" t="inlineStr">
        <is>
          <t>Miles S/</t>
        </is>
      </c>
      <c r="E95" s="11" t="n">
        <v>637519.2946</v>
      </c>
      <c r="F95" s="16" t="n">
        <v>637519.2946500001</v>
      </c>
    </row>
    <row r="96">
      <c r="A96" t="inlineStr">
        <is>
          <t>CHICLAYO</t>
        </is>
      </c>
      <c r="B96" t="inlineStr">
        <is>
          <t>140101</t>
        </is>
      </c>
      <c r="C96" t="inlineStr">
        <is>
          <t>Créditos</t>
        </is>
      </c>
      <c r="D96" t="inlineStr">
        <is>
          <t>Miles S/</t>
        </is>
      </c>
      <c r="E96" s="11" t="n">
        <v>577316.63</v>
      </c>
      <c r="F96" s="16" t="n">
        <v>577316.62999</v>
      </c>
    </row>
    <row r="97">
      <c r="A97" t="inlineStr">
        <is>
          <t>PIURA</t>
        </is>
      </c>
      <c r="B97" t="inlineStr">
        <is>
          <t>200101</t>
        </is>
      </c>
      <c r="C97" t="inlineStr">
        <is>
          <t>Créditos</t>
        </is>
      </c>
      <c r="D97" t="inlineStr">
        <is>
          <t>Miles S/</t>
        </is>
      </c>
      <c r="E97" s="11" t="n">
        <v>549051.7502</v>
      </c>
      <c r="F97" s="16" t="n">
        <v>549051.75018</v>
      </c>
    </row>
    <row r="98">
      <c r="A98" t="inlineStr">
        <is>
          <t>MIRAFLORES</t>
        </is>
      </c>
      <c r="B98" t="inlineStr">
        <is>
          <t>150122</t>
        </is>
      </c>
      <c r="C98" t="inlineStr">
        <is>
          <t>Créditos</t>
        </is>
      </c>
      <c r="D98" t="inlineStr">
        <is>
          <t>Miles S/</t>
        </is>
      </c>
      <c r="E98" s="11" t="n">
        <v>543905.1094</v>
      </c>
      <c r="F98" s="16" t="n">
        <v>543905.10943</v>
      </c>
    </row>
    <row r="99">
      <c r="A99" t="inlineStr">
        <is>
          <t>ICA</t>
        </is>
      </c>
      <c r="B99" t="inlineStr">
        <is>
          <t>110101</t>
        </is>
      </c>
      <c r="C99" t="inlineStr">
        <is>
          <t>Créditos</t>
        </is>
      </c>
      <c r="D99" t="inlineStr">
        <is>
          <t>Miles S/</t>
        </is>
      </c>
      <c r="E99" s="11" t="n">
        <v>477275.9654</v>
      </c>
      <c r="F99" s="16" t="n">
        <v>477275.96537</v>
      </c>
    </row>
    <row r="100">
      <c r="A100" t="inlineStr">
        <is>
          <t>HUANCAYO</t>
        </is>
      </c>
      <c r="B100" t="inlineStr">
        <is>
          <t>120101</t>
        </is>
      </c>
      <c r="C100" t="inlineStr">
        <is>
          <t>Créditos</t>
        </is>
      </c>
      <c r="D100" t="inlineStr">
        <is>
          <t>Miles S/</t>
        </is>
      </c>
      <c r="E100" s="11" t="n">
        <v>344334.1533</v>
      </c>
      <c r="F100" s="16" t="n">
        <v>344334.15327</v>
      </c>
    </row>
    <row r="101">
      <c r="A101" t="inlineStr">
        <is>
          <t>SAN BORJA</t>
        </is>
      </c>
      <c r="B101" t="inlineStr">
        <is>
          <t>150130</t>
        </is>
      </c>
      <c r="C101" t="inlineStr">
        <is>
          <t>Créditos</t>
        </is>
      </c>
      <c r="D101" t="inlineStr">
        <is>
          <t>Miles S/</t>
        </is>
      </c>
      <c r="E101" s="11" t="n">
        <v>341077.4555</v>
      </c>
      <c r="F101" s="16" t="n">
        <v>341077.45552</v>
      </c>
    </row>
    <row r="102">
      <c r="A102" t="inlineStr">
        <is>
          <t>CUSCO</t>
        </is>
      </c>
      <c r="B102" t="inlineStr">
        <is>
          <t>080101</t>
        </is>
      </c>
      <c r="C102" t="inlineStr">
        <is>
          <t>Créditos</t>
        </is>
      </c>
      <c r="D102" t="inlineStr">
        <is>
          <t>Miles S/</t>
        </is>
      </c>
      <c r="E102" s="11" t="n">
        <v>327466.2482</v>
      </c>
      <c r="F102" s="16" t="n">
        <v>327466.24816</v>
      </c>
    </row>
    <row r="103">
      <c r="A103" t="inlineStr">
        <is>
          <t>JAEN</t>
        </is>
      </c>
      <c r="B103" t="inlineStr">
        <is>
          <t>060801</t>
        </is>
      </c>
      <c r="C103" t="inlineStr">
        <is>
          <t>Créditos</t>
        </is>
      </c>
      <c r="D103" t="inlineStr">
        <is>
          <t>Miles S/</t>
        </is>
      </c>
      <c r="E103" s="11" t="n">
        <v>287256.4805</v>
      </c>
      <c r="F103" s="16" t="n">
        <v>287256.48052</v>
      </c>
    </row>
    <row r="104">
      <c r="A104" t="inlineStr">
        <is>
          <t>CAJAMARCA</t>
        </is>
      </c>
      <c r="B104" t="inlineStr">
        <is>
          <t>060101</t>
        </is>
      </c>
      <c r="C104" t="inlineStr">
        <is>
          <t>Créditos</t>
        </is>
      </c>
      <c r="D104" t="inlineStr">
        <is>
          <t>Miles S/</t>
        </is>
      </c>
      <c r="E104" s="11" t="n">
        <v>268308.1283</v>
      </c>
      <c r="F104" s="16" t="n">
        <v>268308.12826</v>
      </c>
    </row>
    <row r="105">
      <c r="A105" t="inlineStr">
        <is>
          <t>IQUITOS</t>
        </is>
      </c>
      <c r="B105" t="inlineStr">
        <is>
          <t>160101</t>
        </is>
      </c>
      <c r="C105" t="inlineStr">
        <is>
          <t>Créditos</t>
        </is>
      </c>
      <c r="D105" t="inlineStr">
        <is>
          <t>Miles S/</t>
        </is>
      </c>
      <c r="E105" s="11" t="n">
        <v>265417.6659</v>
      </c>
      <c r="F105" s="16" t="n">
        <v>265417.66594</v>
      </c>
    </row>
    <row r="106">
      <c r="A106" t="inlineStr">
        <is>
          <t>CHIMBOTE</t>
        </is>
      </c>
      <c r="B106" t="inlineStr">
        <is>
          <t>021801</t>
        </is>
      </c>
      <c r="C106" t="inlineStr">
        <is>
          <t>Créditos</t>
        </is>
      </c>
      <c r="D106" t="inlineStr">
        <is>
          <t>Miles S/</t>
        </is>
      </c>
      <c r="E106" s="11" t="n">
        <v>255104.7509</v>
      </c>
      <c r="F106" s="16" t="n">
        <v>255104.75094</v>
      </c>
    </row>
    <row r="107">
      <c r="A107" t="inlineStr">
        <is>
          <t>TARAPOTO</t>
        </is>
      </c>
      <c r="B107" t="inlineStr">
        <is>
          <t>220901</t>
        </is>
      </c>
      <c r="C107" t="inlineStr">
        <is>
          <t>Créditos</t>
        </is>
      </c>
      <c r="D107" t="inlineStr">
        <is>
          <t>Miles S/</t>
        </is>
      </c>
      <c r="E107" s="11" t="n">
        <v>239590.9401</v>
      </c>
      <c r="F107" s="16" t="n">
        <v>239590.94014</v>
      </c>
    </row>
    <row r="108">
      <c r="A108" t="inlineStr">
        <is>
          <t>CHINCHA ALTA</t>
        </is>
      </c>
      <c r="B108" t="inlineStr">
        <is>
          <t>110201</t>
        </is>
      </c>
      <c r="C108" t="inlineStr">
        <is>
          <t>Créditos</t>
        </is>
      </c>
      <c r="D108" t="inlineStr">
        <is>
          <t>Miles S/</t>
        </is>
      </c>
      <c r="E108" s="11" t="n">
        <v>222378.0303</v>
      </c>
      <c r="F108" s="16" t="n">
        <v>222378.0303</v>
      </c>
    </row>
    <row r="109">
      <c r="A109" t="inlineStr">
        <is>
          <t>AYACUCHO</t>
        </is>
      </c>
      <c r="B109" t="inlineStr">
        <is>
          <t>050101</t>
        </is>
      </c>
      <c r="C109" t="inlineStr">
        <is>
          <t>Créditos</t>
        </is>
      </c>
      <c r="D109" t="inlineStr">
        <is>
          <t>Miles S/</t>
        </is>
      </c>
      <c r="E109" s="11" t="n">
        <v>219388.8248</v>
      </c>
      <c r="F109" s="16" t="n">
        <v>219388.82479</v>
      </c>
    </row>
    <row r="110">
      <c r="A110" t="inlineStr">
        <is>
          <t>TACNA</t>
        </is>
      </c>
      <c r="B110" t="inlineStr">
        <is>
          <t>230101</t>
        </is>
      </c>
      <c r="C110" t="inlineStr">
        <is>
          <t>Créditos</t>
        </is>
      </c>
      <c r="D110" t="inlineStr">
        <is>
          <t>Miles S/</t>
        </is>
      </c>
      <c r="E110" s="11" t="n">
        <v>213414.9748</v>
      </c>
      <c r="F110" s="16" t="n">
        <v>213414.9748</v>
      </c>
    </row>
    <row r="111">
      <c r="A111" t="inlineStr">
        <is>
          <t>SANTA ANITA</t>
        </is>
      </c>
      <c r="B111" t="inlineStr">
        <is>
          <t>150137</t>
        </is>
      </c>
      <c r="C111" t="inlineStr">
        <is>
          <t>Créditos</t>
        </is>
      </c>
      <c r="D111" t="inlineStr">
        <is>
          <t>Miles S/</t>
        </is>
      </c>
      <c r="E111" s="11" t="n">
        <v>211991.1513</v>
      </c>
      <c r="F111" s="16" t="n">
        <v>211991.1513</v>
      </c>
    </row>
    <row r="112">
      <c r="A112" t="inlineStr">
        <is>
          <t>HUARAZ</t>
        </is>
      </c>
      <c r="B112" t="inlineStr">
        <is>
          <t>020101</t>
        </is>
      </c>
      <c r="C112" t="inlineStr">
        <is>
          <t>Créditos</t>
        </is>
      </c>
      <c r="D112" t="inlineStr">
        <is>
          <t>Miles S/</t>
        </is>
      </c>
      <c r="E112" s="11" t="n">
        <v>208193.107</v>
      </c>
      <c r="F112" s="16" t="n">
        <v>208193.10698</v>
      </c>
    </row>
    <row r="113">
      <c r="A113" t="inlineStr">
        <is>
          <t>JULIACA</t>
        </is>
      </c>
      <c r="B113" t="inlineStr">
        <is>
          <t>211101</t>
        </is>
      </c>
      <c r="C113" t="inlineStr">
        <is>
          <t>Créditos</t>
        </is>
      </c>
      <c r="D113" t="inlineStr">
        <is>
          <t>Miles S/</t>
        </is>
      </c>
      <c r="E113" s="11" t="n">
        <v>196283.3693</v>
      </c>
      <c r="F113" s="16" t="n">
        <v>196283.36926</v>
      </c>
    </row>
    <row r="114">
      <c r="A114" t="inlineStr">
        <is>
          <t>HUANUCO</t>
        </is>
      </c>
      <c r="B114" t="inlineStr">
        <is>
          <t>100101</t>
        </is>
      </c>
      <c r="C114" t="inlineStr">
        <is>
          <t>Créditos</t>
        </is>
      </c>
      <c r="D114" t="inlineStr">
        <is>
          <t>Miles S/</t>
        </is>
      </c>
      <c r="E114" s="11" t="n">
        <v>188283.6005</v>
      </c>
      <c r="F114" s="16" t="n">
        <v>188283.60054</v>
      </c>
    </row>
    <row r="115">
      <c r="A115" t="inlineStr">
        <is>
          <t>LOS OLIVOS</t>
        </is>
      </c>
      <c r="B115" t="inlineStr">
        <is>
          <t>150117</t>
        </is>
      </c>
      <c r="C115" t="inlineStr">
        <is>
          <t>Créditos</t>
        </is>
      </c>
      <c r="D115" t="inlineStr">
        <is>
          <t>Miles S/</t>
        </is>
      </c>
      <c r="E115" s="11" t="n">
        <v>185986.8856</v>
      </c>
      <c r="F115" s="16" t="n">
        <v>185986.8856</v>
      </c>
    </row>
    <row r="116">
      <c r="A116" t="inlineStr">
        <is>
          <t>EL TAMBO</t>
        </is>
      </c>
      <c r="B116" t="inlineStr">
        <is>
          <t>120114</t>
        </is>
      </c>
      <c r="C116" t="inlineStr">
        <is>
          <t>Créditos</t>
        </is>
      </c>
      <c r="D116" t="inlineStr">
        <is>
          <t>Miles S/</t>
        </is>
      </c>
      <c r="E116" s="11" t="n">
        <v>175485.9232</v>
      </c>
      <c r="F116" s="16" t="n">
        <v>175485.92325</v>
      </c>
    </row>
    <row r="117">
      <c r="A117" t="inlineStr">
        <is>
          <t>JESUS MARIA</t>
        </is>
      </c>
      <c r="B117" t="inlineStr">
        <is>
          <t>150113</t>
        </is>
      </c>
      <c r="C117" t="inlineStr">
        <is>
          <t>Créditos</t>
        </is>
      </c>
      <c r="D117" t="inlineStr">
        <is>
          <t>Miles S/</t>
        </is>
      </c>
      <c r="E117" s="11" t="n">
        <v>171720.8501</v>
      </c>
      <c r="F117" s="16" t="n">
        <v>171720.85012</v>
      </c>
    </row>
    <row r="118">
      <c r="A118" t="inlineStr">
        <is>
          <t>CAYMA</t>
        </is>
      </c>
      <c r="B118" t="inlineStr">
        <is>
          <t>040103</t>
        </is>
      </c>
      <c r="C118" t="inlineStr">
        <is>
          <t>Créditos</t>
        </is>
      </c>
      <c r="D118" t="inlineStr">
        <is>
          <t>Miles S/</t>
        </is>
      </c>
      <c r="E118" s="11" t="n">
        <v>162142.3149</v>
      </c>
      <c r="F118" s="16" t="n">
        <v>162142.31489</v>
      </c>
    </row>
    <row r="119">
      <c r="A119" t="inlineStr">
        <is>
          <t>BELLAVISTA</t>
        </is>
      </c>
      <c r="B119" t="inlineStr">
        <is>
          <t>070102</t>
        </is>
      </c>
      <c r="C119" t="inlineStr">
        <is>
          <t>Créditos</t>
        </is>
      </c>
      <c r="D119" t="inlineStr">
        <is>
          <t>Miles S/</t>
        </is>
      </c>
      <c r="E119" s="11" t="n">
        <v>159691.5486</v>
      </c>
      <c r="F119" s="16" t="n">
        <v>159691.54856</v>
      </c>
    </row>
    <row r="120">
      <c r="A120" t="inlineStr">
        <is>
          <t>SAN JUAN DE LURIGANCHO</t>
        </is>
      </c>
      <c r="B120" t="inlineStr">
        <is>
          <t>150132</t>
        </is>
      </c>
      <c r="C120" t="inlineStr">
        <is>
          <t>Créditos</t>
        </is>
      </c>
      <c r="D120" t="inlineStr">
        <is>
          <t>Miles S/</t>
        </is>
      </c>
      <c r="E120" s="11" t="n">
        <v>152995.9253</v>
      </c>
      <c r="F120" s="16" t="n">
        <v>152995.92533</v>
      </c>
    </row>
    <row r="121">
      <c r="A121" t="inlineStr">
        <is>
          <t>YANAHUARA</t>
        </is>
      </c>
      <c r="B121" t="inlineStr">
        <is>
          <t>040126</t>
        </is>
      </c>
      <c r="C121" t="inlineStr">
        <is>
          <t>Créditos</t>
        </is>
      </c>
      <c r="D121" t="inlineStr">
        <is>
          <t>Miles S/</t>
        </is>
      </c>
      <c r="E121" s="11" t="n">
        <v>149473.5188</v>
      </c>
      <c r="F121" s="16" t="n">
        <v>149473.51876</v>
      </c>
    </row>
    <row r="122">
      <c r="A122" t="inlineStr">
        <is>
          <t>CALLERIA</t>
        </is>
      </c>
      <c r="B122" t="inlineStr">
        <is>
          <t>250101</t>
        </is>
      </c>
      <c r="C122" t="inlineStr">
        <is>
          <t>Créditos</t>
        </is>
      </c>
      <c r="D122" t="inlineStr">
        <is>
          <t>Miles S/</t>
        </is>
      </c>
      <c r="E122" s="11" t="n">
        <v>139233.2887</v>
      </c>
      <c r="F122" s="16" t="n">
        <v>139233.28873</v>
      </c>
    </row>
    <row r="123">
      <c r="A123" t="inlineStr">
        <is>
          <t>SAN JUAN DE MIRAFLORES</t>
        </is>
      </c>
      <c r="B123" t="inlineStr">
        <is>
          <t>150133</t>
        </is>
      </c>
      <c r="C123" t="inlineStr">
        <is>
          <t>Créditos</t>
        </is>
      </c>
      <c r="D123" t="inlineStr">
        <is>
          <t>Miles S/</t>
        </is>
      </c>
      <c r="E123" s="11" t="n">
        <v>137385.7792</v>
      </c>
      <c r="F123" s="16" t="n">
        <v>137385.77922</v>
      </c>
    </row>
    <row r="124">
      <c r="A124" t="inlineStr">
        <is>
          <t>CHORRILLOS</t>
        </is>
      </c>
      <c r="B124" t="inlineStr">
        <is>
          <t>150108</t>
        </is>
      </c>
      <c r="C124" t="inlineStr">
        <is>
          <t>Créditos</t>
        </is>
      </c>
      <c r="D124" t="inlineStr">
        <is>
          <t>Miles S/</t>
        </is>
      </c>
      <c r="E124" s="11" t="n">
        <v>132619.747</v>
      </c>
      <c r="F124" s="16" t="n">
        <v>132619.74704</v>
      </c>
    </row>
    <row r="125">
      <c r="A125" t="inlineStr">
        <is>
          <t>INDEPENDENCIA</t>
        </is>
      </c>
      <c r="B125" t="inlineStr">
        <is>
          <t>150112</t>
        </is>
      </c>
      <c r="C125" t="inlineStr">
        <is>
          <t>Créditos</t>
        </is>
      </c>
      <c r="D125" t="inlineStr">
        <is>
          <t>Miles S/</t>
        </is>
      </c>
      <c r="E125" s="11" t="n">
        <v>127337.0562</v>
      </c>
      <c r="F125" s="16" t="n">
        <v>127337.0562</v>
      </c>
    </row>
    <row r="126">
      <c r="A126" t="inlineStr">
        <is>
          <t>CALLAO</t>
        </is>
      </c>
      <c r="B126" t="inlineStr">
        <is>
          <t>070101</t>
        </is>
      </c>
      <c r="C126" t="inlineStr">
        <is>
          <t>Créditos</t>
        </is>
      </c>
      <c r="D126" t="inlineStr">
        <is>
          <t>Miles S/</t>
        </is>
      </c>
      <c r="E126" s="11" t="n">
        <v>112980.2853</v>
      </c>
      <c r="F126" s="16" t="n">
        <v>112980.28527</v>
      </c>
    </row>
    <row r="127">
      <c r="A127" t="inlineStr">
        <is>
          <t>LA MOLINA</t>
        </is>
      </c>
      <c r="B127" t="inlineStr">
        <is>
          <t>150114</t>
        </is>
      </c>
      <c r="C127" t="inlineStr">
        <is>
          <t>Créditos</t>
        </is>
      </c>
      <c r="D127" t="inlineStr">
        <is>
          <t>Miles S/</t>
        </is>
      </c>
      <c r="E127" s="11" t="n">
        <v>104154.0468</v>
      </c>
      <c r="F127" s="16" t="n">
        <v>104154.04685</v>
      </c>
    </row>
    <row r="128">
      <c r="A128" t="inlineStr">
        <is>
          <t>HUACHO</t>
        </is>
      </c>
      <c r="B128" t="inlineStr">
        <is>
          <t>150801</t>
        </is>
      </c>
      <c r="C128" t="inlineStr">
        <is>
          <t>Créditos</t>
        </is>
      </c>
      <c r="D128" t="inlineStr">
        <is>
          <t>Miles S/</t>
        </is>
      </c>
      <c r="E128" s="11" t="n">
        <v>99444.6136</v>
      </c>
      <c r="F128" s="16" t="n">
        <v>99444.61365</v>
      </c>
    </row>
    <row r="129">
      <c r="A129" t="inlineStr">
        <is>
          <t>PUNO</t>
        </is>
      </c>
      <c r="B129" t="inlineStr">
        <is>
          <t>210101</t>
        </is>
      </c>
      <c r="C129" t="inlineStr">
        <is>
          <t>Créditos</t>
        </is>
      </c>
      <c r="D129" t="inlineStr">
        <is>
          <t>Miles S/</t>
        </is>
      </c>
      <c r="E129" s="11" t="n">
        <v>96744.9016</v>
      </c>
      <c r="F129" s="16" t="n">
        <v>96744.90158999999</v>
      </c>
    </row>
    <row r="130">
      <c r="A130" t="inlineStr">
        <is>
          <t>SAN MARTIN DE PORRES</t>
        </is>
      </c>
      <c r="B130" t="inlineStr">
        <is>
          <t>150135</t>
        </is>
      </c>
      <c r="C130" t="inlineStr">
        <is>
          <t>Créditos</t>
        </is>
      </c>
      <c r="D130" t="inlineStr">
        <is>
          <t>Miles S/</t>
        </is>
      </c>
      <c r="E130" s="11" t="n">
        <v>94629.3054</v>
      </c>
      <c r="F130" s="16" t="n">
        <v>94629.30544</v>
      </c>
    </row>
    <row r="131">
      <c r="A131" t="inlineStr">
        <is>
          <t>PAUCARPATA</t>
        </is>
      </c>
      <c r="B131" t="inlineStr">
        <is>
          <t>040112</t>
        </is>
      </c>
      <c r="C131" t="inlineStr">
        <is>
          <t>Créditos</t>
        </is>
      </c>
      <c r="D131" t="inlineStr">
        <is>
          <t>Miles S/</t>
        </is>
      </c>
      <c r="E131" s="11" t="n">
        <v>83449.56299999999</v>
      </c>
      <c r="F131" s="16" t="n">
        <v>83449.56297</v>
      </c>
    </row>
    <row r="132">
      <c r="A132" t="inlineStr">
        <is>
          <t>SULLANA</t>
        </is>
      </c>
      <c r="B132" t="inlineStr">
        <is>
          <t>200601</t>
        </is>
      </c>
      <c r="C132" t="inlineStr">
        <is>
          <t>Créditos</t>
        </is>
      </c>
      <c r="D132" t="inlineStr">
        <is>
          <t>Miles S/</t>
        </is>
      </c>
      <c r="E132" s="11" t="n">
        <v>82754.4412</v>
      </c>
      <c r="F132" s="16" t="n">
        <v>82754.44117999999</v>
      </c>
    </row>
    <row r="133">
      <c r="A133" t="inlineStr">
        <is>
          <t>ABANCAY</t>
        </is>
      </c>
      <c r="B133" t="inlineStr">
        <is>
          <t>030101</t>
        </is>
      </c>
      <c r="C133" t="inlineStr">
        <is>
          <t>Créditos</t>
        </is>
      </c>
      <c r="D133" t="inlineStr">
        <is>
          <t>Miles S/</t>
        </is>
      </c>
      <c r="E133" s="11" t="n">
        <v>74959.8602</v>
      </c>
      <c r="F133" s="16" t="n">
        <v>74959.86016</v>
      </c>
    </row>
    <row r="134">
      <c r="A134" t="inlineStr">
        <is>
          <t>BREÑA</t>
        </is>
      </c>
      <c r="B134" t="inlineStr">
        <is>
          <t>150105</t>
        </is>
      </c>
      <c r="C134" t="inlineStr">
        <is>
          <t>Créditos</t>
        </is>
      </c>
      <c r="D134" t="inlineStr">
        <is>
          <t>Miles S/</t>
        </is>
      </c>
      <c r="E134" s="11" t="n">
        <v>74835.9277</v>
      </c>
      <c r="F134" s="16" t="n">
        <v>74835.92772000001</v>
      </c>
    </row>
    <row r="135">
      <c r="A135" t="inlineStr">
        <is>
          <t>TAMBOPATA</t>
        </is>
      </c>
      <c r="B135" t="inlineStr">
        <is>
          <t>170101</t>
        </is>
      </c>
      <c r="C135" t="inlineStr">
        <is>
          <t>Créditos</t>
        </is>
      </c>
      <c r="D135" t="inlineStr">
        <is>
          <t>Miles S/</t>
        </is>
      </c>
      <c r="E135" s="11" t="n">
        <v>71075.2812</v>
      </c>
      <c r="F135" s="16" t="n">
        <v>71075.28125</v>
      </c>
    </row>
    <row r="136">
      <c r="A136" t="inlineStr">
        <is>
          <t>LINCE</t>
        </is>
      </c>
      <c r="B136" t="inlineStr">
        <is>
          <t>150116</t>
        </is>
      </c>
      <c r="C136" t="inlineStr">
        <is>
          <t>Créditos</t>
        </is>
      </c>
      <c r="D136" t="inlineStr">
        <is>
          <t>Miles S/</t>
        </is>
      </c>
      <c r="E136" s="11" t="n">
        <v>68728.8416</v>
      </c>
      <c r="F136" s="16" t="n">
        <v>68728.84161</v>
      </c>
    </row>
    <row r="137">
      <c r="A137" t="inlineStr">
        <is>
          <t>TUMBES</t>
        </is>
      </c>
      <c r="B137" t="inlineStr">
        <is>
          <t>240101</t>
        </is>
      </c>
      <c r="C137" t="inlineStr">
        <is>
          <t>Créditos</t>
        </is>
      </c>
      <c r="D137" t="inlineStr">
        <is>
          <t>Miles S/</t>
        </is>
      </c>
      <c r="E137" s="11" t="n">
        <v>63380.2978</v>
      </c>
      <c r="F137" s="16" t="n">
        <v>63380.29776</v>
      </c>
    </row>
    <row r="138">
      <c r="A138" t="inlineStr">
        <is>
          <t>MAGDALENA VIEJA</t>
        </is>
      </c>
      <c r="B138" t="inlineStr">
        <is>
          <t>150121</t>
        </is>
      </c>
      <c r="C138" t="inlineStr">
        <is>
          <t>Créditos</t>
        </is>
      </c>
      <c r="D138" t="inlineStr">
        <is>
          <t>Miles S/</t>
        </is>
      </c>
      <c r="E138" s="11" t="n">
        <v>61416.1928</v>
      </c>
      <c r="F138" s="16" t="n">
        <v>61416.19275</v>
      </c>
    </row>
    <row r="139">
      <c r="A139" t="inlineStr">
        <is>
          <t>ATE</t>
        </is>
      </c>
      <c r="B139" t="inlineStr">
        <is>
          <t>150103</t>
        </is>
      </c>
      <c r="C139" t="inlineStr">
        <is>
          <t>Créditos</t>
        </is>
      </c>
      <c r="D139" t="inlineStr">
        <is>
          <t>Miles S/</t>
        </is>
      </c>
      <c r="E139" s="11" t="n">
        <v>60788.2322</v>
      </c>
      <c r="F139" s="16" t="n">
        <v>60788.23223</v>
      </c>
    </row>
    <row r="140">
      <c r="A140" t="inlineStr">
        <is>
          <t>PISCO</t>
        </is>
      </c>
      <c r="B140" t="inlineStr">
        <is>
          <t>110501</t>
        </is>
      </c>
      <c r="C140" t="inlineStr">
        <is>
          <t>Créditos</t>
        </is>
      </c>
      <c r="D140" t="inlineStr">
        <is>
          <t>Miles S/</t>
        </is>
      </c>
      <c r="E140" s="11" t="n">
        <v>59363.8795</v>
      </c>
      <c r="F140" s="16" t="n">
        <v>59363.87955</v>
      </c>
    </row>
    <row r="141">
      <c r="A141" t="inlineStr">
        <is>
          <t>MOQUEGUA</t>
        </is>
      </c>
      <c r="B141" t="inlineStr">
        <is>
          <t>180101</t>
        </is>
      </c>
      <c r="C141" t="inlineStr">
        <is>
          <t>Créditos</t>
        </is>
      </c>
      <c r="D141" t="inlineStr">
        <is>
          <t>Miles S/</t>
        </is>
      </c>
      <c r="E141" s="11" t="n">
        <v>57048.3772</v>
      </c>
      <c r="F141" s="16" t="n">
        <v>57048.37715</v>
      </c>
    </row>
    <row r="142">
      <c r="A142" t="inlineStr">
        <is>
          <t>SAN VICENTE DE CAÑETE</t>
        </is>
      </c>
      <c r="B142" t="inlineStr">
        <is>
          <t>150501</t>
        </is>
      </c>
      <c r="C142" t="inlineStr">
        <is>
          <t>Créditos</t>
        </is>
      </c>
      <c r="D142" t="inlineStr">
        <is>
          <t>Miles S/</t>
        </is>
      </c>
      <c r="E142" s="11" t="n">
        <v>51283.9942</v>
      </c>
      <c r="F142" s="16" t="n">
        <v>51283.99421</v>
      </c>
    </row>
    <row r="143">
      <c r="A143" t="inlineStr">
        <is>
          <t>BARRANCO</t>
        </is>
      </c>
      <c r="B143" t="inlineStr">
        <is>
          <t>150104</t>
        </is>
      </c>
      <c r="C143" t="inlineStr">
        <is>
          <t>Créditos</t>
        </is>
      </c>
      <c r="D143" t="inlineStr">
        <is>
          <t>Miles S/</t>
        </is>
      </c>
      <c r="E143" s="11" t="n">
        <v>49775.6545</v>
      </c>
      <c r="F143" s="16" t="n">
        <v>49775.65449</v>
      </c>
    </row>
    <row r="144">
      <c r="A144" t="inlineStr">
        <is>
          <t>CHANCHAMAYO</t>
        </is>
      </c>
      <c r="B144" t="inlineStr">
        <is>
          <t>120301</t>
        </is>
      </c>
      <c r="C144" t="inlineStr">
        <is>
          <t>Créditos</t>
        </is>
      </c>
      <c r="D144" t="inlineStr">
        <is>
          <t>Miles S/</t>
        </is>
      </c>
      <c r="E144" s="11" t="n">
        <v>43978.8228</v>
      </c>
      <c r="F144" s="16" t="n">
        <v>43978.82281</v>
      </c>
    </row>
    <row r="145">
      <c r="A145" t="inlineStr">
        <is>
          <t>VILLA EL SALVADOR</t>
        </is>
      </c>
      <c r="B145" t="inlineStr">
        <is>
          <t>150142</t>
        </is>
      </c>
      <c r="C145" t="inlineStr">
        <is>
          <t>Créditos</t>
        </is>
      </c>
      <c r="D145" t="inlineStr">
        <is>
          <t>Miles S/</t>
        </is>
      </c>
      <c r="E145" s="11" t="n">
        <v>43027.7335</v>
      </c>
      <c r="F145" s="16" t="n">
        <v>43027.7335</v>
      </c>
    </row>
    <row r="146">
      <c r="A146" t="inlineStr">
        <is>
          <t>NAZCA</t>
        </is>
      </c>
      <c r="B146" t="inlineStr">
        <is>
          <t>110301</t>
        </is>
      </c>
      <c r="C146" t="inlineStr">
        <is>
          <t>Créditos</t>
        </is>
      </c>
      <c r="D146" t="inlineStr">
        <is>
          <t>Miles S/</t>
        </is>
      </c>
      <c r="E146" s="11" t="n">
        <v>38411.4783</v>
      </c>
      <c r="F146" s="16" t="n">
        <v>38411.47835</v>
      </c>
    </row>
    <row r="147">
      <c r="A147" t="inlineStr">
        <is>
          <t>HUARAL</t>
        </is>
      </c>
      <c r="B147" t="inlineStr">
        <is>
          <t>150601</t>
        </is>
      </c>
      <c r="C147" t="inlineStr">
        <is>
          <t>Créditos</t>
        </is>
      </c>
      <c r="D147" t="inlineStr">
        <is>
          <t>Miles S/</t>
        </is>
      </c>
      <c r="E147" s="11" t="n">
        <v>38291.6875</v>
      </c>
      <c r="F147" s="16" t="n">
        <v>38291.68752</v>
      </c>
    </row>
    <row r="148">
      <c r="A148" t="inlineStr">
        <is>
          <t>PARIÑAS</t>
        </is>
      </c>
      <c r="B148" t="inlineStr">
        <is>
          <t>200701</t>
        </is>
      </c>
      <c r="C148" t="inlineStr">
        <is>
          <t>Créditos</t>
        </is>
      </c>
      <c r="D148" t="inlineStr">
        <is>
          <t>Miles S/</t>
        </is>
      </c>
      <c r="E148" s="11" t="n">
        <v>35572.2974</v>
      </c>
      <c r="F148" s="16" t="n">
        <v>35572.29739</v>
      </c>
    </row>
    <row r="149">
      <c r="A149" t="inlineStr">
        <is>
          <t>COMAS</t>
        </is>
      </c>
      <c r="B149" t="inlineStr">
        <is>
          <t>150110</t>
        </is>
      </c>
      <c r="C149" t="inlineStr">
        <is>
          <t>Créditos</t>
        </is>
      </c>
      <c r="D149" t="inlineStr">
        <is>
          <t>Miles S/</t>
        </is>
      </c>
      <c r="E149" s="11" t="n">
        <v>33884.2088</v>
      </c>
      <c r="F149" s="16" t="n">
        <v>33884.20879</v>
      </c>
    </row>
    <row r="150">
      <c r="A150" t="inlineStr">
        <is>
          <t>MAGDALENA DEL MAR</t>
        </is>
      </c>
      <c r="B150" t="inlineStr">
        <is>
          <t>150120</t>
        </is>
      </c>
      <c r="C150" t="inlineStr">
        <is>
          <t>Créditos</t>
        </is>
      </c>
      <c r="D150" t="inlineStr">
        <is>
          <t>Miles S/</t>
        </is>
      </c>
      <c r="E150" s="11" t="n">
        <v>33830.357</v>
      </c>
      <c r="F150" s="16" t="n">
        <v>33830.35703</v>
      </c>
    </row>
    <row r="151">
      <c r="A151" t="inlineStr">
        <is>
          <t>BARRANCA</t>
        </is>
      </c>
      <c r="B151" t="inlineStr">
        <is>
          <t>150201</t>
        </is>
      </c>
      <c r="C151" t="inlineStr">
        <is>
          <t>Créditos</t>
        </is>
      </c>
      <c r="D151" t="inlineStr">
        <is>
          <t>Miles S/</t>
        </is>
      </c>
      <c r="E151" s="11" t="n">
        <v>33291.5779</v>
      </c>
      <c r="F151" s="16" t="n">
        <v>33291.5779</v>
      </c>
    </row>
    <row r="152">
      <c r="A152" t="inlineStr">
        <is>
          <t>JOSE LUIS BUSTAMANTE Y RIVERO</t>
        </is>
      </c>
      <c r="B152" t="inlineStr">
        <is>
          <t>040129</t>
        </is>
      </c>
      <c r="C152" t="inlineStr">
        <is>
          <t>Créditos</t>
        </is>
      </c>
      <c r="D152" t="inlineStr">
        <is>
          <t>Miles S/</t>
        </is>
      </c>
      <c r="E152" s="11" t="n">
        <v>33199.5909</v>
      </c>
      <c r="F152" s="16" t="n">
        <v>33199.59088</v>
      </c>
    </row>
    <row r="153">
      <c r="A153" t="inlineStr">
        <is>
          <t>ILO</t>
        </is>
      </c>
      <c r="B153" t="inlineStr">
        <is>
          <t>180301</t>
        </is>
      </c>
      <c r="C153" t="inlineStr">
        <is>
          <t>Créditos</t>
        </is>
      </c>
      <c r="D153" t="inlineStr">
        <is>
          <t>Miles S/</t>
        </is>
      </c>
      <c r="E153" s="11" t="n">
        <v>33093.9009</v>
      </c>
      <c r="F153" s="16" t="n">
        <v>33093.90086</v>
      </c>
    </row>
    <row r="154">
      <c r="A154" t="inlineStr">
        <is>
          <t>MOYOBAMBA</t>
        </is>
      </c>
      <c r="B154" t="inlineStr">
        <is>
          <t>220101</t>
        </is>
      </c>
      <c r="C154" t="inlineStr">
        <is>
          <t>Créditos</t>
        </is>
      </c>
      <c r="D154" t="inlineStr">
        <is>
          <t>Miles S/</t>
        </is>
      </c>
      <c r="E154" s="11" t="n">
        <v>30405.8966</v>
      </c>
      <c r="F154" s="16" t="n">
        <v>30405.89664</v>
      </c>
    </row>
    <row r="155">
      <c r="A155" t="inlineStr">
        <is>
          <t>YANACANCHA</t>
        </is>
      </c>
      <c r="B155" t="inlineStr">
        <is>
          <t>190113</t>
        </is>
      </c>
      <c r="C155" t="inlineStr">
        <is>
          <t>Créditos</t>
        </is>
      </c>
      <c r="D155" t="inlineStr">
        <is>
          <t>Miles S/</t>
        </is>
      </c>
      <c r="E155" s="11" t="n">
        <v>27866.2702</v>
      </c>
      <c r="F155" s="16" t="n">
        <v>27866.27019</v>
      </c>
    </row>
    <row r="156">
      <c r="A156" t="inlineStr">
        <is>
          <t>SAN SEBASTIAN</t>
        </is>
      </c>
      <c r="B156" t="inlineStr">
        <is>
          <t>080105</t>
        </is>
      </c>
      <c r="C156" t="inlineStr">
        <is>
          <t>Créditos</t>
        </is>
      </c>
      <c r="D156" t="inlineStr">
        <is>
          <t>Miles S/</t>
        </is>
      </c>
      <c r="E156" s="11" t="n">
        <v>25653.7194</v>
      </c>
      <c r="F156" s="16" t="n">
        <v>25653.71944</v>
      </c>
    </row>
    <row r="157">
      <c r="A157" t="inlineStr">
        <is>
          <t>CAMANA</t>
        </is>
      </c>
      <c r="B157" t="inlineStr">
        <is>
          <t>040201</t>
        </is>
      </c>
      <c r="C157" t="inlineStr">
        <is>
          <t>Créditos</t>
        </is>
      </c>
      <c r="D157" t="inlineStr">
        <is>
          <t>Miles S/</t>
        </is>
      </c>
      <c r="E157" s="11" t="n">
        <v>24045.2624</v>
      </c>
      <c r="F157" s="16" t="n">
        <v>24045.26243</v>
      </c>
    </row>
    <row r="158">
      <c r="A158" t="inlineStr">
        <is>
          <t>PAITA</t>
        </is>
      </c>
      <c r="B158" t="inlineStr">
        <is>
          <t>200501</t>
        </is>
      </c>
      <c r="C158" t="inlineStr">
        <is>
          <t>Créditos</t>
        </is>
      </c>
      <c r="D158" t="inlineStr">
        <is>
          <t>Miles S/</t>
        </is>
      </c>
      <c r="E158" s="11" t="n">
        <v>23831.1279</v>
      </c>
      <c r="F158" s="16" t="n">
        <v>23831.12795</v>
      </c>
    </row>
    <row r="159">
      <c r="A159" t="inlineStr">
        <is>
          <t>PUENTE PIEDRA</t>
        </is>
      </c>
      <c r="B159" t="inlineStr">
        <is>
          <t>150125</t>
        </is>
      </c>
      <c r="C159" t="inlineStr">
        <is>
          <t>Créditos</t>
        </is>
      </c>
      <c r="D159" t="inlineStr">
        <is>
          <t>Miles S/</t>
        </is>
      </c>
      <c r="E159" s="11" t="n">
        <v>23237.3597</v>
      </c>
      <c r="F159" s="16" t="n">
        <v>23237.35967</v>
      </c>
    </row>
    <row r="160">
      <c r="A160" t="inlineStr">
        <is>
          <t>LURIN</t>
        </is>
      </c>
      <c r="B160" t="inlineStr">
        <is>
          <t>150119</t>
        </is>
      </c>
      <c r="C160" t="inlineStr">
        <is>
          <t>Créditos</t>
        </is>
      </c>
      <c r="D160" t="inlineStr">
        <is>
          <t>Miles S/</t>
        </is>
      </c>
      <c r="E160" s="11" t="n">
        <v>20265.8003</v>
      </c>
      <c r="F160" s="16" t="n">
        <v>20265.80025</v>
      </c>
    </row>
    <row r="161">
      <c r="A161" t="inlineStr">
        <is>
          <t>CARABAYLLO</t>
        </is>
      </c>
      <c r="B161" t="inlineStr">
        <is>
          <t>150106</t>
        </is>
      </c>
      <c r="C161" t="inlineStr">
        <is>
          <t>Créditos</t>
        </is>
      </c>
      <c r="D161" t="inlineStr">
        <is>
          <t>Miles S/</t>
        </is>
      </c>
      <c r="E161" s="11" t="n">
        <v>16003.7408</v>
      </c>
      <c r="F161" s="16" t="n">
        <v>16003.74076</v>
      </c>
    </row>
    <row r="162">
      <c r="A162" t="inlineStr">
        <is>
          <t>MARCONA</t>
        </is>
      </c>
      <c r="B162" t="inlineStr">
        <is>
          <t>110304</t>
        </is>
      </c>
      <c r="C162" t="inlineStr">
        <is>
          <t>Créditos</t>
        </is>
      </c>
      <c r="D162" t="inlineStr">
        <is>
          <t>Miles S/</t>
        </is>
      </c>
      <c r="E162" s="11" t="n">
        <v>14726.4571</v>
      </c>
      <c r="F162" s="16" t="n">
        <v>14726.45708</v>
      </c>
    </row>
    <row r="163">
      <c r="A163" t="inlineStr">
        <is>
          <t>VENTANILLA</t>
        </is>
      </c>
      <c r="B163" t="inlineStr">
        <is>
          <t>070106</t>
        </is>
      </c>
      <c r="C163" t="inlineStr">
        <is>
          <t>Créditos</t>
        </is>
      </c>
      <c r="D163" t="inlineStr">
        <is>
          <t>Miles S/</t>
        </is>
      </c>
      <c r="E163" s="11" t="n">
        <v>13996.8848</v>
      </c>
      <c r="F163" s="16" t="n">
        <v>13996.88482</v>
      </c>
    </row>
    <row r="164">
      <c r="A164" t="inlineStr">
        <is>
          <t>CHALLHUAHUACHO</t>
        </is>
      </c>
      <c r="B164" t="inlineStr">
        <is>
          <t>030506</t>
        </is>
      </c>
      <c r="C164" t="inlineStr">
        <is>
          <t>Créditos</t>
        </is>
      </c>
      <c r="D164" t="inlineStr">
        <is>
          <t>Miles S/</t>
        </is>
      </c>
      <c r="E164" s="11" t="n">
        <v>12790.7785</v>
      </c>
      <c r="F164" s="16" t="n">
        <v>12790.77851</v>
      </c>
    </row>
    <row r="165">
      <c r="A165" t="inlineStr">
        <is>
          <t>CHANCAY</t>
        </is>
      </c>
      <c r="B165" t="inlineStr">
        <is>
          <t>150605</t>
        </is>
      </c>
      <c r="C165" t="inlineStr">
        <is>
          <t>Créditos</t>
        </is>
      </c>
      <c r="D165" t="inlineStr">
        <is>
          <t>Miles S/</t>
        </is>
      </c>
      <c r="E165" s="11" t="n">
        <v>10167.0856</v>
      </c>
      <c r="F165" s="16" t="n">
        <v>10167.08557</v>
      </c>
    </row>
    <row r="166">
      <c r="A166" t="inlineStr">
        <is>
          <t>LURIGANCHO</t>
        </is>
      </c>
      <c r="B166" t="inlineStr">
        <is>
          <t>150118</t>
        </is>
      </c>
      <c r="C166" t="inlineStr">
        <is>
          <t>Créditos</t>
        </is>
      </c>
      <c r="D166" t="inlineStr">
        <is>
          <t>Miles S/</t>
        </is>
      </c>
      <c r="E166" s="11" t="n">
        <v>6873.717</v>
      </c>
      <c r="F166" s="16" t="n">
        <v>6873.71699</v>
      </c>
    </row>
    <row r="167">
      <c r="A167" t="inlineStr">
        <is>
          <t>PARCOY</t>
        </is>
      </c>
      <c r="B167" t="inlineStr">
        <is>
          <t>130808</t>
        </is>
      </c>
      <c r="C167" t="inlineStr">
        <is>
          <t>Créditos</t>
        </is>
      </c>
      <c r="D167" t="inlineStr">
        <is>
          <t>Miles S/</t>
        </is>
      </c>
      <c r="E167" s="11" t="n">
        <v>1020.7405</v>
      </c>
      <c r="F167" s="16" t="n">
        <v>1020.74055</v>
      </c>
    </row>
    <row r="168">
      <c r="A168" t="inlineStr">
        <is>
          <t>YARINACOCHA</t>
        </is>
      </c>
      <c r="B168" t="inlineStr">
        <is>
          <t>250105</t>
        </is>
      </c>
      <c r="C168" t="inlineStr">
        <is>
          <t>Créditos</t>
        </is>
      </c>
      <c r="D168" t="inlineStr">
        <is>
          <t>Miles S/</t>
        </is>
      </c>
      <c r="E168" s="11" t="n">
        <v>980.9661</v>
      </c>
      <c r="F168" s="16" t="n">
        <v>980.96614</v>
      </c>
    </row>
    <row r="169">
      <c r="A169" t="inlineStr">
        <is>
          <t>VILLA MARIA DEL TRIUNFO</t>
        </is>
      </c>
      <c r="B169" t="inlineStr">
        <is>
          <t>150143</t>
        </is>
      </c>
      <c r="C169" t="inlineStr">
        <is>
          <t>Créditos</t>
        </is>
      </c>
      <c r="D169" t="inlineStr">
        <is>
          <t>Miles S/</t>
        </is>
      </c>
      <c r="E169" s="11" t="n">
        <v>339.6747</v>
      </c>
      <c r="F169" s="16" t="n">
        <v>339.67473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6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Interbank — Créditos colocados por distrito y exposición asignada</t>
        </is>
      </c>
    </row>
    <row r="2">
      <c r="A2" s="2" t="inlineStr">
        <is>
          <t>Créditos colocados total: 49,530,941.93 Miles S/   ·   Exposición en cartera: S/ 41,425,633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LIMA</t>
        </is>
      </c>
      <c r="D5" t="inlineStr">
        <is>
          <t>150101</t>
        </is>
      </c>
      <c r="E5" t="inlineStr">
        <is>
          <t>—</t>
        </is>
      </c>
      <c r="F5" s="11" t="n">
        <v>22385471.5266</v>
      </c>
      <c r="G5" s="6">
        <f>IF($F$85=0,0,F5/$F$85)</f>
        <v/>
      </c>
      <c r="H5" s="5" t="n">
        <v>18722283.45</v>
      </c>
      <c r="I5" t="n">
        <v>2</v>
      </c>
      <c r="J5" t="n">
        <v>4</v>
      </c>
      <c r="L5" s="5" t="n">
        <v>56166850.35</v>
      </c>
    </row>
    <row r="6">
      <c r="A6" t="inlineStr">
        <is>
          <t>LIMA</t>
        </is>
      </c>
      <c r="B6" t="inlineStr">
        <is>
          <t>LIMA</t>
        </is>
      </c>
      <c r="C6" t="inlineStr">
        <is>
          <t>SAN ISIDRO</t>
        </is>
      </c>
      <c r="D6" t="inlineStr">
        <is>
          <t>150131</t>
        </is>
      </c>
      <c r="E6" t="inlineStr">
        <is>
          <t>—</t>
        </is>
      </c>
      <c r="F6" s="11" t="n">
        <v>7856949.2896</v>
      </c>
      <c r="G6" s="6">
        <f>IF($F$85=0,0,F6/$F$85)</f>
        <v/>
      </c>
      <c r="H6" s="5" t="n">
        <v>6571227.75</v>
      </c>
      <c r="I6" t="n">
        <v>1</v>
      </c>
      <c r="J6" t="n">
        <v>4</v>
      </c>
      <c r="L6" s="5" t="n">
        <v>16428069.37</v>
      </c>
    </row>
    <row r="7">
      <c r="A7" t="inlineStr">
        <is>
          <t>LIMA</t>
        </is>
      </c>
      <c r="B7" t="inlineStr">
        <is>
          <t>LIMA</t>
        </is>
      </c>
      <c r="C7" t="inlineStr">
        <is>
          <t>LA VICTORIA</t>
        </is>
      </c>
      <c r="D7" t="inlineStr">
        <is>
          <t>150115</t>
        </is>
      </c>
      <c r="E7" t="inlineStr">
        <is>
          <t>—</t>
        </is>
      </c>
      <c r="F7" s="11" t="n">
        <v>6681545.7373</v>
      </c>
      <c r="G7" s="6">
        <f>IF($F$85=0,0,F7/$F$85)</f>
        <v/>
      </c>
      <c r="H7" s="5" t="n">
        <v>5588168.78</v>
      </c>
      <c r="I7" t="n">
        <v>1</v>
      </c>
      <c r="J7" t="n">
        <v>3</v>
      </c>
      <c r="L7" s="5" t="n">
        <v>11176337.57</v>
      </c>
    </row>
    <row r="8">
      <c r="A8" t="inlineStr">
        <is>
          <t>LA LIBERTAD</t>
        </is>
      </c>
      <c r="B8" t="inlineStr">
        <is>
          <t>TRUJILLO</t>
        </is>
      </c>
      <c r="C8" t="inlineStr">
        <is>
          <t>TRUJILLO</t>
        </is>
      </c>
      <c r="D8" t="inlineStr">
        <is>
          <t>130101</t>
        </is>
      </c>
      <c r="E8" t="inlineStr">
        <is>
          <t>—</t>
        </is>
      </c>
      <c r="F8" s="11" t="n">
        <v>1647816.371</v>
      </c>
      <c r="G8" s="6">
        <f>IF($F$85=0,0,F8/$F$85)</f>
        <v/>
      </c>
      <c r="H8" s="5" t="n">
        <v>1378165.53</v>
      </c>
      <c r="I8" t="n">
        <v>1</v>
      </c>
      <c r="J8" t="n">
        <v>5</v>
      </c>
      <c r="L8" s="5" t="n">
        <v>4134496.58</v>
      </c>
    </row>
    <row r="9">
      <c r="A9" t="inlineStr">
        <is>
          <t>LIMA</t>
        </is>
      </c>
      <c r="B9" t="inlineStr">
        <is>
          <t>LIMA</t>
        </is>
      </c>
      <c r="C9" t="inlineStr">
        <is>
          <t>SANTIAGO DE SURCO</t>
        </is>
      </c>
      <c r="D9" t="inlineStr">
        <is>
          <t>150140</t>
        </is>
      </c>
      <c r="E9" t="inlineStr">
        <is>
          <t>—</t>
        </is>
      </c>
      <c r="F9" s="11" t="n">
        <v>705927.7001</v>
      </c>
      <c r="G9" s="6">
        <f>IF($F$85=0,0,F9/$F$85)</f>
        <v/>
      </c>
      <c r="H9" s="5" t="n">
        <v>590408.76</v>
      </c>
      <c r="I9" t="n">
        <v>1</v>
      </c>
      <c r="J9" t="n">
        <v>3</v>
      </c>
      <c r="L9" s="5" t="n">
        <v>1180817.52</v>
      </c>
    </row>
    <row r="10">
      <c r="A10" t="inlineStr">
        <is>
          <t>AREQUIPA</t>
        </is>
      </c>
      <c r="B10" t="inlineStr">
        <is>
          <t>AREQUIPA</t>
        </is>
      </c>
      <c r="C10" t="inlineStr">
        <is>
          <t>AREQUIPA</t>
        </is>
      </c>
      <c r="D10" t="inlineStr">
        <is>
          <t>040101</t>
        </is>
      </c>
      <c r="E10" t="inlineStr">
        <is>
          <t>—</t>
        </is>
      </c>
      <c r="F10" s="11" t="n">
        <v>637519.2946</v>
      </c>
      <c r="G10" s="6">
        <f>IF($F$85=0,0,F10/$F$85)</f>
        <v/>
      </c>
      <c r="H10" s="5" t="n">
        <v>533194.8</v>
      </c>
      <c r="I10" t="n">
        <v>2</v>
      </c>
      <c r="J10" t="n">
        <v>5</v>
      </c>
      <c r="L10" s="5" t="n">
        <v>1866181.79</v>
      </c>
    </row>
    <row r="11">
      <c r="A11" t="inlineStr">
        <is>
          <t>LAMBAYEQUE</t>
        </is>
      </c>
      <c r="B11" t="inlineStr">
        <is>
          <t>CHICLAYO</t>
        </is>
      </c>
      <c r="C11" t="inlineStr">
        <is>
          <t>CHICLAYO</t>
        </is>
      </c>
      <c r="D11" t="inlineStr">
        <is>
          <t>140101</t>
        </is>
      </c>
      <c r="E11" t="inlineStr">
        <is>
          <t>—</t>
        </is>
      </c>
      <c r="F11" s="11" t="n">
        <v>577316.63</v>
      </c>
      <c r="G11" s="6">
        <f>IF($F$85=0,0,F11/$F$85)</f>
        <v/>
      </c>
      <c r="H11" s="5" t="n">
        <v>482843.78</v>
      </c>
      <c r="I11" t="n">
        <v>1</v>
      </c>
      <c r="J11" t="n">
        <v>4</v>
      </c>
      <c r="L11" s="5" t="n">
        <v>1207109.44</v>
      </c>
    </row>
    <row r="12">
      <c r="A12" t="inlineStr">
        <is>
          <t>PIURA</t>
        </is>
      </c>
      <c r="B12" t="inlineStr">
        <is>
          <t>PIURA</t>
        </is>
      </c>
      <c r="C12" t="inlineStr">
        <is>
          <t>PIURA</t>
        </is>
      </c>
      <c r="D12" t="inlineStr">
        <is>
          <t>200101</t>
        </is>
      </c>
      <c r="E12" t="inlineStr">
        <is>
          <t>—</t>
        </is>
      </c>
      <c r="F12" s="11" t="n">
        <v>549051.7502</v>
      </c>
      <c r="G12" s="6">
        <f>IF($F$85=0,0,F12/$F$85)</f>
        <v/>
      </c>
      <c r="H12" s="5" t="n">
        <v>459204.2</v>
      </c>
      <c r="I12" t="n">
        <v>1</v>
      </c>
      <c r="J12" t="n">
        <v>5</v>
      </c>
      <c r="L12" s="5" t="n">
        <v>1377612.59</v>
      </c>
    </row>
    <row r="13">
      <c r="A13" t="inlineStr">
        <is>
          <t>LIMA</t>
        </is>
      </c>
      <c r="B13" t="inlineStr">
        <is>
          <t>LIMA</t>
        </is>
      </c>
      <c r="C13" t="inlineStr">
        <is>
          <t>MIRAFLORES</t>
        </is>
      </c>
      <c r="D13" t="inlineStr">
        <is>
          <t>150122</t>
        </is>
      </c>
      <c r="E13" t="inlineStr">
        <is>
          <t>—</t>
        </is>
      </c>
      <c r="F13" s="11" t="n">
        <v>543905.1094</v>
      </c>
      <c r="G13" s="6">
        <f>IF($F$85=0,0,F13/$F$85)</f>
        <v/>
      </c>
      <c r="H13" s="5" t="n">
        <v>454899.76</v>
      </c>
      <c r="I13" t="n">
        <v>2</v>
      </c>
      <c r="J13" t="n">
        <v>4</v>
      </c>
      <c r="L13" s="5" t="n">
        <v>1364699.28</v>
      </c>
    </row>
    <row r="14">
      <c r="A14" t="inlineStr">
        <is>
          <t>ICA</t>
        </is>
      </c>
      <c r="B14" t="inlineStr">
        <is>
          <t>ICA</t>
        </is>
      </c>
      <c r="C14" t="inlineStr">
        <is>
          <t>ICA</t>
        </is>
      </c>
      <c r="D14" t="inlineStr">
        <is>
          <t>110101</t>
        </is>
      </c>
      <c r="E14" t="inlineStr">
        <is>
          <t>—</t>
        </is>
      </c>
      <c r="F14" s="11" t="n">
        <v>477275.9654</v>
      </c>
      <c r="G14" s="6">
        <f>IF($F$85=0,0,F14/$F$85)</f>
        <v/>
      </c>
      <c r="H14" s="5" t="n">
        <v>399173.9</v>
      </c>
      <c r="I14" t="n">
        <v>1</v>
      </c>
      <c r="J14" t="n">
        <v>5</v>
      </c>
      <c r="L14" s="5" t="n">
        <v>1197521.69</v>
      </c>
    </row>
    <row r="15">
      <c r="A15" t="inlineStr">
        <is>
          <t>JUNIN</t>
        </is>
      </c>
      <c r="B15" t="inlineStr">
        <is>
          <t>HUANCAYO</t>
        </is>
      </c>
      <c r="C15" t="inlineStr">
        <is>
          <t>HUANCAYO</t>
        </is>
      </c>
      <c r="D15" t="inlineStr">
        <is>
          <t>120101</t>
        </is>
      </c>
      <c r="E15" t="inlineStr">
        <is>
          <t>—</t>
        </is>
      </c>
      <c r="F15" s="11" t="n">
        <v>344334.1533</v>
      </c>
      <c r="G15" s="6">
        <f>IF($F$85=0,0,F15/$F$85)</f>
        <v/>
      </c>
      <c r="H15" s="5" t="n">
        <v>287986.86</v>
      </c>
      <c r="I15" t="n">
        <v>4</v>
      </c>
      <c r="J15" t="n">
        <v>2</v>
      </c>
      <c r="K15" t="n">
        <v>3</v>
      </c>
      <c r="L15" s="5" t="n">
        <v>863960.58</v>
      </c>
    </row>
    <row r="16">
      <c r="A16" t="inlineStr">
        <is>
          <t>LIMA</t>
        </is>
      </c>
      <c r="B16" t="inlineStr">
        <is>
          <t>LIMA</t>
        </is>
      </c>
      <c r="C16" t="inlineStr">
        <is>
          <t>SAN BORJA</t>
        </is>
      </c>
      <c r="D16" t="inlineStr">
        <is>
          <t>150130</t>
        </is>
      </c>
      <c r="E16" t="inlineStr">
        <is>
          <t>—</t>
        </is>
      </c>
      <c r="F16" s="11" t="n">
        <v>341077.4555</v>
      </c>
      <c r="G16" s="6">
        <f>IF($F$85=0,0,F16/$F$85)</f>
        <v/>
      </c>
      <c r="H16" s="5" t="n">
        <v>285263.09</v>
      </c>
      <c r="I16" t="n">
        <v>1</v>
      </c>
      <c r="J16" t="n">
        <v>2</v>
      </c>
      <c r="L16" s="5" t="n">
        <v>427894.64</v>
      </c>
    </row>
    <row r="17">
      <c r="A17" t="inlineStr">
        <is>
          <t>CUSCO</t>
        </is>
      </c>
      <c r="B17" t="inlineStr">
        <is>
          <t>CUSCO</t>
        </is>
      </c>
      <c r="C17" t="inlineStr">
        <is>
          <t>CUSCO</t>
        </is>
      </c>
      <c r="D17" t="inlineStr">
        <is>
          <t>080101</t>
        </is>
      </c>
      <c r="E17" t="inlineStr">
        <is>
          <t>—</t>
        </is>
      </c>
      <c r="F17" s="11" t="n">
        <v>327466.2482</v>
      </c>
      <c r="G17" s="6">
        <f>IF($F$85=0,0,F17/$F$85)</f>
        <v/>
      </c>
      <c r="H17" s="5" t="n">
        <v>273879.24</v>
      </c>
      <c r="I17" t="n">
        <v>4</v>
      </c>
      <c r="J17" t="n">
        <v>2</v>
      </c>
      <c r="K17" t="n">
        <v>3</v>
      </c>
      <c r="L17" s="5" t="n">
        <v>821637.72</v>
      </c>
    </row>
    <row r="18">
      <c r="A18" t="inlineStr">
        <is>
          <t>CAJAMARCA</t>
        </is>
      </c>
      <c r="B18" t="inlineStr">
        <is>
          <t>JAEN</t>
        </is>
      </c>
      <c r="C18" t="inlineStr">
        <is>
          <t>JAEN</t>
        </is>
      </c>
      <c r="D18" t="inlineStr">
        <is>
          <t>060801</t>
        </is>
      </c>
      <c r="E18" t="inlineStr">
        <is>
          <t>—</t>
        </is>
      </c>
      <c r="F18" s="11" t="n">
        <v>287256.4805</v>
      </c>
      <c r="G18" s="6">
        <f>IF($F$85=0,0,F18/$F$85)</f>
        <v/>
      </c>
      <c r="H18" s="5" t="n">
        <v>240249.45</v>
      </c>
      <c r="I18" t="n">
        <v>4</v>
      </c>
      <c r="J18" t="n">
        <v>3</v>
      </c>
      <c r="K18" t="n">
        <v>2</v>
      </c>
      <c r="L18" s="5" t="n">
        <v>720748.35</v>
      </c>
    </row>
    <row r="19">
      <c r="A19" t="inlineStr">
        <is>
          <t>CAJAMARCA</t>
        </is>
      </c>
      <c r="B19" t="inlineStr">
        <is>
          <t>CAJAMARCA</t>
        </is>
      </c>
      <c r="C19" t="inlineStr">
        <is>
          <t>CAJAMARCA</t>
        </is>
      </c>
      <c r="D19" t="inlineStr">
        <is>
          <t>060101</t>
        </is>
      </c>
      <c r="E19" t="inlineStr">
        <is>
          <t>—</t>
        </is>
      </c>
      <c r="F19" s="11" t="n">
        <v>268308.1283</v>
      </c>
      <c r="G19" s="6">
        <f>IF($F$85=0,0,F19/$F$85)</f>
        <v/>
      </c>
      <c r="H19" s="5" t="n">
        <v>224401.83</v>
      </c>
      <c r="I19" t="n">
        <v>4</v>
      </c>
      <c r="J19" t="n">
        <v>4</v>
      </c>
      <c r="K19" t="n">
        <v>3</v>
      </c>
      <c r="L19" s="5" t="n">
        <v>822806.72</v>
      </c>
    </row>
    <row r="20">
      <c r="A20" t="inlineStr">
        <is>
          <t>LORETO</t>
        </is>
      </c>
      <c r="B20" t="inlineStr">
        <is>
          <t>MAYNAS</t>
        </is>
      </c>
      <c r="C20" t="inlineStr">
        <is>
          <t>IQUITOS</t>
        </is>
      </c>
      <c r="D20" t="inlineStr">
        <is>
          <t>160101</t>
        </is>
      </c>
      <c r="E20" t="inlineStr">
        <is>
          <t>—</t>
        </is>
      </c>
      <c r="F20" s="11" t="n">
        <v>265417.6659</v>
      </c>
      <c r="G20" s="6">
        <f>IF($F$85=0,0,F20/$F$85)</f>
        <v/>
      </c>
      <c r="H20" s="5" t="n">
        <v>221984.37</v>
      </c>
      <c r="I20" t="n">
        <v>3</v>
      </c>
      <c r="J20" t="n">
        <v>4</v>
      </c>
      <c r="K20" t="n">
        <v>2</v>
      </c>
      <c r="L20" s="5" t="n">
        <v>665953.11</v>
      </c>
    </row>
    <row r="21">
      <c r="A21" t="inlineStr">
        <is>
          <t>ANCASH</t>
        </is>
      </c>
      <c r="B21" t="inlineStr">
        <is>
          <t>SANTA</t>
        </is>
      </c>
      <c r="C21" t="inlineStr">
        <is>
          <t>CHIMBOTE</t>
        </is>
      </c>
      <c r="D21" t="inlineStr">
        <is>
          <t>021801</t>
        </is>
      </c>
      <c r="E21" t="inlineStr">
        <is>
          <t>—</t>
        </is>
      </c>
      <c r="F21" s="11" t="n">
        <v>255104.7509</v>
      </c>
      <c r="G21" s="6">
        <f>IF($F$85=0,0,F21/$F$85)</f>
        <v/>
      </c>
      <c r="H21" s="5" t="n">
        <v>213359.07</v>
      </c>
      <c r="I21" t="n">
        <v>5</v>
      </c>
      <c r="J21" t="n">
        <v>4</v>
      </c>
      <c r="K21" t="n">
        <v>3</v>
      </c>
      <c r="L21" s="5" t="n">
        <v>853436.29</v>
      </c>
    </row>
    <row r="22">
      <c r="A22" t="inlineStr">
        <is>
          <t>SAN MARTIN</t>
        </is>
      </c>
      <c r="B22" t="inlineStr">
        <is>
          <t>SAN MARTIN</t>
        </is>
      </c>
      <c r="C22" t="inlineStr">
        <is>
          <t>TARAPOTO</t>
        </is>
      </c>
      <c r="D22" t="inlineStr">
        <is>
          <t>220901</t>
        </is>
      </c>
      <c r="E22" t="inlineStr">
        <is>
          <t>—</t>
        </is>
      </c>
      <c r="F22" s="11" t="n">
        <v>239590.9401</v>
      </c>
      <c r="G22" s="6">
        <f>IF($F$85=0,0,F22/$F$85)</f>
        <v/>
      </c>
      <c r="H22" s="5" t="n">
        <v>200383.96</v>
      </c>
      <c r="I22" t="n">
        <v>4</v>
      </c>
      <c r="J22" t="n">
        <v>4</v>
      </c>
      <c r="K22" t="n">
        <v>2</v>
      </c>
      <c r="L22" s="5" t="n">
        <v>667946.54</v>
      </c>
    </row>
    <row r="23">
      <c r="A23" t="inlineStr">
        <is>
          <t>ICA</t>
        </is>
      </c>
      <c r="B23" t="inlineStr">
        <is>
          <t>CHINCHA</t>
        </is>
      </c>
      <c r="C23" t="inlineStr">
        <is>
          <t>CHINCHA ALTA</t>
        </is>
      </c>
      <c r="D23" t="inlineStr">
        <is>
          <t>110201</t>
        </is>
      </c>
      <c r="E23" t="inlineStr">
        <is>
          <t>—</t>
        </is>
      </c>
      <c r="F23" s="11" t="n">
        <v>222378.0303</v>
      </c>
      <c r="G23" s="6">
        <f>IF($F$85=0,0,F23/$F$85)</f>
        <v/>
      </c>
      <c r="H23" s="5" t="n">
        <v>185987.8</v>
      </c>
      <c r="I23" t="n">
        <v>4</v>
      </c>
      <c r="J23" t="n">
        <v>4</v>
      </c>
      <c r="L23" s="5" t="n">
        <v>743951.1800000001</v>
      </c>
    </row>
    <row r="24">
      <c r="A24" t="inlineStr">
        <is>
          <t>AYACUCHO</t>
        </is>
      </c>
      <c r="B24" t="inlineStr">
        <is>
          <t>HUAMANGA</t>
        </is>
      </c>
      <c r="C24" t="inlineStr">
        <is>
          <t>AYACUCHO</t>
        </is>
      </c>
      <c r="D24" t="inlineStr">
        <is>
          <t>050101</t>
        </is>
      </c>
      <c r="E24" t="inlineStr">
        <is>
          <t>—</t>
        </is>
      </c>
      <c r="F24" s="11" t="n">
        <v>219388.8248</v>
      </c>
      <c r="G24" s="6">
        <f>IF($F$85=0,0,F24/$F$85)</f>
        <v/>
      </c>
      <c r="H24" s="5" t="n">
        <v>183487.75</v>
      </c>
      <c r="I24" t="n">
        <v>4</v>
      </c>
      <c r="J24" t="n">
        <v>3</v>
      </c>
      <c r="K24" t="n">
        <v>4</v>
      </c>
      <c r="L24" s="5" t="n">
        <v>672788.41</v>
      </c>
    </row>
    <row r="25">
      <c r="A25" t="inlineStr">
        <is>
          <t>TACNA</t>
        </is>
      </c>
      <c r="B25" t="inlineStr">
        <is>
          <t>TACNA</t>
        </is>
      </c>
      <c r="C25" t="inlineStr">
        <is>
          <t>TACNA</t>
        </is>
      </c>
      <c r="D25" t="inlineStr">
        <is>
          <t>230101</t>
        </is>
      </c>
      <c r="E25" t="inlineStr">
        <is>
          <t>—</t>
        </is>
      </c>
      <c r="F25" s="11" t="n">
        <v>213414.9748</v>
      </c>
      <c r="G25" s="6">
        <f>IF($F$85=0,0,F25/$F$85)</f>
        <v/>
      </c>
      <c r="H25" s="5" t="n">
        <v>178491.47</v>
      </c>
      <c r="I25" t="n">
        <v>3</v>
      </c>
      <c r="J25" t="n">
        <v>3</v>
      </c>
      <c r="L25" s="5" t="n">
        <v>535474.4</v>
      </c>
    </row>
    <row r="26">
      <c r="A26" t="inlineStr">
        <is>
          <t>LIMA</t>
        </is>
      </c>
      <c r="B26" t="inlineStr">
        <is>
          <t>LIMA</t>
        </is>
      </c>
      <c r="C26" t="inlineStr">
        <is>
          <t>SANTA ANITA</t>
        </is>
      </c>
      <c r="D26" t="inlineStr">
        <is>
          <t>150137</t>
        </is>
      </c>
      <c r="E26" t="inlineStr">
        <is>
          <t>—</t>
        </is>
      </c>
      <c r="F26" s="11" t="n">
        <v>211991.1513</v>
      </c>
      <c r="G26" s="6">
        <f>IF($F$85=0,0,F26/$F$85)</f>
        <v/>
      </c>
      <c r="H26" s="5" t="n">
        <v>177300.64</v>
      </c>
      <c r="I26" t="n">
        <v>2</v>
      </c>
      <c r="J26" t="n">
        <v>4</v>
      </c>
      <c r="L26" s="5" t="n">
        <v>531901.92</v>
      </c>
    </row>
    <row r="27">
      <c r="A27" t="inlineStr">
        <is>
          <t>ANCASH</t>
        </is>
      </c>
      <c r="B27" t="inlineStr">
        <is>
          <t>HUARAZ</t>
        </is>
      </c>
      <c r="C27" t="inlineStr">
        <is>
          <t>HUARAZ</t>
        </is>
      </c>
      <c r="D27" t="inlineStr">
        <is>
          <t>020101</t>
        </is>
      </c>
      <c r="E27" t="inlineStr">
        <is>
          <t>—</t>
        </is>
      </c>
      <c r="F27" s="11" t="n">
        <v>208193.107</v>
      </c>
      <c r="G27" s="6">
        <f>IF($F$85=0,0,F27/$F$85)</f>
        <v/>
      </c>
      <c r="H27" s="5" t="n">
        <v>174124.11</v>
      </c>
      <c r="I27" t="n">
        <v>4</v>
      </c>
      <c r="J27" t="n">
        <v>3</v>
      </c>
      <c r="K27" t="n">
        <v>4</v>
      </c>
      <c r="L27" s="5" t="n">
        <v>638455.08</v>
      </c>
    </row>
    <row r="28">
      <c r="A28" t="inlineStr">
        <is>
          <t>PUNO</t>
        </is>
      </c>
      <c r="B28" t="inlineStr">
        <is>
          <t>SAN ROMAN</t>
        </is>
      </c>
      <c r="C28" t="inlineStr">
        <is>
          <t>JULIACA</t>
        </is>
      </c>
      <c r="D28" t="inlineStr">
        <is>
          <t>211101</t>
        </is>
      </c>
      <c r="E28" t="inlineStr">
        <is>
          <t>—</t>
        </is>
      </c>
      <c r="F28" s="11" t="n">
        <v>196283.3693</v>
      </c>
      <c r="G28" s="6">
        <f>IF($F$85=0,0,F28/$F$85)</f>
        <v/>
      </c>
      <c r="H28" s="5" t="n">
        <v>164163.3</v>
      </c>
      <c r="I28" t="n">
        <v>3</v>
      </c>
      <c r="J28" t="n">
        <v>1</v>
      </c>
      <c r="K28" t="n">
        <v>4</v>
      </c>
      <c r="L28" s="5" t="n">
        <v>437768.8</v>
      </c>
    </row>
    <row r="29">
      <c r="A29" t="inlineStr">
        <is>
          <t>HUANUCO</t>
        </is>
      </c>
      <c r="B29" t="inlineStr">
        <is>
          <t>HUANUCO</t>
        </is>
      </c>
      <c r="C29" t="inlineStr">
        <is>
          <t>HUANUCO</t>
        </is>
      </c>
      <c r="D29" t="inlineStr">
        <is>
          <t>100101</t>
        </is>
      </c>
      <c r="E29" t="inlineStr">
        <is>
          <t>—</t>
        </is>
      </c>
      <c r="F29" s="11" t="n">
        <v>188283.6005</v>
      </c>
      <c r="G29" s="6">
        <f>IF($F$85=0,0,F29/$F$85)</f>
        <v/>
      </c>
      <c r="H29" s="5" t="n">
        <v>157472.62</v>
      </c>
      <c r="I29" t="n">
        <v>4</v>
      </c>
      <c r="J29" t="n">
        <v>3</v>
      </c>
      <c r="K29" t="n">
        <v>4</v>
      </c>
      <c r="L29" s="5" t="n">
        <v>577399.62</v>
      </c>
    </row>
    <row r="30">
      <c r="A30" t="inlineStr">
        <is>
          <t>LIMA</t>
        </is>
      </c>
      <c r="B30" t="inlineStr">
        <is>
          <t>LIMA</t>
        </is>
      </c>
      <c r="C30" t="inlineStr">
        <is>
          <t>LOS OLIVOS</t>
        </is>
      </c>
      <c r="D30" t="inlineStr">
        <is>
          <t>150117</t>
        </is>
      </c>
      <c r="E30" t="inlineStr">
        <is>
          <t>—</t>
        </is>
      </c>
      <c r="F30" s="11" t="n">
        <v>185986.8856</v>
      </c>
      <c r="G30" s="6">
        <f>IF($F$85=0,0,F30/$F$85)</f>
        <v/>
      </c>
      <c r="H30" s="5" t="n">
        <v>155551.75</v>
      </c>
      <c r="I30" t="n">
        <v>1</v>
      </c>
      <c r="J30" t="n">
        <v>4</v>
      </c>
      <c r="L30" s="5" t="n">
        <v>388879.37</v>
      </c>
    </row>
    <row r="31">
      <c r="A31" t="inlineStr">
        <is>
          <t>JUNIN</t>
        </is>
      </c>
      <c r="B31" t="inlineStr">
        <is>
          <t>HUANCAYO</t>
        </is>
      </c>
      <c r="C31" t="inlineStr">
        <is>
          <t>EL TAMBO</t>
        </is>
      </c>
      <c r="D31" t="inlineStr">
        <is>
          <t>120114</t>
        </is>
      </c>
      <c r="E31" t="inlineStr">
        <is>
          <t>—</t>
        </is>
      </c>
      <c r="F31" s="11" t="n">
        <v>175485.9232</v>
      </c>
      <c r="G31" s="6">
        <f>IF($F$85=0,0,F31/$F$85)</f>
        <v/>
      </c>
      <c r="H31" s="5" t="n">
        <v>146769.18</v>
      </c>
      <c r="I31" t="n">
        <v>4</v>
      </c>
      <c r="J31" t="n">
        <v>2</v>
      </c>
      <c r="K31" t="n">
        <v>3</v>
      </c>
      <c r="L31" s="5" t="n">
        <v>440307.53</v>
      </c>
    </row>
    <row r="32">
      <c r="A32" t="inlineStr">
        <is>
          <t>LIMA</t>
        </is>
      </c>
      <c r="B32" t="inlineStr">
        <is>
          <t>LIMA</t>
        </is>
      </c>
      <c r="C32" t="inlineStr">
        <is>
          <t>JESUS MARIA</t>
        </is>
      </c>
      <c r="D32" t="inlineStr">
        <is>
          <t>150113</t>
        </is>
      </c>
      <c r="E32" t="inlineStr">
        <is>
          <t>—</t>
        </is>
      </c>
      <c r="F32" s="11" t="n">
        <v>171720.8501</v>
      </c>
      <c r="G32" s="6">
        <f>IF($F$85=0,0,F32/$F$85)</f>
        <v/>
      </c>
      <c r="H32" s="5" t="n">
        <v>143620.22</v>
      </c>
      <c r="I32" t="n">
        <v>1</v>
      </c>
      <c r="J32" t="n">
        <v>4</v>
      </c>
      <c r="L32" s="5" t="n">
        <v>359050.56</v>
      </c>
    </row>
    <row r="33">
      <c r="A33" t="inlineStr">
        <is>
          <t>AREQUIPA</t>
        </is>
      </c>
      <c r="B33" t="inlineStr">
        <is>
          <t>AREQUIPA</t>
        </is>
      </c>
      <c r="C33" t="inlineStr">
        <is>
          <t>CAYMA</t>
        </is>
      </c>
      <c r="D33" t="inlineStr">
        <is>
          <t>040103</t>
        </is>
      </c>
      <c r="E33" t="inlineStr">
        <is>
          <t>—</t>
        </is>
      </c>
      <c r="F33" s="11" t="n">
        <v>162142.3149</v>
      </c>
      <c r="G33" s="6">
        <f>IF($F$85=0,0,F33/$F$85)</f>
        <v/>
      </c>
      <c r="H33" s="5" t="n">
        <v>135609.13</v>
      </c>
      <c r="I33" t="n">
        <v>4</v>
      </c>
      <c r="J33" t="n">
        <v>3</v>
      </c>
      <c r="K33" t="n">
        <v>4</v>
      </c>
      <c r="L33" s="5" t="n">
        <v>497233.49</v>
      </c>
    </row>
    <row r="34">
      <c r="A34" t="inlineStr">
        <is>
          <t>CALLAO</t>
        </is>
      </c>
      <c r="B34" t="inlineStr">
        <is>
          <t>CALLAO</t>
        </is>
      </c>
      <c r="C34" t="inlineStr">
        <is>
          <t>BELLAVISTA</t>
        </is>
      </c>
      <c r="D34" t="inlineStr">
        <is>
          <t>070102</t>
        </is>
      </c>
      <c r="E34" t="inlineStr">
        <is>
          <t>—</t>
        </is>
      </c>
      <c r="F34" s="11" t="n">
        <v>159691.5486</v>
      </c>
      <c r="G34" s="6">
        <f>IF($F$85=0,0,F34/$F$85)</f>
        <v/>
      </c>
      <c r="H34" s="5" t="n">
        <v>133559.41</v>
      </c>
      <c r="I34" t="n">
        <v>1</v>
      </c>
      <c r="J34" t="n">
        <v>4</v>
      </c>
      <c r="L34" s="5" t="n">
        <v>333898.53</v>
      </c>
    </row>
    <row r="35">
      <c r="A35" t="inlineStr">
        <is>
          <t>LIMA</t>
        </is>
      </c>
      <c r="B35" t="inlineStr">
        <is>
          <t>LIMA</t>
        </is>
      </c>
      <c r="C35" t="inlineStr">
        <is>
          <t>SAN JUAN DE LURIGANCHO</t>
        </is>
      </c>
      <c r="D35" t="inlineStr">
        <is>
          <t>150132</t>
        </is>
      </c>
      <c r="E35" t="inlineStr">
        <is>
          <t>—</t>
        </is>
      </c>
      <c r="F35" s="11" t="n">
        <v>152995.9253</v>
      </c>
      <c r="G35" s="6">
        <f>IF($F$85=0,0,F35/$F$85)</f>
        <v/>
      </c>
      <c r="H35" s="5" t="n">
        <v>127959.47</v>
      </c>
      <c r="I35" t="n">
        <v>5</v>
      </c>
      <c r="J35" t="n">
        <v>2</v>
      </c>
      <c r="L35" s="5" t="n">
        <v>447858.15</v>
      </c>
    </row>
    <row r="36">
      <c r="A36" t="inlineStr">
        <is>
          <t>AREQUIPA</t>
        </is>
      </c>
      <c r="B36" t="inlineStr">
        <is>
          <t>AREQUIPA</t>
        </is>
      </c>
      <c r="C36" t="inlineStr">
        <is>
          <t>YANAHUARA</t>
        </is>
      </c>
      <c r="D36" t="inlineStr">
        <is>
          <t>040126</t>
        </is>
      </c>
      <c r="E36" t="inlineStr">
        <is>
          <t>—</t>
        </is>
      </c>
      <c r="F36" s="11" t="n">
        <v>149473.5188</v>
      </c>
      <c r="G36" s="6">
        <f>IF($F$85=0,0,F36/$F$85)</f>
        <v/>
      </c>
      <c r="H36" s="5" t="n">
        <v>125013.48</v>
      </c>
      <c r="I36" t="n">
        <v>2</v>
      </c>
      <c r="J36" t="n">
        <v>5</v>
      </c>
      <c r="L36" s="5" t="n">
        <v>437547.16</v>
      </c>
    </row>
    <row r="37">
      <c r="A37" t="inlineStr">
        <is>
          <t>UCAYALI</t>
        </is>
      </c>
      <c r="B37" t="inlineStr">
        <is>
          <t>CORONEL PORTILLO</t>
        </is>
      </c>
      <c r="C37" t="inlineStr">
        <is>
          <t>CALLERIA</t>
        </is>
      </c>
      <c r="D37" t="inlineStr">
        <is>
          <t>250101</t>
        </is>
      </c>
      <c r="E37" t="inlineStr">
        <is>
          <t>—</t>
        </is>
      </c>
      <c r="F37" s="11" t="n">
        <v>139233.2887</v>
      </c>
      <c r="G37" s="6">
        <f>IF($F$85=0,0,F37/$F$85)</f>
        <v/>
      </c>
      <c r="H37" s="5" t="n">
        <v>116448.97</v>
      </c>
      <c r="I37" t="n">
        <v>4</v>
      </c>
      <c r="J37" t="n">
        <v>4</v>
      </c>
      <c r="K37" t="n">
        <v>2</v>
      </c>
      <c r="L37" s="5" t="n">
        <v>388163.23</v>
      </c>
    </row>
    <row r="38">
      <c r="A38" t="inlineStr">
        <is>
          <t>LIMA</t>
        </is>
      </c>
      <c r="B38" t="inlineStr">
        <is>
          <t>LIMA</t>
        </is>
      </c>
      <c r="C38" t="inlineStr">
        <is>
          <t>SAN JUAN DE MIRAFLORES</t>
        </is>
      </c>
      <c r="D38" t="inlineStr">
        <is>
          <t>150133</t>
        </is>
      </c>
      <c r="E38" t="inlineStr">
        <is>
          <t>—</t>
        </is>
      </c>
      <c r="F38" s="11" t="n">
        <v>137385.7792</v>
      </c>
      <c r="G38" s="6">
        <f>IF($F$85=0,0,F38/$F$85)</f>
        <v/>
      </c>
      <c r="H38" s="5" t="n">
        <v>114903.79</v>
      </c>
      <c r="I38" t="n">
        <v>2</v>
      </c>
      <c r="J38" t="n">
        <v>3</v>
      </c>
      <c r="L38" s="5" t="n">
        <v>287259.47</v>
      </c>
    </row>
    <row r="39">
      <c r="A39" t="inlineStr">
        <is>
          <t>LIMA</t>
        </is>
      </c>
      <c r="B39" t="inlineStr">
        <is>
          <t>LIMA</t>
        </is>
      </c>
      <c r="C39" t="inlineStr">
        <is>
          <t>CHORRILLOS</t>
        </is>
      </c>
      <c r="D39" t="inlineStr">
        <is>
          <t>150108</t>
        </is>
      </c>
      <c r="E39" t="inlineStr">
        <is>
          <t>—</t>
        </is>
      </c>
      <c r="F39" s="11" t="n">
        <v>132619.747</v>
      </c>
      <c r="G39" s="6">
        <f>IF($F$85=0,0,F39/$F$85)</f>
        <v/>
      </c>
      <c r="H39" s="5" t="n">
        <v>110917.68</v>
      </c>
      <c r="I39" t="n">
        <v>2</v>
      </c>
      <c r="J39" t="n">
        <v>4</v>
      </c>
      <c r="L39" s="5" t="n">
        <v>332753.03</v>
      </c>
    </row>
    <row r="40">
      <c r="A40" t="inlineStr">
        <is>
          <t>LIMA</t>
        </is>
      </c>
      <c r="B40" t="inlineStr">
        <is>
          <t>LIMA</t>
        </is>
      </c>
      <c r="C40" t="inlineStr">
        <is>
          <t>INDEPENDENCIA</t>
        </is>
      </c>
      <c r="D40" t="inlineStr">
        <is>
          <t>150112</t>
        </is>
      </c>
      <c r="E40" t="inlineStr">
        <is>
          <t>—</t>
        </is>
      </c>
      <c r="F40" s="11" t="n">
        <v>127337.0562</v>
      </c>
      <c r="G40" s="6">
        <f>IF($F$85=0,0,F40/$F$85)</f>
        <v/>
      </c>
      <c r="H40" s="5" t="n">
        <v>106499.45</v>
      </c>
      <c r="I40" t="n">
        <v>5</v>
      </c>
      <c r="J40" t="n">
        <v>2</v>
      </c>
      <c r="L40" s="5" t="n">
        <v>372748.08</v>
      </c>
    </row>
    <row r="41">
      <c r="A41" t="inlineStr">
        <is>
          <t>CALLAO</t>
        </is>
      </c>
      <c r="B41" t="inlineStr">
        <is>
          <t>CALLAO</t>
        </is>
      </c>
      <c r="C41" t="inlineStr">
        <is>
          <t>CALLAO</t>
        </is>
      </c>
      <c r="D41" t="inlineStr">
        <is>
          <t>070101</t>
        </is>
      </c>
      <c r="E41" t="inlineStr">
        <is>
          <t>—</t>
        </is>
      </c>
      <c r="F41" s="11" t="n">
        <v>112980.2853</v>
      </c>
      <c r="G41" s="6">
        <f>IF($F$85=0,0,F41/$F$85)</f>
        <v/>
      </c>
      <c r="H41" s="5" t="n">
        <v>94492.03999999999</v>
      </c>
      <c r="I41" t="n">
        <v>1</v>
      </c>
      <c r="J41" t="n">
        <v>5</v>
      </c>
      <c r="L41" s="5" t="n">
        <v>283476.13</v>
      </c>
    </row>
    <row r="42">
      <c r="A42" t="inlineStr">
        <is>
          <t>LIMA</t>
        </is>
      </c>
      <c r="B42" t="inlineStr">
        <is>
          <t>LIMA</t>
        </is>
      </c>
      <c r="C42" t="inlineStr">
        <is>
          <t>LA MOLINA</t>
        </is>
      </c>
      <c r="D42" t="inlineStr">
        <is>
          <t>150114</t>
        </is>
      </c>
      <c r="E42" t="inlineStr">
        <is>
          <t>—</t>
        </is>
      </c>
      <c r="F42" s="11" t="n">
        <v>104154.0468</v>
      </c>
      <c r="G42" s="6">
        <f>IF($F$85=0,0,F42/$F$85)</f>
        <v/>
      </c>
      <c r="H42" s="5" t="n">
        <v>87110.14</v>
      </c>
      <c r="I42" t="n">
        <v>4</v>
      </c>
      <c r="J42" t="n">
        <v>3</v>
      </c>
      <c r="L42" s="5" t="n">
        <v>304885.49</v>
      </c>
    </row>
    <row r="43">
      <c r="A43" t="inlineStr">
        <is>
          <t>LIMA</t>
        </is>
      </c>
      <c r="B43" t="inlineStr">
        <is>
          <t>HUAURA</t>
        </is>
      </c>
      <c r="C43" t="inlineStr">
        <is>
          <t>HUACHO</t>
        </is>
      </c>
      <c r="D43" t="inlineStr">
        <is>
          <t>150801</t>
        </is>
      </c>
      <c r="E43" t="inlineStr">
        <is>
          <t>—</t>
        </is>
      </c>
      <c r="F43" s="11" t="n">
        <v>99444.6136</v>
      </c>
      <c r="G43" s="6">
        <f>IF($F$85=0,0,F43/$F$85)</f>
        <v/>
      </c>
      <c r="H43" s="5" t="n">
        <v>83171.37</v>
      </c>
      <c r="I43" t="n">
        <v>3</v>
      </c>
      <c r="J43" t="n">
        <v>3</v>
      </c>
      <c r="L43" s="5" t="n">
        <v>249514.1</v>
      </c>
    </row>
    <row r="44">
      <c r="A44" t="inlineStr">
        <is>
          <t>PUNO</t>
        </is>
      </c>
      <c r="B44" t="inlineStr">
        <is>
          <t>PUNO</t>
        </is>
      </c>
      <c r="C44" t="inlineStr">
        <is>
          <t>PUNO</t>
        </is>
      </c>
      <c r="D44" t="inlineStr">
        <is>
          <t>210101</t>
        </is>
      </c>
      <c r="E44" t="inlineStr">
        <is>
          <t>—</t>
        </is>
      </c>
      <c r="F44" s="11" t="n">
        <v>96744.9016</v>
      </c>
      <c r="G44" s="6">
        <f>IF($F$85=0,0,F44/$F$85)</f>
        <v/>
      </c>
      <c r="H44" s="5" t="n">
        <v>80913.44</v>
      </c>
      <c r="I44" t="n">
        <v>4</v>
      </c>
      <c r="J44" t="n">
        <v>3</v>
      </c>
      <c r="K44" t="n">
        <v>3</v>
      </c>
      <c r="L44" s="5" t="n">
        <v>269711.46</v>
      </c>
    </row>
    <row r="45">
      <c r="A45" t="inlineStr">
        <is>
          <t>LIMA</t>
        </is>
      </c>
      <c r="B45" t="inlineStr">
        <is>
          <t>LIMA</t>
        </is>
      </c>
      <c r="C45" t="inlineStr">
        <is>
          <t>SAN MARTIN DE PORRES</t>
        </is>
      </c>
      <c r="D45" t="inlineStr">
        <is>
          <t>150135</t>
        </is>
      </c>
      <c r="E45" t="inlineStr">
        <is>
          <t>—</t>
        </is>
      </c>
      <c r="F45" s="11" t="n">
        <v>94629.3054</v>
      </c>
      <c r="G45" s="6">
        <f>IF($F$85=0,0,F45/$F$85)</f>
        <v/>
      </c>
      <c r="H45" s="5" t="n">
        <v>79144.03999999999</v>
      </c>
      <c r="I45" t="n">
        <v>2</v>
      </c>
      <c r="J45" t="n">
        <v>5</v>
      </c>
      <c r="L45" s="5" t="n">
        <v>277004.14</v>
      </c>
    </row>
    <row r="46">
      <c r="A46" t="inlineStr">
        <is>
          <t>AREQUIPA</t>
        </is>
      </c>
      <c r="B46" t="inlineStr">
        <is>
          <t>AREQUIPA</t>
        </is>
      </c>
      <c r="C46" t="inlineStr">
        <is>
          <t>PAUCARPATA</t>
        </is>
      </c>
      <c r="D46" t="inlineStr">
        <is>
          <t>040112</t>
        </is>
      </c>
      <c r="E46" t="inlineStr">
        <is>
          <t>—</t>
        </is>
      </c>
      <c r="F46" s="11" t="n">
        <v>83449.56299999999</v>
      </c>
      <c r="G46" s="6">
        <f>IF($F$85=0,0,F46/$F$85)</f>
        <v/>
      </c>
      <c r="H46" s="5" t="n">
        <v>69793.77</v>
      </c>
      <c r="I46" t="n">
        <v>5</v>
      </c>
      <c r="J46" t="n">
        <v>4</v>
      </c>
      <c r="K46" t="n">
        <v>2</v>
      </c>
      <c r="L46" s="5" t="n">
        <v>255910.48</v>
      </c>
    </row>
    <row r="47">
      <c r="A47" t="inlineStr">
        <is>
          <t>PIURA</t>
        </is>
      </c>
      <c r="B47" t="inlineStr">
        <is>
          <t>SULLANA</t>
        </is>
      </c>
      <c r="C47" t="inlineStr">
        <is>
          <t>SULLANA</t>
        </is>
      </c>
      <c r="D47" t="inlineStr">
        <is>
          <t>200601</t>
        </is>
      </c>
      <c r="E47" t="inlineStr">
        <is>
          <t>—</t>
        </is>
      </c>
      <c r="F47" s="11" t="n">
        <v>82754.4412</v>
      </c>
      <c r="G47" s="6">
        <f>IF($F$85=0,0,F47/$F$85)</f>
        <v/>
      </c>
      <c r="H47" s="5" t="n">
        <v>69212.39999999999</v>
      </c>
      <c r="I47" t="n">
        <v>2</v>
      </c>
      <c r="J47" t="n">
        <v>5</v>
      </c>
      <c r="K47" t="n">
        <v>2</v>
      </c>
      <c r="L47" s="5" t="n">
        <v>207637.19</v>
      </c>
    </row>
    <row r="48">
      <c r="A48" t="inlineStr">
        <is>
          <t>APURIMAC</t>
        </is>
      </c>
      <c r="B48" t="inlineStr">
        <is>
          <t>ABANCAY</t>
        </is>
      </c>
      <c r="C48" t="inlineStr">
        <is>
          <t>ABANCAY</t>
        </is>
      </c>
      <c r="D48" t="inlineStr">
        <is>
          <t>030101</t>
        </is>
      </c>
      <c r="E48" t="inlineStr">
        <is>
          <t>—</t>
        </is>
      </c>
      <c r="F48" s="11" t="n">
        <v>74959.8602</v>
      </c>
      <c r="G48" s="6">
        <f>IF($F$85=0,0,F48/$F$85)</f>
        <v/>
      </c>
      <c r="H48" s="5" t="n">
        <v>62693.33</v>
      </c>
      <c r="I48" t="n">
        <v>4</v>
      </c>
      <c r="J48" t="n">
        <v>2</v>
      </c>
      <c r="K48" t="n">
        <v>3</v>
      </c>
      <c r="L48" s="5" t="n">
        <v>188079.99</v>
      </c>
    </row>
    <row r="49">
      <c r="A49" t="inlineStr">
        <is>
          <t>LIMA</t>
        </is>
      </c>
      <c r="B49" t="inlineStr">
        <is>
          <t>LIMA</t>
        </is>
      </c>
      <c r="C49" t="inlineStr">
        <is>
          <t>BREÑA</t>
        </is>
      </c>
      <c r="D49" t="inlineStr">
        <is>
          <t>150105</t>
        </is>
      </c>
      <c r="E49" t="inlineStr">
        <is>
          <t>—</t>
        </is>
      </c>
      <c r="F49" s="11" t="n">
        <v>74835.9277</v>
      </c>
      <c r="G49" s="6">
        <f>IF($F$85=0,0,F49/$F$85)</f>
        <v/>
      </c>
      <c r="H49" s="5" t="n">
        <v>62589.68</v>
      </c>
      <c r="I49" t="n">
        <v>1</v>
      </c>
      <c r="J49" t="n">
        <v>3</v>
      </c>
      <c r="L49" s="5" t="n">
        <v>125179.36</v>
      </c>
    </row>
    <row r="50">
      <c r="A50" t="inlineStr">
        <is>
          <t>MADRE DE DIOS</t>
        </is>
      </c>
      <c r="B50" t="inlineStr">
        <is>
          <t>TAMBOPATA</t>
        </is>
      </c>
      <c r="C50" t="inlineStr">
        <is>
          <t>TAMBOPATA</t>
        </is>
      </c>
      <c r="D50" t="inlineStr">
        <is>
          <t>170101</t>
        </is>
      </c>
      <c r="E50" t="inlineStr">
        <is>
          <t>—</t>
        </is>
      </c>
      <c r="F50" s="11" t="n">
        <v>71075.2812</v>
      </c>
      <c r="G50" s="6">
        <f>IF($F$85=0,0,F50/$F$85)</f>
        <v/>
      </c>
      <c r="H50" s="5" t="n">
        <v>59444.43</v>
      </c>
      <c r="I50" t="n">
        <v>3</v>
      </c>
      <c r="J50" t="n">
        <v>2</v>
      </c>
      <c r="K50" t="n">
        <v>2</v>
      </c>
      <c r="L50" s="5" t="n">
        <v>138703.67</v>
      </c>
    </row>
    <row r="51">
      <c r="A51" t="inlineStr">
        <is>
          <t>LIMA</t>
        </is>
      </c>
      <c r="B51" t="inlineStr">
        <is>
          <t>LIMA</t>
        </is>
      </c>
      <c r="C51" t="inlineStr">
        <is>
          <t>LINCE</t>
        </is>
      </c>
      <c r="D51" t="inlineStr">
        <is>
          <t>150116</t>
        </is>
      </c>
      <c r="E51" t="inlineStr">
        <is>
          <t>—</t>
        </is>
      </c>
      <c r="F51" s="11" t="n">
        <v>68728.8416</v>
      </c>
      <c r="G51" s="6">
        <f>IF($F$85=0,0,F51/$F$85)</f>
        <v/>
      </c>
      <c r="H51" s="5" t="n">
        <v>57481.96</v>
      </c>
      <c r="I51" t="n">
        <v>1</v>
      </c>
      <c r="J51" t="n">
        <v>4</v>
      </c>
      <c r="L51" s="5" t="n">
        <v>143704.91</v>
      </c>
    </row>
    <row r="52">
      <c r="A52" t="inlineStr">
        <is>
          <t>TUMBES</t>
        </is>
      </c>
      <c r="B52" t="inlineStr">
        <is>
          <t>TUMBES</t>
        </is>
      </c>
      <c r="C52" t="inlineStr">
        <is>
          <t>TUMBES</t>
        </is>
      </c>
      <c r="D52" t="inlineStr">
        <is>
          <t>240101</t>
        </is>
      </c>
      <c r="E52" t="inlineStr">
        <is>
          <t>—</t>
        </is>
      </c>
      <c r="F52" s="11" t="n">
        <v>63380.2978</v>
      </c>
      <c r="G52" s="6">
        <f>IF($F$85=0,0,F52/$F$85)</f>
        <v/>
      </c>
      <c r="H52" s="5" t="n">
        <v>53008.66</v>
      </c>
      <c r="I52" t="n">
        <v>3</v>
      </c>
      <c r="J52" t="n">
        <v>5</v>
      </c>
      <c r="K52" t="n">
        <v>4</v>
      </c>
      <c r="L52" s="5" t="n">
        <v>212034.65</v>
      </c>
    </row>
    <row r="53">
      <c r="A53" t="inlineStr">
        <is>
          <t>LIMA</t>
        </is>
      </c>
      <c r="B53" t="inlineStr">
        <is>
          <t>LIMA</t>
        </is>
      </c>
      <c r="C53" t="inlineStr">
        <is>
          <t>MAGDALENA VIEJA</t>
        </is>
      </c>
      <c r="D53" t="inlineStr">
        <is>
          <t>150121</t>
        </is>
      </c>
      <c r="E53" t="inlineStr">
        <is>
          <t>—</t>
        </is>
      </c>
      <c r="F53" s="11" t="n">
        <v>61416.1928</v>
      </c>
      <c r="G53" s="6">
        <f>IF($F$85=0,0,F53/$F$85)</f>
        <v/>
      </c>
      <c r="H53" s="5" t="n">
        <v>51365.97</v>
      </c>
      <c r="I53" t="n">
        <v>1</v>
      </c>
      <c r="J53" t="n">
        <v>4</v>
      </c>
      <c r="L53" s="5" t="n">
        <v>128414.91</v>
      </c>
    </row>
    <row r="54">
      <c r="A54" t="inlineStr">
        <is>
          <t>LIMA</t>
        </is>
      </c>
      <c r="B54" t="inlineStr">
        <is>
          <t>LIMA</t>
        </is>
      </c>
      <c r="C54" t="inlineStr">
        <is>
          <t>ATE</t>
        </is>
      </c>
      <c r="D54" t="inlineStr">
        <is>
          <t>150103</t>
        </is>
      </c>
      <c r="E54" t="inlineStr">
        <is>
          <t>—</t>
        </is>
      </c>
      <c r="F54" s="11" t="n">
        <v>60788.2322</v>
      </c>
      <c r="G54" s="6">
        <f>IF($F$85=0,0,F54/$F$85)</f>
        <v/>
      </c>
      <c r="H54" s="5" t="n">
        <v>50840.77</v>
      </c>
      <c r="I54" t="n">
        <v>4</v>
      </c>
      <c r="J54" t="n">
        <v>3</v>
      </c>
      <c r="L54" s="5" t="n">
        <v>177942.68</v>
      </c>
    </row>
    <row r="55">
      <c r="A55" t="inlineStr">
        <is>
          <t>ICA</t>
        </is>
      </c>
      <c r="B55" t="inlineStr">
        <is>
          <t>PISCO</t>
        </is>
      </c>
      <c r="C55" t="inlineStr">
        <is>
          <t>PISCO</t>
        </is>
      </c>
      <c r="D55" t="inlineStr">
        <is>
          <t>110501</t>
        </is>
      </c>
      <c r="E55" t="inlineStr">
        <is>
          <t>—</t>
        </is>
      </c>
      <c r="F55" s="11" t="n">
        <v>59363.8795</v>
      </c>
      <c r="G55" s="6">
        <f>IF($F$85=0,0,F55/$F$85)</f>
        <v/>
      </c>
      <c r="H55" s="5" t="n">
        <v>49649.5</v>
      </c>
      <c r="I55" t="n">
        <v>3</v>
      </c>
      <c r="J55" t="n">
        <v>5</v>
      </c>
      <c r="L55" s="5" t="n">
        <v>198597.98</v>
      </c>
    </row>
    <row r="56">
      <c r="A56" t="inlineStr">
        <is>
          <t>MOQUEGUA</t>
        </is>
      </c>
      <c r="B56" t="inlineStr">
        <is>
          <t>MARISCAL NIETO</t>
        </is>
      </c>
      <c r="C56" t="inlineStr">
        <is>
          <t>MOQUEGUA</t>
        </is>
      </c>
      <c r="D56" t="inlineStr">
        <is>
          <t>180101</t>
        </is>
      </c>
      <c r="E56" t="inlineStr">
        <is>
          <t>—</t>
        </is>
      </c>
      <c r="F56" s="11" t="n">
        <v>57048.3772</v>
      </c>
      <c r="G56" s="6">
        <f>IF($F$85=0,0,F56/$F$85)</f>
        <v/>
      </c>
      <c r="H56" s="5" t="n">
        <v>47712.91</v>
      </c>
      <c r="I56" t="n">
        <v>4</v>
      </c>
      <c r="J56" t="n">
        <v>4</v>
      </c>
      <c r="L56" s="5" t="n">
        <v>190851.62</v>
      </c>
    </row>
    <row r="57">
      <c r="A57" t="inlineStr">
        <is>
          <t>LIMA</t>
        </is>
      </c>
      <c r="B57" t="inlineStr">
        <is>
          <t>CAÑETE</t>
        </is>
      </c>
      <c r="C57" t="inlineStr">
        <is>
          <t>SAN VICENTE DE CAÑETE</t>
        </is>
      </c>
      <c r="D57" t="inlineStr">
        <is>
          <t>150501</t>
        </is>
      </c>
      <c r="E57" t="inlineStr">
        <is>
          <t>—</t>
        </is>
      </c>
      <c r="F57" s="11" t="n">
        <v>51283.9942</v>
      </c>
      <c r="G57" s="6">
        <f>IF($F$85=0,0,F57/$F$85)</f>
        <v/>
      </c>
      <c r="H57" s="5" t="n">
        <v>42891.81</v>
      </c>
      <c r="I57" t="n">
        <v>3</v>
      </c>
      <c r="J57" t="n">
        <v>5</v>
      </c>
      <c r="L57" s="5" t="n">
        <v>171567.26</v>
      </c>
    </row>
    <row r="58">
      <c r="A58" t="inlineStr">
        <is>
          <t>LIMA</t>
        </is>
      </c>
      <c r="B58" t="inlineStr">
        <is>
          <t>LIMA</t>
        </is>
      </c>
      <c r="C58" t="inlineStr">
        <is>
          <t>BARRANCO</t>
        </is>
      </c>
      <c r="D58" t="inlineStr">
        <is>
          <t>150104</t>
        </is>
      </c>
      <c r="E58" t="inlineStr">
        <is>
          <t>—</t>
        </is>
      </c>
      <c r="F58" s="11" t="n">
        <v>49775.6545</v>
      </c>
      <c r="G58" s="6">
        <f>IF($F$85=0,0,F58/$F$85)</f>
        <v/>
      </c>
      <c r="H58" s="5" t="n">
        <v>41630.3</v>
      </c>
      <c r="I58" t="n">
        <v>1</v>
      </c>
      <c r="J58" t="n">
        <v>4</v>
      </c>
      <c r="L58" s="5" t="n">
        <v>104075.75</v>
      </c>
    </row>
    <row r="59">
      <c r="A59" t="inlineStr">
        <is>
          <t>JUNIN</t>
        </is>
      </c>
      <c r="B59" t="inlineStr">
        <is>
          <t>CHANCHAMAYO</t>
        </is>
      </c>
      <c r="C59" t="inlineStr">
        <is>
          <t>CHANCHAMAYO</t>
        </is>
      </c>
      <c r="D59" t="inlineStr">
        <is>
          <t>120301</t>
        </is>
      </c>
      <c r="E59" t="inlineStr">
        <is>
          <t>—</t>
        </is>
      </c>
      <c r="F59" s="11" t="n">
        <v>43978.8228</v>
      </c>
      <c r="G59" s="6">
        <f>IF($F$85=0,0,F59/$F$85)</f>
        <v/>
      </c>
      <c r="H59" s="5" t="n">
        <v>36782.07</v>
      </c>
      <c r="I59" t="n">
        <v>5</v>
      </c>
      <c r="J59" t="n">
        <v>2</v>
      </c>
      <c r="K59" t="n">
        <v>3</v>
      </c>
      <c r="L59" s="5" t="n">
        <v>122606.9</v>
      </c>
    </row>
    <row r="60">
      <c r="A60" t="inlineStr">
        <is>
          <t>LIMA</t>
        </is>
      </c>
      <c r="B60" t="inlineStr">
        <is>
          <t>LIMA</t>
        </is>
      </c>
      <c r="C60" t="inlineStr">
        <is>
          <t>VILLA EL SALVADOR</t>
        </is>
      </c>
      <c r="D60" t="inlineStr">
        <is>
          <t>150142</t>
        </is>
      </c>
      <c r="E60" t="inlineStr">
        <is>
          <t>—</t>
        </is>
      </c>
      <c r="F60" s="11" t="n">
        <v>43027.7335</v>
      </c>
      <c r="G60" s="6">
        <f>IF($F$85=0,0,F60/$F$85)</f>
        <v/>
      </c>
      <c r="H60" s="5" t="n">
        <v>35986.62</v>
      </c>
      <c r="I60" t="n">
        <v>1</v>
      </c>
      <c r="J60" t="n">
        <v>3</v>
      </c>
      <c r="L60" s="5" t="n">
        <v>71973.24000000001</v>
      </c>
    </row>
    <row r="61">
      <c r="A61" t="inlineStr">
        <is>
          <t>ICA</t>
        </is>
      </c>
      <c r="B61" t="inlineStr">
        <is>
          <t>NAZCA</t>
        </is>
      </c>
      <c r="C61" t="inlineStr">
        <is>
          <t>NAZCA</t>
        </is>
      </c>
      <c r="D61" t="inlineStr">
        <is>
          <t>110301</t>
        </is>
      </c>
      <c r="E61" t="inlineStr">
        <is>
          <t>—</t>
        </is>
      </c>
      <c r="F61" s="11" t="n">
        <v>38411.4783</v>
      </c>
      <c r="G61" s="6">
        <f>IF($F$85=0,0,F61/$F$85)</f>
        <v/>
      </c>
      <c r="H61" s="5" t="n">
        <v>32125.77</v>
      </c>
      <c r="I61" t="n">
        <v>3</v>
      </c>
      <c r="J61" t="n">
        <v>5</v>
      </c>
      <c r="L61" s="5" t="n">
        <v>128503.09</v>
      </c>
    </row>
    <row r="62">
      <c r="A62" t="inlineStr">
        <is>
          <t>LIMA</t>
        </is>
      </c>
      <c r="B62" t="inlineStr">
        <is>
          <t>HUARAL</t>
        </is>
      </c>
      <c r="C62" t="inlineStr">
        <is>
          <t>HUARAL</t>
        </is>
      </c>
      <c r="D62" t="inlineStr">
        <is>
          <t>150601</t>
        </is>
      </c>
      <c r="E62" t="inlineStr">
        <is>
          <t>—</t>
        </is>
      </c>
      <c r="F62" s="11" t="n">
        <v>38291.6875</v>
      </c>
      <c r="G62" s="6">
        <f>IF($F$85=0,0,F62/$F$85)</f>
        <v/>
      </c>
      <c r="H62" s="5" t="n">
        <v>32025.59</v>
      </c>
      <c r="I62" t="n">
        <v>4</v>
      </c>
      <c r="J62" t="n">
        <v>4</v>
      </c>
      <c r="L62" s="5" t="n">
        <v>128102.34</v>
      </c>
    </row>
    <row r="63">
      <c r="A63" t="inlineStr">
        <is>
          <t>PIURA</t>
        </is>
      </c>
      <c r="B63" t="inlineStr">
        <is>
          <t>TALARA</t>
        </is>
      </c>
      <c r="C63" t="inlineStr">
        <is>
          <t>PARIÑAS</t>
        </is>
      </c>
      <c r="D63" t="inlineStr">
        <is>
          <t>200701</t>
        </is>
      </c>
      <c r="E63" t="inlineStr">
        <is>
          <t>—</t>
        </is>
      </c>
      <c r="F63" s="11" t="n">
        <v>35572.2974</v>
      </c>
      <c r="G63" s="6">
        <f>IF($F$85=0,0,F63/$F$85)</f>
        <v/>
      </c>
      <c r="H63" s="5" t="n">
        <v>29751.2</v>
      </c>
      <c r="I63" t="n">
        <v>3</v>
      </c>
      <c r="J63" t="n">
        <v>4</v>
      </c>
      <c r="K63" t="n">
        <v>3</v>
      </c>
      <c r="L63" s="5" t="n">
        <v>99170.67</v>
      </c>
    </row>
    <row r="64">
      <c r="A64" t="inlineStr">
        <is>
          <t>LIMA</t>
        </is>
      </c>
      <c r="B64" t="inlineStr">
        <is>
          <t>LIMA</t>
        </is>
      </c>
      <c r="C64" t="inlineStr">
        <is>
          <t>COMAS</t>
        </is>
      </c>
      <c r="D64" t="inlineStr">
        <is>
          <t>150110</t>
        </is>
      </c>
      <c r="E64" t="inlineStr">
        <is>
          <t>—</t>
        </is>
      </c>
      <c r="F64" s="11" t="n">
        <v>33884.2088</v>
      </c>
      <c r="G64" s="6">
        <f>IF($F$85=0,0,F64/$F$85)</f>
        <v/>
      </c>
      <c r="H64" s="5" t="n">
        <v>28339.35</v>
      </c>
      <c r="I64" t="n">
        <v>3</v>
      </c>
      <c r="J64" t="n">
        <v>3</v>
      </c>
      <c r="L64" s="5" t="n">
        <v>85018.06</v>
      </c>
    </row>
    <row r="65">
      <c r="A65" t="inlineStr">
        <is>
          <t>LIMA</t>
        </is>
      </c>
      <c r="B65" t="inlineStr">
        <is>
          <t>LIMA</t>
        </is>
      </c>
      <c r="C65" t="inlineStr">
        <is>
          <t>MAGDALENA DEL MAR</t>
        </is>
      </c>
      <c r="D65" t="inlineStr">
        <is>
          <t>150120</t>
        </is>
      </c>
      <c r="E65" t="inlineStr">
        <is>
          <t>—</t>
        </is>
      </c>
      <c r="F65" s="11" t="n">
        <v>33830.357</v>
      </c>
      <c r="G65" s="6">
        <f>IF($F$85=0,0,F65/$F$85)</f>
        <v/>
      </c>
      <c r="H65" s="5" t="n">
        <v>28294.31</v>
      </c>
      <c r="I65" t="n">
        <v>2</v>
      </c>
      <c r="J65" t="n">
        <v>4</v>
      </c>
      <c r="L65" s="5" t="n">
        <v>84882.94</v>
      </c>
    </row>
    <row r="66">
      <c r="A66" t="inlineStr">
        <is>
          <t>LIMA</t>
        </is>
      </c>
      <c r="B66" t="inlineStr">
        <is>
          <t>BARRANCA</t>
        </is>
      </c>
      <c r="C66" t="inlineStr">
        <is>
          <t>BARRANCA</t>
        </is>
      </c>
      <c r="D66" t="inlineStr">
        <is>
          <t>150201</t>
        </is>
      </c>
      <c r="E66" t="inlineStr">
        <is>
          <t>—</t>
        </is>
      </c>
      <c r="F66" s="11" t="n">
        <v>33291.5779</v>
      </c>
      <c r="G66" s="6">
        <f>IF($F$85=0,0,F66/$F$85)</f>
        <v/>
      </c>
      <c r="H66" s="5" t="n">
        <v>27843.7</v>
      </c>
      <c r="I66" t="n">
        <v>3</v>
      </c>
      <c r="J66" t="n">
        <v>4</v>
      </c>
      <c r="L66" s="5" t="n">
        <v>97452.95</v>
      </c>
    </row>
    <row r="67">
      <c r="A67" t="inlineStr">
        <is>
          <t>AREQUIPA</t>
        </is>
      </c>
      <c r="B67" t="inlineStr">
        <is>
          <t>AREQUIPA</t>
        </is>
      </c>
      <c r="C67" t="inlineStr">
        <is>
          <t>JOSE LUIS BUSTAMANTE Y RIVERO</t>
        </is>
      </c>
      <c r="D67" t="inlineStr">
        <is>
          <t>040129</t>
        </is>
      </c>
      <c r="E67" t="inlineStr">
        <is>
          <t>—</t>
        </is>
      </c>
      <c r="F67" s="11" t="n">
        <v>33199.5909</v>
      </c>
      <c r="G67" s="6">
        <f>IF($F$85=0,0,F67/$F$85)</f>
        <v/>
      </c>
      <c r="H67" s="5" t="n">
        <v>27766.77</v>
      </c>
      <c r="I67" t="n">
        <v>2</v>
      </c>
      <c r="J67" t="n">
        <v>5</v>
      </c>
      <c r="L67" s="5" t="n">
        <v>97183.67999999999</v>
      </c>
    </row>
    <row r="68">
      <c r="A68" t="inlineStr">
        <is>
          <t>MOQUEGUA</t>
        </is>
      </c>
      <c r="B68" t="inlineStr">
        <is>
          <t>ILO</t>
        </is>
      </c>
      <c r="C68" t="inlineStr">
        <is>
          <t>ILO</t>
        </is>
      </c>
      <c r="D68" t="inlineStr">
        <is>
          <t>180301</t>
        </is>
      </c>
      <c r="E68" t="inlineStr">
        <is>
          <t>—</t>
        </is>
      </c>
      <c r="F68" s="11" t="n">
        <v>33093.9009</v>
      </c>
      <c r="G68" s="6">
        <f>IF($F$85=0,0,F68/$F$85)</f>
        <v/>
      </c>
      <c r="H68" s="5" t="n">
        <v>27678.37</v>
      </c>
      <c r="I68" t="n">
        <v>4</v>
      </c>
      <c r="J68" t="n">
        <v>2</v>
      </c>
      <c r="L68" s="5" t="n">
        <v>83035.11</v>
      </c>
    </row>
    <row r="69">
      <c r="A69" t="inlineStr">
        <is>
          <t>SAN MARTIN</t>
        </is>
      </c>
      <c r="B69" t="inlineStr">
        <is>
          <t>MOYOBAMBA</t>
        </is>
      </c>
      <c r="C69" t="inlineStr">
        <is>
          <t>MOYOBAMBA</t>
        </is>
      </c>
      <c r="D69" t="inlineStr">
        <is>
          <t>220101</t>
        </is>
      </c>
      <c r="E69" t="inlineStr">
        <is>
          <t>—</t>
        </is>
      </c>
      <c r="F69" s="11" t="n">
        <v>30405.8966</v>
      </c>
      <c r="G69" s="6">
        <f>IF($F$85=0,0,F69/$F$85)</f>
        <v/>
      </c>
      <c r="H69" s="5" t="n">
        <v>25430.24</v>
      </c>
      <c r="I69" t="n">
        <v>4</v>
      </c>
      <c r="J69" t="n">
        <v>4</v>
      </c>
      <c r="K69" t="n">
        <v>2</v>
      </c>
      <c r="L69" s="5" t="n">
        <v>84767.45</v>
      </c>
    </row>
    <row r="70">
      <c r="A70" t="inlineStr">
        <is>
          <t>PASCO</t>
        </is>
      </c>
      <c r="B70" t="inlineStr">
        <is>
          <t>PASCO</t>
        </is>
      </c>
      <c r="C70" t="inlineStr">
        <is>
          <t>YANACANCHA</t>
        </is>
      </c>
      <c r="D70" t="inlineStr">
        <is>
          <t>190113</t>
        </is>
      </c>
      <c r="E70" t="inlineStr">
        <is>
          <t>—</t>
        </is>
      </c>
      <c r="F70" s="11" t="n">
        <v>27866.2702</v>
      </c>
      <c r="G70" s="6">
        <f>IF($F$85=0,0,F70/$F$85)</f>
        <v/>
      </c>
      <c r="H70" s="5" t="n">
        <v>23306.2</v>
      </c>
      <c r="I70" t="n">
        <v>4</v>
      </c>
      <c r="J70" t="n">
        <v>2</v>
      </c>
      <c r="K70" t="n">
        <v>3</v>
      </c>
      <c r="L70" s="5" t="n">
        <v>69918.59</v>
      </c>
    </row>
    <row r="71">
      <c r="A71" t="inlineStr">
        <is>
          <t>CUSCO</t>
        </is>
      </c>
      <c r="B71" t="inlineStr">
        <is>
          <t>CUSCO</t>
        </is>
      </c>
      <c r="C71" t="inlineStr">
        <is>
          <t>SAN SEBASTIAN</t>
        </is>
      </c>
      <c r="D71" t="inlineStr">
        <is>
          <t>080105</t>
        </is>
      </c>
      <c r="E71" t="inlineStr">
        <is>
          <t>—</t>
        </is>
      </c>
      <c r="F71" s="11" t="n">
        <v>25653.7194</v>
      </c>
      <c r="G71" s="6">
        <f>IF($F$85=0,0,F71/$F$85)</f>
        <v/>
      </c>
      <c r="H71" s="5" t="n">
        <v>21455.71</v>
      </c>
      <c r="I71" t="n">
        <v>4</v>
      </c>
      <c r="J71" t="n">
        <v>2</v>
      </c>
      <c r="K71" t="n">
        <v>3</v>
      </c>
      <c r="L71" s="5" t="n">
        <v>64367.13</v>
      </c>
    </row>
    <row r="72">
      <c r="A72" t="inlineStr">
        <is>
          <t>AREQUIPA</t>
        </is>
      </c>
      <c r="B72" t="inlineStr">
        <is>
          <t>CAMANA</t>
        </is>
      </c>
      <c r="C72" t="inlineStr">
        <is>
          <t>CAMANA</t>
        </is>
      </c>
      <c r="D72" t="inlineStr">
        <is>
          <t>040201</t>
        </is>
      </c>
      <c r="E72" t="inlineStr">
        <is>
          <t>—</t>
        </is>
      </c>
      <c r="F72" s="11" t="n">
        <v>24045.2624</v>
      </c>
      <c r="G72" s="6">
        <f>IF($F$85=0,0,F72/$F$85)</f>
        <v/>
      </c>
      <c r="H72" s="5" t="n">
        <v>20110.46</v>
      </c>
      <c r="I72" t="n">
        <v>4</v>
      </c>
      <c r="J72" t="n">
        <v>4</v>
      </c>
      <c r="L72" s="5" t="n">
        <v>80441.86</v>
      </c>
    </row>
    <row r="73">
      <c r="A73" t="inlineStr">
        <is>
          <t>PIURA</t>
        </is>
      </c>
      <c r="B73" t="inlineStr">
        <is>
          <t>PAITA</t>
        </is>
      </c>
      <c r="C73" t="inlineStr">
        <is>
          <t>PAITA</t>
        </is>
      </c>
      <c r="D73" t="inlineStr">
        <is>
          <t>200501</t>
        </is>
      </c>
      <c r="E73" t="inlineStr">
        <is>
          <t>—</t>
        </is>
      </c>
      <c r="F73" s="11" t="n">
        <v>23831.1279</v>
      </c>
      <c r="G73" s="6">
        <f>IF($F$85=0,0,F73/$F$85)</f>
        <v/>
      </c>
      <c r="H73" s="5" t="n">
        <v>19931.37</v>
      </c>
      <c r="I73" t="n">
        <v>2</v>
      </c>
      <c r="J73" t="n">
        <v>4</v>
      </c>
      <c r="L73" s="5" t="n">
        <v>59794.11</v>
      </c>
    </row>
    <row r="74">
      <c r="A74" t="inlineStr">
        <is>
          <t>LIMA</t>
        </is>
      </c>
      <c r="B74" t="inlineStr">
        <is>
          <t>LIMA</t>
        </is>
      </c>
      <c r="C74" t="inlineStr">
        <is>
          <t>PUENTE PIEDRA</t>
        </is>
      </c>
      <c r="D74" t="inlineStr">
        <is>
          <t>150125</t>
        </is>
      </c>
      <c r="E74" t="inlineStr">
        <is>
          <t>—</t>
        </is>
      </c>
      <c r="F74" s="11" t="n">
        <v>23237.3597</v>
      </c>
      <c r="G74" s="6">
        <f>IF($F$85=0,0,F74/$F$85)</f>
        <v/>
      </c>
      <c r="H74" s="5" t="n">
        <v>19434.77</v>
      </c>
      <c r="I74" t="n">
        <v>2</v>
      </c>
      <c r="J74" t="n">
        <v>3</v>
      </c>
      <c r="L74" s="5" t="n">
        <v>48586.92</v>
      </c>
    </row>
    <row r="75">
      <c r="A75" t="inlineStr">
        <is>
          <t>LIMA</t>
        </is>
      </c>
      <c r="B75" t="inlineStr">
        <is>
          <t>LIMA</t>
        </is>
      </c>
      <c r="C75" t="inlineStr">
        <is>
          <t>LURIN</t>
        </is>
      </c>
      <c r="D75" t="inlineStr">
        <is>
          <t>150119</t>
        </is>
      </c>
      <c r="E75" t="inlineStr">
        <is>
          <t>—</t>
        </is>
      </c>
      <c r="F75" s="11" t="n">
        <v>20265.8003</v>
      </c>
      <c r="G75" s="6">
        <f>IF($F$85=0,0,F75/$F$85)</f>
        <v/>
      </c>
      <c r="H75" s="5" t="n">
        <v>16949.48</v>
      </c>
      <c r="I75" t="n">
        <v>3</v>
      </c>
      <c r="J75" t="n">
        <v>3</v>
      </c>
      <c r="L75" s="5" t="n">
        <v>50848.43</v>
      </c>
    </row>
    <row r="76">
      <c r="A76" t="inlineStr">
        <is>
          <t>LIMA</t>
        </is>
      </c>
      <c r="B76" t="inlineStr">
        <is>
          <t>LIMA</t>
        </is>
      </c>
      <c r="C76" t="inlineStr">
        <is>
          <t>CARABAYLLO</t>
        </is>
      </c>
      <c r="D76" t="inlineStr">
        <is>
          <t>150106</t>
        </is>
      </c>
      <c r="E76" t="inlineStr">
        <is>
          <t>—</t>
        </is>
      </c>
      <c r="F76" s="11" t="n">
        <v>16003.7408</v>
      </c>
      <c r="G76" s="6">
        <f>IF($F$85=0,0,F76/$F$85)</f>
        <v/>
      </c>
      <c r="H76" s="5" t="n">
        <v>13384.87</v>
      </c>
      <c r="I76" t="n">
        <v>5</v>
      </c>
      <c r="J76" t="n">
        <v>3</v>
      </c>
      <c r="L76" s="5" t="n">
        <v>53539.47</v>
      </c>
    </row>
    <row r="77">
      <c r="A77" t="inlineStr">
        <is>
          <t>ICA</t>
        </is>
      </c>
      <c r="B77" t="inlineStr">
        <is>
          <t>NAZCA</t>
        </is>
      </c>
      <c r="C77" t="inlineStr">
        <is>
          <t>MARCONA</t>
        </is>
      </c>
      <c r="D77" t="inlineStr">
        <is>
          <t>110304</t>
        </is>
      </c>
      <c r="E77" t="inlineStr">
        <is>
          <t>—</t>
        </is>
      </c>
      <c r="F77" s="11" t="n">
        <v>14726.4571</v>
      </c>
      <c r="G77" s="6">
        <f>IF($F$85=0,0,F77/$F$85)</f>
        <v/>
      </c>
      <c r="H77" s="5" t="n">
        <v>12316.6</v>
      </c>
      <c r="I77" t="n">
        <v>3</v>
      </c>
      <c r="J77" t="n">
        <v>4</v>
      </c>
      <c r="L77" s="5" t="n">
        <v>43108.1</v>
      </c>
    </row>
    <row r="78">
      <c r="A78" t="inlineStr">
        <is>
          <t>CALLAO</t>
        </is>
      </c>
      <c r="B78" t="inlineStr">
        <is>
          <t>CALLAO</t>
        </is>
      </c>
      <c r="C78" t="inlineStr">
        <is>
          <t>VENTANILLA</t>
        </is>
      </c>
      <c r="D78" t="inlineStr">
        <is>
          <t>070106</t>
        </is>
      </c>
      <c r="E78" t="inlineStr">
        <is>
          <t>—</t>
        </is>
      </c>
      <c r="F78" s="11" t="n">
        <v>13996.8848</v>
      </c>
      <c r="G78" s="6">
        <f>IF($F$85=0,0,F78/$F$85)</f>
        <v/>
      </c>
      <c r="H78" s="5" t="n">
        <v>11706.42</v>
      </c>
      <c r="I78" t="n">
        <v>3</v>
      </c>
      <c r="J78" t="n">
        <v>3</v>
      </c>
      <c r="L78" s="5" t="n">
        <v>35119.25</v>
      </c>
    </row>
    <row r="79">
      <c r="A79" t="inlineStr">
        <is>
          <t>APURIMAC</t>
        </is>
      </c>
      <c r="B79" t="inlineStr">
        <is>
          <t>COTABAMBAS</t>
        </is>
      </c>
      <c r="C79" t="inlineStr">
        <is>
          <t>CHALLHUAHUACHO</t>
        </is>
      </c>
      <c r="D79" t="inlineStr">
        <is>
          <t>030506</t>
        </is>
      </c>
      <c r="E79" t="inlineStr">
        <is>
          <t>—</t>
        </is>
      </c>
      <c r="F79" s="11" t="n">
        <v>12790.7785</v>
      </c>
      <c r="G79" s="6">
        <f>IF($F$85=0,0,F79/$F$85)</f>
        <v/>
      </c>
      <c r="H79" s="5" t="n">
        <v>10697.68</v>
      </c>
      <c r="I79" t="n">
        <v>3</v>
      </c>
      <c r="J79" t="n">
        <v>3</v>
      </c>
      <c r="K79" t="n">
        <v>3</v>
      </c>
      <c r="L79" s="5" t="n">
        <v>32093.04</v>
      </c>
    </row>
    <row r="80">
      <c r="A80" t="inlineStr">
        <is>
          <t>LIMA</t>
        </is>
      </c>
      <c r="B80" t="inlineStr">
        <is>
          <t>HUARAL</t>
        </is>
      </c>
      <c r="C80" t="inlineStr">
        <is>
          <t>CHANCAY</t>
        </is>
      </c>
      <c r="D80" t="inlineStr">
        <is>
          <t>150605</t>
        </is>
      </c>
      <c r="E80" t="inlineStr">
        <is>
          <t>—</t>
        </is>
      </c>
      <c r="F80" s="11" t="n">
        <v>10167.0856</v>
      </c>
      <c r="G80" s="6">
        <f>IF($F$85=0,0,F80/$F$85)</f>
        <v/>
      </c>
      <c r="H80" s="5" t="n">
        <v>8503.33</v>
      </c>
      <c r="I80" t="n">
        <v>3</v>
      </c>
      <c r="J80" t="n">
        <v>4</v>
      </c>
      <c r="L80" s="5" t="n">
        <v>29761.66</v>
      </c>
    </row>
    <row r="81">
      <c r="A81" t="inlineStr">
        <is>
          <t>LIMA</t>
        </is>
      </c>
      <c r="B81" t="inlineStr">
        <is>
          <t>LIMA</t>
        </is>
      </c>
      <c r="C81" t="inlineStr">
        <is>
          <t>LURIGANCHO</t>
        </is>
      </c>
      <c r="D81" t="inlineStr">
        <is>
          <t>150118</t>
        </is>
      </c>
      <c r="E81" t="inlineStr">
        <is>
          <t>—</t>
        </is>
      </c>
      <c r="F81" s="11" t="n">
        <v>6873.717</v>
      </c>
      <c r="G81" s="6">
        <f>IF($F$85=0,0,F81/$F$85)</f>
        <v/>
      </c>
      <c r="H81" s="5" t="n">
        <v>5748.89</v>
      </c>
      <c r="I81" t="n">
        <v>5</v>
      </c>
      <c r="J81" t="n">
        <v>4</v>
      </c>
      <c r="L81" s="5" t="n">
        <v>25870.02</v>
      </c>
    </row>
    <row r="82">
      <c r="A82" t="inlineStr">
        <is>
          <t>LA LIBERTAD</t>
        </is>
      </c>
      <c r="B82" t="inlineStr">
        <is>
          <t>PATAZ</t>
        </is>
      </c>
      <c r="C82" t="inlineStr">
        <is>
          <t>PARCOY</t>
        </is>
      </c>
      <c r="D82" t="inlineStr">
        <is>
          <t>130808</t>
        </is>
      </c>
      <c r="E82" t="inlineStr">
        <is>
          <t>—</t>
        </is>
      </c>
      <c r="F82" s="11" t="n">
        <v>1020.7405</v>
      </c>
      <c r="G82" s="6">
        <f>IF($F$85=0,0,F82/$F$85)</f>
        <v/>
      </c>
      <c r="H82" s="5" t="n">
        <v>853.71</v>
      </c>
      <c r="I82" t="n">
        <v>5</v>
      </c>
      <c r="J82" t="n">
        <v>2</v>
      </c>
      <c r="K82" t="n">
        <v>2</v>
      </c>
      <c r="L82" s="5" t="n">
        <v>2561.12</v>
      </c>
    </row>
    <row r="83">
      <c r="A83" t="inlineStr">
        <is>
          <t>UCAYALI</t>
        </is>
      </c>
      <c r="B83" t="inlineStr">
        <is>
          <t>CORONEL PORTILLO</t>
        </is>
      </c>
      <c r="C83" t="inlineStr">
        <is>
          <t>YARINACOCHA</t>
        </is>
      </c>
      <c r="D83" t="inlineStr">
        <is>
          <t>250105</t>
        </is>
      </c>
      <c r="E83" t="inlineStr">
        <is>
          <t>—</t>
        </is>
      </c>
      <c r="F83" s="11" t="n">
        <v>980.9661</v>
      </c>
      <c r="G83" s="6">
        <f>IF($F$85=0,0,F83/$F$85)</f>
        <v/>
      </c>
      <c r="H83" s="5" t="n">
        <v>820.4400000000001</v>
      </c>
      <c r="I83" t="n">
        <v>1</v>
      </c>
      <c r="J83" t="n">
        <v>5</v>
      </c>
      <c r="K83" t="n">
        <v>2</v>
      </c>
      <c r="L83" s="5" t="n">
        <v>2187.84</v>
      </c>
    </row>
    <row r="84">
      <c r="A84" t="inlineStr">
        <is>
          <t>LIMA</t>
        </is>
      </c>
      <c r="B84" t="inlineStr">
        <is>
          <t>LIMA</t>
        </is>
      </c>
      <c r="C84" t="inlineStr">
        <is>
          <t>VILLA MARIA DEL TRIUNFO</t>
        </is>
      </c>
      <c r="D84" t="inlineStr">
        <is>
          <t>150143</t>
        </is>
      </c>
      <c r="E84" t="inlineStr">
        <is>
          <t>—</t>
        </is>
      </c>
      <c r="F84" s="11" t="n">
        <v>339.6747</v>
      </c>
      <c r="G84" s="6">
        <f>IF($F$85=0,0,F84/$F$85)</f>
        <v/>
      </c>
      <c r="H84" s="5" t="n">
        <v>284.09</v>
      </c>
      <c r="I84" t="n">
        <v>4</v>
      </c>
      <c r="J84" t="n">
        <v>1</v>
      </c>
      <c r="L84" s="5" t="n">
        <v>710.22</v>
      </c>
    </row>
    <row r="85">
      <c r="A85" s="12" t="inlineStr">
        <is>
          <t>TOTAL</t>
        </is>
      </c>
      <c r="B85" t="inlineStr"/>
      <c r="C85" t="inlineStr"/>
      <c r="D85" t="inlineStr"/>
      <c r="E85" t="inlineStr"/>
      <c r="F85" s="13">
        <f>SUM(F5:F84)</f>
        <v/>
      </c>
      <c r="G85" t="inlineStr"/>
      <c r="H85" s="14">
        <f>SUM(H5:H84)</f>
        <v/>
      </c>
      <c r="I85" t="inlineStr"/>
      <c r="J85" t="inlineStr"/>
      <c r="K85" t="inlineStr"/>
      <c r="L85" s="14">
        <f>SUM(L5:L84)</f>
        <v/>
      </c>
    </row>
    <row r="88">
      <c r="A88" s="15" t="inlineStr">
        <is>
          <t>Detalle por colocaciones (Miles S/)</t>
        </is>
      </c>
    </row>
    <row r="89">
      <c r="A89" s="3" t="inlineStr">
        <is>
          <t>Distrito</t>
        </is>
      </c>
      <c r="B89" s="3" t="inlineStr">
        <is>
          <t>Ubigeo</t>
        </is>
      </c>
      <c r="C89" s="3" t="inlineStr">
        <is>
          <t>Mineral</t>
        </is>
      </c>
      <c r="D89" s="3" t="inlineStr">
        <is>
          <t>Unidad</t>
        </is>
      </c>
      <c r="E89" s="3" t="inlineStr">
        <is>
          <t>Cantidad (orig.)</t>
        </is>
      </c>
      <c r="F89" s="3" t="inlineStr">
        <is>
          <t>TMF equiv.</t>
        </is>
      </c>
    </row>
    <row r="90">
      <c r="A90" t="inlineStr">
        <is>
          <t>LIMA</t>
        </is>
      </c>
      <c r="B90" t="inlineStr">
        <is>
          <t>150101</t>
        </is>
      </c>
      <c r="C90" t="inlineStr">
        <is>
          <t>Créditos</t>
        </is>
      </c>
      <c r="D90" t="inlineStr">
        <is>
          <t>Miles S/</t>
        </is>
      </c>
      <c r="E90" s="11" t="n">
        <v>22385471.5266</v>
      </c>
      <c r="F90" s="16" t="n">
        <v>22385471.52663</v>
      </c>
    </row>
    <row r="91">
      <c r="A91" t="inlineStr">
        <is>
          <t>SAN ISIDRO</t>
        </is>
      </c>
      <c r="B91" t="inlineStr">
        <is>
          <t>150131</t>
        </is>
      </c>
      <c r="C91" t="inlineStr">
        <is>
          <t>Créditos</t>
        </is>
      </c>
      <c r="D91" t="inlineStr">
        <is>
          <t>Miles S/</t>
        </is>
      </c>
      <c r="E91" s="11" t="n">
        <v>7856949.2896</v>
      </c>
      <c r="F91" s="16" t="n">
        <v>7856949.28961</v>
      </c>
    </row>
    <row r="92">
      <c r="A92" t="inlineStr">
        <is>
          <t>LA VICTORIA</t>
        </is>
      </c>
      <c r="B92" t="inlineStr">
        <is>
          <t>150115</t>
        </is>
      </c>
      <c r="C92" t="inlineStr">
        <is>
          <t>Créditos</t>
        </is>
      </c>
      <c r="D92" t="inlineStr">
        <is>
          <t>Miles S/</t>
        </is>
      </c>
      <c r="E92" s="11" t="n">
        <v>6681545.7373</v>
      </c>
      <c r="F92" s="16" t="n">
        <v>6681545.7373</v>
      </c>
    </row>
    <row r="93">
      <c r="A93" t="inlineStr">
        <is>
          <t>TRUJILLO</t>
        </is>
      </c>
      <c r="B93" t="inlineStr">
        <is>
          <t>130101</t>
        </is>
      </c>
      <c r="C93" t="inlineStr">
        <is>
          <t>Créditos</t>
        </is>
      </c>
      <c r="D93" t="inlineStr">
        <is>
          <t>Miles S/</t>
        </is>
      </c>
      <c r="E93" s="11" t="n">
        <v>1647816.371</v>
      </c>
      <c r="F93" s="16" t="n">
        <v>1647816.37098</v>
      </c>
    </row>
    <row r="94">
      <c r="A94" t="inlineStr">
        <is>
          <t>SANTIAGO DE SURCO</t>
        </is>
      </c>
      <c r="B94" t="inlineStr">
        <is>
          <t>150140</t>
        </is>
      </c>
      <c r="C94" t="inlineStr">
        <is>
          <t>Créditos</t>
        </is>
      </c>
      <c r="D94" t="inlineStr">
        <is>
          <t>Miles S/</t>
        </is>
      </c>
      <c r="E94" s="11" t="n">
        <v>705927.7001</v>
      </c>
      <c r="F94" s="16" t="n">
        <v>705927.70008</v>
      </c>
    </row>
    <row r="95">
      <c r="A95" t="inlineStr">
        <is>
          <t>AREQUIPA</t>
        </is>
      </c>
      <c r="B95" t="inlineStr">
        <is>
          <t>040101</t>
        </is>
      </c>
      <c r="C95" t="inlineStr">
        <is>
          <t>Créditos</t>
        </is>
      </c>
      <c r="D95" t="inlineStr">
        <is>
          <t>Miles S/</t>
        </is>
      </c>
      <c r="E95" s="11" t="n">
        <v>637519.2946</v>
      </c>
      <c r="F95" s="16" t="n">
        <v>637519.2946500001</v>
      </c>
    </row>
    <row r="96">
      <c r="A96" t="inlineStr">
        <is>
          <t>CHICLAYO</t>
        </is>
      </c>
      <c r="B96" t="inlineStr">
        <is>
          <t>140101</t>
        </is>
      </c>
      <c r="C96" t="inlineStr">
        <is>
          <t>Créditos</t>
        </is>
      </c>
      <c r="D96" t="inlineStr">
        <is>
          <t>Miles S/</t>
        </is>
      </c>
      <c r="E96" s="11" t="n">
        <v>577316.63</v>
      </c>
      <c r="F96" s="16" t="n">
        <v>577316.62999</v>
      </c>
    </row>
    <row r="97">
      <c r="A97" t="inlineStr">
        <is>
          <t>PIURA</t>
        </is>
      </c>
      <c r="B97" t="inlineStr">
        <is>
          <t>200101</t>
        </is>
      </c>
      <c r="C97" t="inlineStr">
        <is>
          <t>Créditos</t>
        </is>
      </c>
      <c r="D97" t="inlineStr">
        <is>
          <t>Miles S/</t>
        </is>
      </c>
      <c r="E97" s="11" t="n">
        <v>549051.7502</v>
      </c>
      <c r="F97" s="16" t="n">
        <v>549051.75018</v>
      </c>
    </row>
    <row r="98">
      <c r="A98" t="inlineStr">
        <is>
          <t>MIRAFLORES</t>
        </is>
      </c>
      <c r="B98" t="inlineStr">
        <is>
          <t>150122</t>
        </is>
      </c>
      <c r="C98" t="inlineStr">
        <is>
          <t>Créditos</t>
        </is>
      </c>
      <c r="D98" t="inlineStr">
        <is>
          <t>Miles S/</t>
        </is>
      </c>
      <c r="E98" s="11" t="n">
        <v>543905.1094</v>
      </c>
      <c r="F98" s="16" t="n">
        <v>543905.10943</v>
      </c>
    </row>
    <row r="99">
      <c r="A99" t="inlineStr">
        <is>
          <t>ICA</t>
        </is>
      </c>
      <c r="B99" t="inlineStr">
        <is>
          <t>110101</t>
        </is>
      </c>
      <c r="C99" t="inlineStr">
        <is>
          <t>Créditos</t>
        </is>
      </c>
      <c r="D99" t="inlineStr">
        <is>
          <t>Miles S/</t>
        </is>
      </c>
      <c r="E99" s="11" t="n">
        <v>477275.9654</v>
      </c>
      <c r="F99" s="16" t="n">
        <v>477275.96537</v>
      </c>
    </row>
    <row r="100">
      <c r="A100" t="inlineStr">
        <is>
          <t>HUANCAYO</t>
        </is>
      </c>
      <c r="B100" t="inlineStr">
        <is>
          <t>120101</t>
        </is>
      </c>
      <c r="C100" t="inlineStr">
        <is>
          <t>Créditos</t>
        </is>
      </c>
      <c r="D100" t="inlineStr">
        <is>
          <t>Miles S/</t>
        </is>
      </c>
      <c r="E100" s="11" t="n">
        <v>344334.1533</v>
      </c>
      <c r="F100" s="16" t="n">
        <v>344334.15327</v>
      </c>
    </row>
    <row r="101">
      <c r="A101" t="inlineStr">
        <is>
          <t>SAN BORJA</t>
        </is>
      </c>
      <c r="B101" t="inlineStr">
        <is>
          <t>150130</t>
        </is>
      </c>
      <c r="C101" t="inlineStr">
        <is>
          <t>Créditos</t>
        </is>
      </c>
      <c r="D101" t="inlineStr">
        <is>
          <t>Miles S/</t>
        </is>
      </c>
      <c r="E101" s="11" t="n">
        <v>341077.4555</v>
      </c>
      <c r="F101" s="16" t="n">
        <v>341077.45552</v>
      </c>
    </row>
    <row r="102">
      <c r="A102" t="inlineStr">
        <is>
          <t>CUSCO</t>
        </is>
      </c>
      <c r="B102" t="inlineStr">
        <is>
          <t>080101</t>
        </is>
      </c>
      <c r="C102" t="inlineStr">
        <is>
          <t>Créditos</t>
        </is>
      </c>
      <c r="D102" t="inlineStr">
        <is>
          <t>Miles S/</t>
        </is>
      </c>
      <c r="E102" s="11" t="n">
        <v>327466.2482</v>
      </c>
      <c r="F102" s="16" t="n">
        <v>327466.24816</v>
      </c>
    </row>
    <row r="103">
      <c r="A103" t="inlineStr">
        <is>
          <t>JAEN</t>
        </is>
      </c>
      <c r="B103" t="inlineStr">
        <is>
          <t>060801</t>
        </is>
      </c>
      <c r="C103" t="inlineStr">
        <is>
          <t>Créditos</t>
        </is>
      </c>
      <c r="D103" t="inlineStr">
        <is>
          <t>Miles S/</t>
        </is>
      </c>
      <c r="E103" s="11" t="n">
        <v>287256.4805</v>
      </c>
      <c r="F103" s="16" t="n">
        <v>287256.48052</v>
      </c>
    </row>
    <row r="104">
      <c r="A104" t="inlineStr">
        <is>
          <t>CAJAMARCA</t>
        </is>
      </c>
      <c r="B104" t="inlineStr">
        <is>
          <t>060101</t>
        </is>
      </c>
      <c r="C104" t="inlineStr">
        <is>
          <t>Créditos</t>
        </is>
      </c>
      <c r="D104" t="inlineStr">
        <is>
          <t>Miles S/</t>
        </is>
      </c>
      <c r="E104" s="11" t="n">
        <v>268308.1283</v>
      </c>
      <c r="F104" s="16" t="n">
        <v>268308.12826</v>
      </c>
    </row>
    <row r="105">
      <c r="A105" t="inlineStr">
        <is>
          <t>IQUITOS</t>
        </is>
      </c>
      <c r="B105" t="inlineStr">
        <is>
          <t>160101</t>
        </is>
      </c>
      <c r="C105" t="inlineStr">
        <is>
          <t>Créditos</t>
        </is>
      </c>
      <c r="D105" t="inlineStr">
        <is>
          <t>Miles S/</t>
        </is>
      </c>
      <c r="E105" s="11" t="n">
        <v>265417.6659</v>
      </c>
      <c r="F105" s="16" t="n">
        <v>265417.66594</v>
      </c>
    </row>
    <row r="106">
      <c r="A106" t="inlineStr">
        <is>
          <t>CHIMBOTE</t>
        </is>
      </c>
      <c r="B106" t="inlineStr">
        <is>
          <t>021801</t>
        </is>
      </c>
      <c r="C106" t="inlineStr">
        <is>
          <t>Créditos</t>
        </is>
      </c>
      <c r="D106" t="inlineStr">
        <is>
          <t>Miles S/</t>
        </is>
      </c>
      <c r="E106" s="11" t="n">
        <v>255104.7509</v>
      </c>
      <c r="F106" s="16" t="n">
        <v>255104.75094</v>
      </c>
    </row>
    <row r="107">
      <c r="A107" t="inlineStr">
        <is>
          <t>TARAPOTO</t>
        </is>
      </c>
      <c r="B107" t="inlineStr">
        <is>
          <t>220901</t>
        </is>
      </c>
      <c r="C107" t="inlineStr">
        <is>
          <t>Créditos</t>
        </is>
      </c>
      <c r="D107" t="inlineStr">
        <is>
          <t>Miles S/</t>
        </is>
      </c>
      <c r="E107" s="11" t="n">
        <v>239590.9401</v>
      </c>
      <c r="F107" s="16" t="n">
        <v>239590.94014</v>
      </c>
    </row>
    <row r="108">
      <c r="A108" t="inlineStr">
        <is>
          <t>CHINCHA ALTA</t>
        </is>
      </c>
      <c r="B108" t="inlineStr">
        <is>
          <t>110201</t>
        </is>
      </c>
      <c r="C108" t="inlineStr">
        <is>
          <t>Créditos</t>
        </is>
      </c>
      <c r="D108" t="inlineStr">
        <is>
          <t>Miles S/</t>
        </is>
      </c>
      <c r="E108" s="11" t="n">
        <v>222378.0303</v>
      </c>
      <c r="F108" s="16" t="n">
        <v>222378.0303</v>
      </c>
    </row>
    <row r="109">
      <c r="A109" t="inlineStr">
        <is>
          <t>AYACUCHO</t>
        </is>
      </c>
      <c r="B109" t="inlineStr">
        <is>
          <t>050101</t>
        </is>
      </c>
      <c r="C109" t="inlineStr">
        <is>
          <t>Créditos</t>
        </is>
      </c>
      <c r="D109" t="inlineStr">
        <is>
          <t>Miles S/</t>
        </is>
      </c>
      <c r="E109" s="11" t="n">
        <v>219388.8248</v>
      </c>
      <c r="F109" s="16" t="n">
        <v>219388.82479</v>
      </c>
    </row>
    <row r="110">
      <c r="A110" t="inlineStr">
        <is>
          <t>TACNA</t>
        </is>
      </c>
      <c r="B110" t="inlineStr">
        <is>
          <t>230101</t>
        </is>
      </c>
      <c r="C110" t="inlineStr">
        <is>
          <t>Créditos</t>
        </is>
      </c>
      <c r="D110" t="inlineStr">
        <is>
          <t>Miles S/</t>
        </is>
      </c>
      <c r="E110" s="11" t="n">
        <v>213414.9748</v>
      </c>
      <c r="F110" s="16" t="n">
        <v>213414.9748</v>
      </c>
    </row>
    <row r="111">
      <c r="A111" t="inlineStr">
        <is>
          <t>SANTA ANITA</t>
        </is>
      </c>
      <c r="B111" t="inlineStr">
        <is>
          <t>150137</t>
        </is>
      </c>
      <c r="C111" t="inlineStr">
        <is>
          <t>Créditos</t>
        </is>
      </c>
      <c r="D111" t="inlineStr">
        <is>
          <t>Miles S/</t>
        </is>
      </c>
      <c r="E111" s="11" t="n">
        <v>211991.1513</v>
      </c>
      <c r="F111" s="16" t="n">
        <v>211991.1513</v>
      </c>
    </row>
    <row r="112">
      <c r="A112" t="inlineStr">
        <is>
          <t>HUARAZ</t>
        </is>
      </c>
      <c r="B112" t="inlineStr">
        <is>
          <t>020101</t>
        </is>
      </c>
      <c r="C112" t="inlineStr">
        <is>
          <t>Créditos</t>
        </is>
      </c>
      <c r="D112" t="inlineStr">
        <is>
          <t>Miles S/</t>
        </is>
      </c>
      <c r="E112" s="11" t="n">
        <v>208193.107</v>
      </c>
      <c r="F112" s="16" t="n">
        <v>208193.10698</v>
      </c>
    </row>
    <row r="113">
      <c r="A113" t="inlineStr">
        <is>
          <t>JULIACA</t>
        </is>
      </c>
      <c r="B113" t="inlineStr">
        <is>
          <t>211101</t>
        </is>
      </c>
      <c r="C113" t="inlineStr">
        <is>
          <t>Créditos</t>
        </is>
      </c>
      <c r="D113" t="inlineStr">
        <is>
          <t>Miles S/</t>
        </is>
      </c>
      <c r="E113" s="11" t="n">
        <v>196283.3693</v>
      </c>
      <c r="F113" s="16" t="n">
        <v>196283.36926</v>
      </c>
    </row>
    <row r="114">
      <c r="A114" t="inlineStr">
        <is>
          <t>HUANUCO</t>
        </is>
      </c>
      <c r="B114" t="inlineStr">
        <is>
          <t>100101</t>
        </is>
      </c>
      <c r="C114" t="inlineStr">
        <is>
          <t>Créditos</t>
        </is>
      </c>
      <c r="D114" t="inlineStr">
        <is>
          <t>Miles S/</t>
        </is>
      </c>
      <c r="E114" s="11" t="n">
        <v>188283.6005</v>
      </c>
      <c r="F114" s="16" t="n">
        <v>188283.60054</v>
      </c>
    </row>
    <row r="115">
      <c r="A115" t="inlineStr">
        <is>
          <t>LOS OLIVOS</t>
        </is>
      </c>
      <c r="B115" t="inlineStr">
        <is>
          <t>150117</t>
        </is>
      </c>
      <c r="C115" t="inlineStr">
        <is>
          <t>Créditos</t>
        </is>
      </c>
      <c r="D115" t="inlineStr">
        <is>
          <t>Miles S/</t>
        </is>
      </c>
      <c r="E115" s="11" t="n">
        <v>185986.8856</v>
      </c>
      <c r="F115" s="16" t="n">
        <v>185986.8856</v>
      </c>
    </row>
    <row r="116">
      <c r="A116" t="inlineStr">
        <is>
          <t>EL TAMBO</t>
        </is>
      </c>
      <c r="B116" t="inlineStr">
        <is>
          <t>120114</t>
        </is>
      </c>
      <c r="C116" t="inlineStr">
        <is>
          <t>Créditos</t>
        </is>
      </c>
      <c r="D116" t="inlineStr">
        <is>
          <t>Miles S/</t>
        </is>
      </c>
      <c r="E116" s="11" t="n">
        <v>175485.9232</v>
      </c>
      <c r="F116" s="16" t="n">
        <v>175485.92325</v>
      </c>
    </row>
    <row r="117">
      <c r="A117" t="inlineStr">
        <is>
          <t>JESUS MARIA</t>
        </is>
      </c>
      <c r="B117" t="inlineStr">
        <is>
          <t>150113</t>
        </is>
      </c>
      <c r="C117" t="inlineStr">
        <is>
          <t>Créditos</t>
        </is>
      </c>
      <c r="D117" t="inlineStr">
        <is>
          <t>Miles S/</t>
        </is>
      </c>
      <c r="E117" s="11" t="n">
        <v>171720.8501</v>
      </c>
      <c r="F117" s="16" t="n">
        <v>171720.85012</v>
      </c>
    </row>
    <row r="118">
      <c r="A118" t="inlineStr">
        <is>
          <t>CAYMA</t>
        </is>
      </c>
      <c r="B118" t="inlineStr">
        <is>
          <t>040103</t>
        </is>
      </c>
      <c r="C118" t="inlineStr">
        <is>
          <t>Créditos</t>
        </is>
      </c>
      <c r="D118" t="inlineStr">
        <is>
          <t>Miles S/</t>
        </is>
      </c>
      <c r="E118" s="11" t="n">
        <v>162142.3149</v>
      </c>
      <c r="F118" s="16" t="n">
        <v>162142.31489</v>
      </c>
    </row>
    <row r="119">
      <c r="A119" t="inlineStr">
        <is>
          <t>BELLAVISTA</t>
        </is>
      </c>
      <c r="B119" t="inlineStr">
        <is>
          <t>070102</t>
        </is>
      </c>
      <c r="C119" t="inlineStr">
        <is>
          <t>Créditos</t>
        </is>
      </c>
      <c r="D119" t="inlineStr">
        <is>
          <t>Miles S/</t>
        </is>
      </c>
      <c r="E119" s="11" t="n">
        <v>159691.5486</v>
      </c>
      <c r="F119" s="16" t="n">
        <v>159691.54856</v>
      </c>
    </row>
    <row r="120">
      <c r="A120" t="inlineStr">
        <is>
          <t>SAN JUAN DE LURIGANCHO</t>
        </is>
      </c>
      <c r="B120" t="inlineStr">
        <is>
          <t>150132</t>
        </is>
      </c>
      <c r="C120" t="inlineStr">
        <is>
          <t>Créditos</t>
        </is>
      </c>
      <c r="D120" t="inlineStr">
        <is>
          <t>Miles S/</t>
        </is>
      </c>
      <c r="E120" s="11" t="n">
        <v>152995.9253</v>
      </c>
      <c r="F120" s="16" t="n">
        <v>152995.92533</v>
      </c>
    </row>
    <row r="121">
      <c r="A121" t="inlineStr">
        <is>
          <t>YANAHUARA</t>
        </is>
      </c>
      <c r="B121" t="inlineStr">
        <is>
          <t>040126</t>
        </is>
      </c>
      <c r="C121" t="inlineStr">
        <is>
          <t>Créditos</t>
        </is>
      </c>
      <c r="D121" t="inlineStr">
        <is>
          <t>Miles S/</t>
        </is>
      </c>
      <c r="E121" s="11" t="n">
        <v>149473.5188</v>
      </c>
      <c r="F121" s="16" t="n">
        <v>149473.51876</v>
      </c>
    </row>
    <row r="122">
      <c r="A122" t="inlineStr">
        <is>
          <t>CALLERIA</t>
        </is>
      </c>
      <c r="B122" t="inlineStr">
        <is>
          <t>250101</t>
        </is>
      </c>
      <c r="C122" t="inlineStr">
        <is>
          <t>Créditos</t>
        </is>
      </c>
      <c r="D122" t="inlineStr">
        <is>
          <t>Miles S/</t>
        </is>
      </c>
      <c r="E122" s="11" t="n">
        <v>139233.2887</v>
      </c>
      <c r="F122" s="16" t="n">
        <v>139233.28873</v>
      </c>
    </row>
    <row r="123">
      <c r="A123" t="inlineStr">
        <is>
          <t>SAN JUAN DE MIRAFLORES</t>
        </is>
      </c>
      <c r="B123" t="inlineStr">
        <is>
          <t>150133</t>
        </is>
      </c>
      <c r="C123" t="inlineStr">
        <is>
          <t>Créditos</t>
        </is>
      </c>
      <c r="D123" t="inlineStr">
        <is>
          <t>Miles S/</t>
        </is>
      </c>
      <c r="E123" s="11" t="n">
        <v>137385.7792</v>
      </c>
      <c r="F123" s="16" t="n">
        <v>137385.77922</v>
      </c>
    </row>
    <row r="124">
      <c r="A124" t="inlineStr">
        <is>
          <t>CHORRILLOS</t>
        </is>
      </c>
      <c r="B124" t="inlineStr">
        <is>
          <t>150108</t>
        </is>
      </c>
      <c r="C124" t="inlineStr">
        <is>
          <t>Créditos</t>
        </is>
      </c>
      <c r="D124" t="inlineStr">
        <is>
          <t>Miles S/</t>
        </is>
      </c>
      <c r="E124" s="11" t="n">
        <v>132619.747</v>
      </c>
      <c r="F124" s="16" t="n">
        <v>132619.74704</v>
      </c>
    </row>
    <row r="125">
      <c r="A125" t="inlineStr">
        <is>
          <t>INDEPENDENCIA</t>
        </is>
      </c>
      <c r="B125" t="inlineStr">
        <is>
          <t>150112</t>
        </is>
      </c>
      <c r="C125" t="inlineStr">
        <is>
          <t>Créditos</t>
        </is>
      </c>
      <c r="D125" t="inlineStr">
        <is>
          <t>Miles S/</t>
        </is>
      </c>
      <c r="E125" s="11" t="n">
        <v>127337.0562</v>
      </c>
      <c r="F125" s="16" t="n">
        <v>127337.0562</v>
      </c>
    </row>
    <row r="126">
      <c r="A126" t="inlineStr">
        <is>
          <t>CALLAO</t>
        </is>
      </c>
      <c r="B126" t="inlineStr">
        <is>
          <t>070101</t>
        </is>
      </c>
      <c r="C126" t="inlineStr">
        <is>
          <t>Créditos</t>
        </is>
      </c>
      <c r="D126" t="inlineStr">
        <is>
          <t>Miles S/</t>
        </is>
      </c>
      <c r="E126" s="11" t="n">
        <v>112980.2853</v>
      </c>
      <c r="F126" s="16" t="n">
        <v>112980.28527</v>
      </c>
    </row>
    <row r="127">
      <c r="A127" t="inlineStr">
        <is>
          <t>LA MOLINA</t>
        </is>
      </c>
      <c r="B127" t="inlineStr">
        <is>
          <t>150114</t>
        </is>
      </c>
      <c r="C127" t="inlineStr">
        <is>
          <t>Créditos</t>
        </is>
      </c>
      <c r="D127" t="inlineStr">
        <is>
          <t>Miles S/</t>
        </is>
      </c>
      <c r="E127" s="11" t="n">
        <v>104154.0468</v>
      </c>
      <c r="F127" s="16" t="n">
        <v>104154.04685</v>
      </c>
    </row>
    <row r="128">
      <c r="A128" t="inlineStr">
        <is>
          <t>HUACHO</t>
        </is>
      </c>
      <c r="B128" t="inlineStr">
        <is>
          <t>150801</t>
        </is>
      </c>
      <c r="C128" t="inlineStr">
        <is>
          <t>Créditos</t>
        </is>
      </c>
      <c r="D128" t="inlineStr">
        <is>
          <t>Miles S/</t>
        </is>
      </c>
      <c r="E128" s="11" t="n">
        <v>99444.6136</v>
      </c>
      <c r="F128" s="16" t="n">
        <v>99444.61365</v>
      </c>
    </row>
    <row r="129">
      <c r="A129" t="inlineStr">
        <is>
          <t>PUNO</t>
        </is>
      </c>
      <c r="B129" t="inlineStr">
        <is>
          <t>210101</t>
        </is>
      </c>
      <c r="C129" t="inlineStr">
        <is>
          <t>Créditos</t>
        </is>
      </c>
      <c r="D129" t="inlineStr">
        <is>
          <t>Miles S/</t>
        </is>
      </c>
      <c r="E129" s="11" t="n">
        <v>96744.9016</v>
      </c>
      <c r="F129" s="16" t="n">
        <v>96744.90158999999</v>
      </c>
    </row>
    <row r="130">
      <c r="A130" t="inlineStr">
        <is>
          <t>SAN MARTIN DE PORRES</t>
        </is>
      </c>
      <c r="B130" t="inlineStr">
        <is>
          <t>150135</t>
        </is>
      </c>
      <c r="C130" t="inlineStr">
        <is>
          <t>Créditos</t>
        </is>
      </c>
      <c r="D130" t="inlineStr">
        <is>
          <t>Miles S/</t>
        </is>
      </c>
      <c r="E130" s="11" t="n">
        <v>94629.3054</v>
      </c>
      <c r="F130" s="16" t="n">
        <v>94629.30544</v>
      </c>
    </row>
    <row r="131">
      <c r="A131" t="inlineStr">
        <is>
          <t>PAUCARPATA</t>
        </is>
      </c>
      <c r="B131" t="inlineStr">
        <is>
          <t>040112</t>
        </is>
      </c>
      <c r="C131" t="inlineStr">
        <is>
          <t>Créditos</t>
        </is>
      </c>
      <c r="D131" t="inlineStr">
        <is>
          <t>Miles S/</t>
        </is>
      </c>
      <c r="E131" s="11" t="n">
        <v>83449.56299999999</v>
      </c>
      <c r="F131" s="16" t="n">
        <v>83449.56297</v>
      </c>
    </row>
    <row r="132">
      <c r="A132" t="inlineStr">
        <is>
          <t>SULLANA</t>
        </is>
      </c>
      <c r="B132" t="inlineStr">
        <is>
          <t>200601</t>
        </is>
      </c>
      <c r="C132" t="inlineStr">
        <is>
          <t>Créditos</t>
        </is>
      </c>
      <c r="D132" t="inlineStr">
        <is>
          <t>Miles S/</t>
        </is>
      </c>
      <c r="E132" s="11" t="n">
        <v>82754.4412</v>
      </c>
      <c r="F132" s="16" t="n">
        <v>82754.44117999999</v>
      </c>
    </row>
    <row r="133">
      <c r="A133" t="inlineStr">
        <is>
          <t>ABANCAY</t>
        </is>
      </c>
      <c r="B133" t="inlineStr">
        <is>
          <t>030101</t>
        </is>
      </c>
      <c r="C133" t="inlineStr">
        <is>
          <t>Créditos</t>
        </is>
      </c>
      <c r="D133" t="inlineStr">
        <is>
          <t>Miles S/</t>
        </is>
      </c>
      <c r="E133" s="11" t="n">
        <v>74959.8602</v>
      </c>
      <c r="F133" s="16" t="n">
        <v>74959.86016</v>
      </c>
    </row>
    <row r="134">
      <c r="A134" t="inlineStr">
        <is>
          <t>BREÑA</t>
        </is>
      </c>
      <c r="B134" t="inlineStr">
        <is>
          <t>150105</t>
        </is>
      </c>
      <c r="C134" t="inlineStr">
        <is>
          <t>Créditos</t>
        </is>
      </c>
      <c r="D134" t="inlineStr">
        <is>
          <t>Miles S/</t>
        </is>
      </c>
      <c r="E134" s="11" t="n">
        <v>74835.9277</v>
      </c>
      <c r="F134" s="16" t="n">
        <v>74835.92772000001</v>
      </c>
    </row>
    <row r="135">
      <c r="A135" t="inlineStr">
        <is>
          <t>TAMBOPATA</t>
        </is>
      </c>
      <c r="B135" t="inlineStr">
        <is>
          <t>170101</t>
        </is>
      </c>
      <c r="C135" t="inlineStr">
        <is>
          <t>Créditos</t>
        </is>
      </c>
      <c r="D135" t="inlineStr">
        <is>
          <t>Miles S/</t>
        </is>
      </c>
      <c r="E135" s="11" t="n">
        <v>71075.2812</v>
      </c>
      <c r="F135" s="16" t="n">
        <v>71075.28125</v>
      </c>
    </row>
    <row r="136">
      <c r="A136" t="inlineStr">
        <is>
          <t>LINCE</t>
        </is>
      </c>
      <c r="B136" t="inlineStr">
        <is>
          <t>150116</t>
        </is>
      </c>
      <c r="C136" t="inlineStr">
        <is>
          <t>Créditos</t>
        </is>
      </c>
      <c r="D136" t="inlineStr">
        <is>
          <t>Miles S/</t>
        </is>
      </c>
      <c r="E136" s="11" t="n">
        <v>68728.8416</v>
      </c>
      <c r="F136" s="16" t="n">
        <v>68728.84161</v>
      </c>
    </row>
    <row r="137">
      <c r="A137" t="inlineStr">
        <is>
          <t>TUMBES</t>
        </is>
      </c>
      <c r="B137" t="inlineStr">
        <is>
          <t>240101</t>
        </is>
      </c>
      <c r="C137" t="inlineStr">
        <is>
          <t>Créditos</t>
        </is>
      </c>
      <c r="D137" t="inlineStr">
        <is>
          <t>Miles S/</t>
        </is>
      </c>
      <c r="E137" s="11" t="n">
        <v>63380.2978</v>
      </c>
      <c r="F137" s="16" t="n">
        <v>63380.29776</v>
      </c>
    </row>
    <row r="138">
      <c r="A138" t="inlineStr">
        <is>
          <t>MAGDALENA VIEJA</t>
        </is>
      </c>
      <c r="B138" t="inlineStr">
        <is>
          <t>150121</t>
        </is>
      </c>
      <c r="C138" t="inlineStr">
        <is>
          <t>Créditos</t>
        </is>
      </c>
      <c r="D138" t="inlineStr">
        <is>
          <t>Miles S/</t>
        </is>
      </c>
      <c r="E138" s="11" t="n">
        <v>61416.1928</v>
      </c>
      <c r="F138" s="16" t="n">
        <v>61416.19275</v>
      </c>
    </row>
    <row r="139">
      <c r="A139" t="inlineStr">
        <is>
          <t>ATE</t>
        </is>
      </c>
      <c r="B139" t="inlineStr">
        <is>
          <t>150103</t>
        </is>
      </c>
      <c r="C139" t="inlineStr">
        <is>
          <t>Créditos</t>
        </is>
      </c>
      <c r="D139" t="inlineStr">
        <is>
          <t>Miles S/</t>
        </is>
      </c>
      <c r="E139" s="11" t="n">
        <v>60788.2322</v>
      </c>
      <c r="F139" s="16" t="n">
        <v>60788.23223</v>
      </c>
    </row>
    <row r="140">
      <c r="A140" t="inlineStr">
        <is>
          <t>PISCO</t>
        </is>
      </c>
      <c r="B140" t="inlineStr">
        <is>
          <t>110501</t>
        </is>
      </c>
      <c r="C140" t="inlineStr">
        <is>
          <t>Créditos</t>
        </is>
      </c>
      <c r="D140" t="inlineStr">
        <is>
          <t>Miles S/</t>
        </is>
      </c>
      <c r="E140" s="11" t="n">
        <v>59363.8795</v>
      </c>
      <c r="F140" s="16" t="n">
        <v>59363.87955</v>
      </c>
    </row>
    <row r="141">
      <c r="A141" t="inlineStr">
        <is>
          <t>MOQUEGUA</t>
        </is>
      </c>
      <c r="B141" t="inlineStr">
        <is>
          <t>180101</t>
        </is>
      </c>
      <c r="C141" t="inlineStr">
        <is>
          <t>Créditos</t>
        </is>
      </c>
      <c r="D141" t="inlineStr">
        <is>
          <t>Miles S/</t>
        </is>
      </c>
      <c r="E141" s="11" t="n">
        <v>57048.3772</v>
      </c>
      <c r="F141" s="16" t="n">
        <v>57048.37715</v>
      </c>
    </row>
    <row r="142">
      <c r="A142" t="inlineStr">
        <is>
          <t>SAN VICENTE DE CAÑETE</t>
        </is>
      </c>
      <c r="B142" t="inlineStr">
        <is>
          <t>150501</t>
        </is>
      </c>
      <c r="C142" t="inlineStr">
        <is>
          <t>Créditos</t>
        </is>
      </c>
      <c r="D142" t="inlineStr">
        <is>
          <t>Miles S/</t>
        </is>
      </c>
      <c r="E142" s="11" t="n">
        <v>51283.9942</v>
      </c>
      <c r="F142" s="16" t="n">
        <v>51283.99421</v>
      </c>
    </row>
    <row r="143">
      <c r="A143" t="inlineStr">
        <is>
          <t>BARRANCO</t>
        </is>
      </c>
      <c r="B143" t="inlineStr">
        <is>
          <t>150104</t>
        </is>
      </c>
      <c r="C143" t="inlineStr">
        <is>
          <t>Créditos</t>
        </is>
      </c>
      <c r="D143" t="inlineStr">
        <is>
          <t>Miles S/</t>
        </is>
      </c>
      <c r="E143" s="11" t="n">
        <v>49775.6545</v>
      </c>
      <c r="F143" s="16" t="n">
        <v>49775.65449</v>
      </c>
    </row>
    <row r="144">
      <c r="A144" t="inlineStr">
        <is>
          <t>CHANCHAMAYO</t>
        </is>
      </c>
      <c r="B144" t="inlineStr">
        <is>
          <t>120301</t>
        </is>
      </c>
      <c r="C144" t="inlineStr">
        <is>
          <t>Créditos</t>
        </is>
      </c>
      <c r="D144" t="inlineStr">
        <is>
          <t>Miles S/</t>
        </is>
      </c>
      <c r="E144" s="11" t="n">
        <v>43978.8228</v>
      </c>
      <c r="F144" s="16" t="n">
        <v>43978.82281</v>
      </c>
    </row>
    <row r="145">
      <c r="A145" t="inlineStr">
        <is>
          <t>VILLA EL SALVADOR</t>
        </is>
      </c>
      <c r="B145" t="inlineStr">
        <is>
          <t>150142</t>
        </is>
      </c>
      <c r="C145" t="inlineStr">
        <is>
          <t>Créditos</t>
        </is>
      </c>
      <c r="D145" t="inlineStr">
        <is>
          <t>Miles S/</t>
        </is>
      </c>
      <c r="E145" s="11" t="n">
        <v>43027.7335</v>
      </c>
      <c r="F145" s="16" t="n">
        <v>43027.7335</v>
      </c>
    </row>
    <row r="146">
      <c r="A146" t="inlineStr">
        <is>
          <t>NAZCA</t>
        </is>
      </c>
      <c r="B146" t="inlineStr">
        <is>
          <t>110301</t>
        </is>
      </c>
      <c r="C146" t="inlineStr">
        <is>
          <t>Créditos</t>
        </is>
      </c>
      <c r="D146" t="inlineStr">
        <is>
          <t>Miles S/</t>
        </is>
      </c>
      <c r="E146" s="11" t="n">
        <v>38411.4783</v>
      </c>
      <c r="F146" s="16" t="n">
        <v>38411.47835</v>
      </c>
    </row>
    <row r="147">
      <c r="A147" t="inlineStr">
        <is>
          <t>HUARAL</t>
        </is>
      </c>
      <c r="B147" t="inlineStr">
        <is>
          <t>150601</t>
        </is>
      </c>
      <c r="C147" t="inlineStr">
        <is>
          <t>Créditos</t>
        </is>
      </c>
      <c r="D147" t="inlineStr">
        <is>
          <t>Miles S/</t>
        </is>
      </c>
      <c r="E147" s="11" t="n">
        <v>38291.6875</v>
      </c>
      <c r="F147" s="16" t="n">
        <v>38291.68752</v>
      </c>
    </row>
    <row r="148">
      <c r="A148" t="inlineStr">
        <is>
          <t>PARIÑAS</t>
        </is>
      </c>
      <c r="B148" t="inlineStr">
        <is>
          <t>200701</t>
        </is>
      </c>
      <c r="C148" t="inlineStr">
        <is>
          <t>Créditos</t>
        </is>
      </c>
      <c r="D148" t="inlineStr">
        <is>
          <t>Miles S/</t>
        </is>
      </c>
      <c r="E148" s="11" t="n">
        <v>35572.2974</v>
      </c>
      <c r="F148" s="16" t="n">
        <v>35572.29739</v>
      </c>
    </row>
    <row r="149">
      <c r="A149" t="inlineStr">
        <is>
          <t>COMAS</t>
        </is>
      </c>
      <c r="B149" t="inlineStr">
        <is>
          <t>150110</t>
        </is>
      </c>
      <c r="C149" t="inlineStr">
        <is>
          <t>Créditos</t>
        </is>
      </c>
      <c r="D149" t="inlineStr">
        <is>
          <t>Miles S/</t>
        </is>
      </c>
      <c r="E149" s="11" t="n">
        <v>33884.2088</v>
      </c>
      <c r="F149" s="16" t="n">
        <v>33884.20879</v>
      </c>
    </row>
    <row r="150">
      <c r="A150" t="inlineStr">
        <is>
          <t>MAGDALENA DEL MAR</t>
        </is>
      </c>
      <c r="B150" t="inlineStr">
        <is>
          <t>150120</t>
        </is>
      </c>
      <c r="C150" t="inlineStr">
        <is>
          <t>Créditos</t>
        </is>
      </c>
      <c r="D150" t="inlineStr">
        <is>
          <t>Miles S/</t>
        </is>
      </c>
      <c r="E150" s="11" t="n">
        <v>33830.357</v>
      </c>
      <c r="F150" s="16" t="n">
        <v>33830.35703</v>
      </c>
    </row>
    <row r="151">
      <c r="A151" t="inlineStr">
        <is>
          <t>BARRANCA</t>
        </is>
      </c>
      <c r="B151" t="inlineStr">
        <is>
          <t>150201</t>
        </is>
      </c>
      <c r="C151" t="inlineStr">
        <is>
          <t>Créditos</t>
        </is>
      </c>
      <c r="D151" t="inlineStr">
        <is>
          <t>Miles S/</t>
        </is>
      </c>
      <c r="E151" s="11" t="n">
        <v>33291.5779</v>
      </c>
      <c r="F151" s="16" t="n">
        <v>33291.5779</v>
      </c>
    </row>
    <row r="152">
      <c r="A152" t="inlineStr">
        <is>
          <t>JOSE LUIS BUSTAMANTE Y RIVERO</t>
        </is>
      </c>
      <c r="B152" t="inlineStr">
        <is>
          <t>040129</t>
        </is>
      </c>
      <c r="C152" t="inlineStr">
        <is>
          <t>Créditos</t>
        </is>
      </c>
      <c r="D152" t="inlineStr">
        <is>
          <t>Miles S/</t>
        </is>
      </c>
      <c r="E152" s="11" t="n">
        <v>33199.5909</v>
      </c>
      <c r="F152" s="16" t="n">
        <v>33199.59088</v>
      </c>
    </row>
    <row r="153">
      <c r="A153" t="inlineStr">
        <is>
          <t>ILO</t>
        </is>
      </c>
      <c r="B153" t="inlineStr">
        <is>
          <t>180301</t>
        </is>
      </c>
      <c r="C153" t="inlineStr">
        <is>
          <t>Créditos</t>
        </is>
      </c>
      <c r="D153" t="inlineStr">
        <is>
          <t>Miles S/</t>
        </is>
      </c>
      <c r="E153" s="11" t="n">
        <v>33093.9009</v>
      </c>
      <c r="F153" s="16" t="n">
        <v>33093.90086</v>
      </c>
    </row>
    <row r="154">
      <c r="A154" t="inlineStr">
        <is>
          <t>MOYOBAMBA</t>
        </is>
      </c>
      <c r="B154" t="inlineStr">
        <is>
          <t>220101</t>
        </is>
      </c>
      <c r="C154" t="inlineStr">
        <is>
          <t>Créditos</t>
        </is>
      </c>
      <c r="D154" t="inlineStr">
        <is>
          <t>Miles S/</t>
        </is>
      </c>
      <c r="E154" s="11" t="n">
        <v>30405.8966</v>
      </c>
      <c r="F154" s="16" t="n">
        <v>30405.89664</v>
      </c>
    </row>
    <row r="155">
      <c r="A155" t="inlineStr">
        <is>
          <t>YANACANCHA</t>
        </is>
      </c>
      <c r="B155" t="inlineStr">
        <is>
          <t>190113</t>
        </is>
      </c>
      <c r="C155" t="inlineStr">
        <is>
          <t>Créditos</t>
        </is>
      </c>
      <c r="D155" t="inlineStr">
        <is>
          <t>Miles S/</t>
        </is>
      </c>
      <c r="E155" s="11" t="n">
        <v>27866.2702</v>
      </c>
      <c r="F155" s="16" t="n">
        <v>27866.27019</v>
      </c>
    </row>
    <row r="156">
      <c r="A156" t="inlineStr">
        <is>
          <t>SAN SEBASTIAN</t>
        </is>
      </c>
      <c r="B156" t="inlineStr">
        <is>
          <t>080105</t>
        </is>
      </c>
      <c r="C156" t="inlineStr">
        <is>
          <t>Créditos</t>
        </is>
      </c>
      <c r="D156" t="inlineStr">
        <is>
          <t>Miles S/</t>
        </is>
      </c>
      <c r="E156" s="11" t="n">
        <v>25653.7194</v>
      </c>
      <c r="F156" s="16" t="n">
        <v>25653.71944</v>
      </c>
    </row>
    <row r="157">
      <c r="A157" t="inlineStr">
        <is>
          <t>CAMANA</t>
        </is>
      </c>
      <c r="B157" t="inlineStr">
        <is>
          <t>040201</t>
        </is>
      </c>
      <c r="C157" t="inlineStr">
        <is>
          <t>Créditos</t>
        </is>
      </c>
      <c r="D157" t="inlineStr">
        <is>
          <t>Miles S/</t>
        </is>
      </c>
      <c r="E157" s="11" t="n">
        <v>24045.2624</v>
      </c>
      <c r="F157" s="16" t="n">
        <v>24045.26243</v>
      </c>
    </row>
    <row r="158">
      <c r="A158" t="inlineStr">
        <is>
          <t>PAITA</t>
        </is>
      </c>
      <c r="B158" t="inlineStr">
        <is>
          <t>200501</t>
        </is>
      </c>
      <c r="C158" t="inlineStr">
        <is>
          <t>Créditos</t>
        </is>
      </c>
      <c r="D158" t="inlineStr">
        <is>
          <t>Miles S/</t>
        </is>
      </c>
      <c r="E158" s="11" t="n">
        <v>23831.1279</v>
      </c>
      <c r="F158" s="16" t="n">
        <v>23831.12795</v>
      </c>
    </row>
    <row r="159">
      <c r="A159" t="inlineStr">
        <is>
          <t>PUENTE PIEDRA</t>
        </is>
      </c>
      <c r="B159" t="inlineStr">
        <is>
          <t>150125</t>
        </is>
      </c>
      <c r="C159" t="inlineStr">
        <is>
          <t>Créditos</t>
        </is>
      </c>
      <c r="D159" t="inlineStr">
        <is>
          <t>Miles S/</t>
        </is>
      </c>
      <c r="E159" s="11" t="n">
        <v>23237.3597</v>
      </c>
      <c r="F159" s="16" t="n">
        <v>23237.35967</v>
      </c>
    </row>
    <row r="160">
      <c r="A160" t="inlineStr">
        <is>
          <t>LURIN</t>
        </is>
      </c>
      <c r="B160" t="inlineStr">
        <is>
          <t>150119</t>
        </is>
      </c>
      <c r="C160" t="inlineStr">
        <is>
          <t>Créditos</t>
        </is>
      </c>
      <c r="D160" t="inlineStr">
        <is>
          <t>Miles S/</t>
        </is>
      </c>
      <c r="E160" s="11" t="n">
        <v>20265.8003</v>
      </c>
      <c r="F160" s="16" t="n">
        <v>20265.80025</v>
      </c>
    </row>
    <row r="161">
      <c r="A161" t="inlineStr">
        <is>
          <t>CARABAYLLO</t>
        </is>
      </c>
      <c r="B161" t="inlineStr">
        <is>
          <t>150106</t>
        </is>
      </c>
      <c r="C161" t="inlineStr">
        <is>
          <t>Créditos</t>
        </is>
      </c>
      <c r="D161" t="inlineStr">
        <is>
          <t>Miles S/</t>
        </is>
      </c>
      <c r="E161" s="11" t="n">
        <v>16003.7408</v>
      </c>
      <c r="F161" s="16" t="n">
        <v>16003.74076</v>
      </c>
    </row>
    <row r="162">
      <c r="A162" t="inlineStr">
        <is>
          <t>MARCONA</t>
        </is>
      </c>
      <c r="B162" t="inlineStr">
        <is>
          <t>110304</t>
        </is>
      </c>
      <c r="C162" t="inlineStr">
        <is>
          <t>Créditos</t>
        </is>
      </c>
      <c r="D162" t="inlineStr">
        <is>
          <t>Miles S/</t>
        </is>
      </c>
      <c r="E162" s="11" t="n">
        <v>14726.4571</v>
      </c>
      <c r="F162" s="16" t="n">
        <v>14726.45708</v>
      </c>
    </row>
    <row r="163">
      <c r="A163" t="inlineStr">
        <is>
          <t>VENTANILLA</t>
        </is>
      </c>
      <c r="B163" t="inlineStr">
        <is>
          <t>070106</t>
        </is>
      </c>
      <c r="C163" t="inlineStr">
        <is>
          <t>Créditos</t>
        </is>
      </c>
      <c r="D163" t="inlineStr">
        <is>
          <t>Miles S/</t>
        </is>
      </c>
      <c r="E163" s="11" t="n">
        <v>13996.8848</v>
      </c>
      <c r="F163" s="16" t="n">
        <v>13996.88482</v>
      </c>
    </row>
    <row r="164">
      <c r="A164" t="inlineStr">
        <is>
          <t>CHALLHUAHUACHO</t>
        </is>
      </c>
      <c r="B164" t="inlineStr">
        <is>
          <t>030506</t>
        </is>
      </c>
      <c r="C164" t="inlineStr">
        <is>
          <t>Créditos</t>
        </is>
      </c>
      <c r="D164" t="inlineStr">
        <is>
          <t>Miles S/</t>
        </is>
      </c>
      <c r="E164" s="11" t="n">
        <v>12790.7785</v>
      </c>
      <c r="F164" s="16" t="n">
        <v>12790.77851</v>
      </c>
    </row>
    <row r="165">
      <c r="A165" t="inlineStr">
        <is>
          <t>CHANCAY</t>
        </is>
      </c>
      <c r="B165" t="inlineStr">
        <is>
          <t>150605</t>
        </is>
      </c>
      <c r="C165" t="inlineStr">
        <is>
          <t>Créditos</t>
        </is>
      </c>
      <c r="D165" t="inlineStr">
        <is>
          <t>Miles S/</t>
        </is>
      </c>
      <c r="E165" s="11" t="n">
        <v>10167.0856</v>
      </c>
      <c r="F165" s="16" t="n">
        <v>10167.08557</v>
      </c>
    </row>
    <row r="166">
      <c r="A166" t="inlineStr">
        <is>
          <t>LURIGANCHO</t>
        </is>
      </c>
      <c r="B166" t="inlineStr">
        <is>
          <t>150118</t>
        </is>
      </c>
      <c r="C166" t="inlineStr">
        <is>
          <t>Créditos</t>
        </is>
      </c>
      <c r="D166" t="inlineStr">
        <is>
          <t>Miles S/</t>
        </is>
      </c>
      <c r="E166" s="11" t="n">
        <v>6873.717</v>
      </c>
      <c r="F166" s="16" t="n">
        <v>6873.71699</v>
      </c>
    </row>
    <row r="167">
      <c r="A167" t="inlineStr">
        <is>
          <t>PARCOY</t>
        </is>
      </c>
      <c r="B167" t="inlineStr">
        <is>
          <t>130808</t>
        </is>
      </c>
      <c r="C167" t="inlineStr">
        <is>
          <t>Créditos</t>
        </is>
      </c>
      <c r="D167" t="inlineStr">
        <is>
          <t>Miles S/</t>
        </is>
      </c>
      <c r="E167" s="11" t="n">
        <v>1020.7405</v>
      </c>
      <c r="F167" s="16" t="n">
        <v>1020.74055</v>
      </c>
    </row>
    <row r="168">
      <c r="A168" t="inlineStr">
        <is>
          <t>YARINACOCHA</t>
        </is>
      </c>
      <c r="B168" t="inlineStr">
        <is>
          <t>250105</t>
        </is>
      </c>
      <c r="C168" t="inlineStr">
        <is>
          <t>Créditos</t>
        </is>
      </c>
      <c r="D168" t="inlineStr">
        <is>
          <t>Miles S/</t>
        </is>
      </c>
      <c r="E168" s="11" t="n">
        <v>980.9661</v>
      </c>
      <c r="F168" s="16" t="n">
        <v>980.96614</v>
      </c>
    </row>
    <row r="169">
      <c r="A169" t="inlineStr">
        <is>
          <t>VILLA MARIA DEL TRIUNFO</t>
        </is>
      </c>
      <c r="B169" t="inlineStr">
        <is>
          <t>150143</t>
        </is>
      </c>
      <c r="C169" t="inlineStr">
        <is>
          <t>Créditos</t>
        </is>
      </c>
      <c r="D169" t="inlineStr">
        <is>
          <t>Miles S/</t>
        </is>
      </c>
      <c r="E169" s="11" t="n">
        <v>339.6747</v>
      </c>
      <c r="F169" s="16" t="n">
        <v>339.67473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25"/>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BBVA — Créditos colocados por distrito y exposición asignada</t>
        </is>
      </c>
    </row>
    <row r="2">
      <c r="A2" s="2" t="inlineStr">
        <is>
          <t>Créditos colocados total: 81,411,081.17 Miles S/   ·   Exposición en cartera: S/ 65,938,505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 ISIDRO</t>
        </is>
      </c>
      <c r="D5" t="inlineStr">
        <is>
          <t>150131</t>
        </is>
      </c>
      <c r="E5" t="inlineStr">
        <is>
          <t>—</t>
        </is>
      </c>
      <c r="F5" s="11" t="n">
        <v>32189436.5002</v>
      </c>
      <c r="G5" s="6">
        <f>IF($F$113=0,0,F5/$F$113)</f>
        <v/>
      </c>
      <c r="H5" s="5" t="n">
        <v>26071675.87</v>
      </c>
      <c r="I5" t="n">
        <v>1</v>
      </c>
      <c r="J5" t="n">
        <v>4</v>
      </c>
      <c r="L5" s="5" t="n">
        <v>65179189.68</v>
      </c>
    </row>
    <row r="6">
      <c r="A6" t="inlineStr">
        <is>
          <t>LIMA</t>
        </is>
      </c>
      <c r="B6" t="inlineStr">
        <is>
          <t>LIMA</t>
        </is>
      </c>
      <c r="C6" t="inlineStr">
        <is>
          <t>MIRAFLORES</t>
        </is>
      </c>
      <c r="D6" t="inlineStr">
        <is>
          <t>150122</t>
        </is>
      </c>
      <c r="E6" t="inlineStr">
        <is>
          <t>—</t>
        </is>
      </c>
      <c r="F6" s="11" t="n">
        <v>4255335.2273</v>
      </c>
      <c r="G6" s="6">
        <f>IF($F$113=0,0,F6/$F$113)</f>
        <v/>
      </c>
      <c r="H6" s="5" t="n">
        <v>3446587.85</v>
      </c>
      <c r="I6" t="n">
        <v>2</v>
      </c>
      <c r="J6" t="n">
        <v>4</v>
      </c>
      <c r="L6" s="5" t="n">
        <v>10339763.55</v>
      </c>
    </row>
    <row r="7">
      <c r="A7" t="inlineStr">
        <is>
          <t>LIMA</t>
        </is>
      </c>
      <c r="B7" t="inlineStr">
        <is>
          <t>LIMA</t>
        </is>
      </c>
      <c r="C7" t="inlineStr">
        <is>
          <t>SANTIAGO DE SURCO</t>
        </is>
      </c>
      <c r="D7" t="inlineStr">
        <is>
          <t>150140</t>
        </is>
      </c>
      <c r="E7" t="inlineStr">
        <is>
          <t>—</t>
        </is>
      </c>
      <c r="F7" s="11" t="n">
        <v>3842771.8868</v>
      </c>
      <c r="G7" s="6">
        <f>IF($F$113=0,0,F7/$F$113)</f>
        <v/>
      </c>
      <c r="H7" s="5" t="n">
        <v>3112434.2</v>
      </c>
      <c r="I7" t="n">
        <v>1</v>
      </c>
      <c r="J7" t="n">
        <v>3</v>
      </c>
      <c r="L7" s="5" t="n">
        <v>6224868.4</v>
      </c>
    </row>
    <row r="8">
      <c r="A8" t="inlineStr">
        <is>
          <t>LIMA</t>
        </is>
      </c>
      <c r="B8" t="inlineStr">
        <is>
          <t>LIMA</t>
        </is>
      </c>
      <c r="C8" t="inlineStr">
        <is>
          <t>LIMA</t>
        </is>
      </c>
      <c r="D8" t="inlineStr">
        <is>
          <t>150101</t>
        </is>
      </c>
      <c r="E8" t="inlineStr">
        <is>
          <t>—</t>
        </is>
      </c>
      <c r="F8" s="11" t="n">
        <v>2659842.7666</v>
      </c>
      <c r="G8" s="6">
        <f>IF($F$113=0,0,F8/$F$113)</f>
        <v/>
      </c>
      <c r="H8" s="5" t="n">
        <v>2154326.57</v>
      </c>
      <c r="I8" t="n">
        <v>2</v>
      </c>
      <c r="J8" t="n">
        <v>4</v>
      </c>
      <c r="L8" s="5" t="n">
        <v>6462979.72</v>
      </c>
    </row>
    <row r="9">
      <c r="A9" t="inlineStr">
        <is>
          <t>LA LIBERTAD</t>
        </is>
      </c>
      <c r="B9" t="inlineStr">
        <is>
          <t>TRUJILLO</t>
        </is>
      </c>
      <c r="C9" t="inlineStr">
        <is>
          <t>TRUJILLO</t>
        </is>
      </c>
      <c r="D9" t="inlineStr">
        <is>
          <t>130101</t>
        </is>
      </c>
      <c r="E9" t="inlineStr">
        <is>
          <t>—</t>
        </is>
      </c>
      <c r="F9" s="11" t="n">
        <v>2290985.8698</v>
      </c>
      <c r="G9" s="6">
        <f>IF($F$113=0,0,F9/$F$113)</f>
        <v/>
      </c>
      <c r="H9" s="5" t="n">
        <v>1855572.74</v>
      </c>
      <c r="I9" t="n">
        <v>1</v>
      </c>
      <c r="J9" t="n">
        <v>5</v>
      </c>
      <c r="L9" s="5" t="n">
        <v>5566718.23</v>
      </c>
    </row>
    <row r="10">
      <c r="A10" t="inlineStr">
        <is>
          <t>LIMA</t>
        </is>
      </c>
      <c r="B10" t="inlineStr">
        <is>
          <t>LIMA</t>
        </is>
      </c>
      <c r="C10" t="inlineStr">
        <is>
          <t>LA MOLINA</t>
        </is>
      </c>
      <c r="D10" t="inlineStr">
        <is>
          <t>150114</t>
        </is>
      </c>
      <c r="E10" t="inlineStr">
        <is>
          <t>—</t>
        </is>
      </c>
      <c r="F10" s="11" t="n">
        <v>1872065.4491</v>
      </c>
      <c r="G10" s="6">
        <f>IF($F$113=0,0,F10/$F$113)</f>
        <v/>
      </c>
      <c r="H10" s="5" t="n">
        <v>1516270.21</v>
      </c>
      <c r="I10" t="n">
        <v>4</v>
      </c>
      <c r="J10" t="n">
        <v>3</v>
      </c>
      <c r="L10" s="5" t="n">
        <v>5306945.73</v>
      </c>
    </row>
    <row r="11">
      <c r="A11" t="inlineStr">
        <is>
          <t>LIMA</t>
        </is>
      </c>
      <c r="B11" t="inlineStr">
        <is>
          <t>LIMA</t>
        </is>
      </c>
      <c r="C11" t="inlineStr">
        <is>
          <t>SAN BORJA</t>
        </is>
      </c>
      <c r="D11" t="inlineStr">
        <is>
          <t>150130</t>
        </is>
      </c>
      <c r="E11" t="inlineStr">
        <is>
          <t>—</t>
        </is>
      </c>
      <c r="F11" s="11" t="n">
        <v>1712995.3665</v>
      </c>
      <c r="G11" s="6">
        <f>IF($F$113=0,0,F11/$F$113)</f>
        <v/>
      </c>
      <c r="H11" s="5" t="n">
        <v>1387432.18</v>
      </c>
      <c r="I11" t="n">
        <v>1</v>
      </c>
      <c r="J11" t="n">
        <v>2</v>
      </c>
      <c r="L11" s="5" t="n">
        <v>2081148.27</v>
      </c>
    </row>
    <row r="12">
      <c r="A12" t="inlineStr">
        <is>
          <t>LIMA</t>
        </is>
      </c>
      <c r="B12" t="inlineStr">
        <is>
          <t>LIMA</t>
        </is>
      </c>
      <c r="C12" t="inlineStr">
        <is>
          <t>MAGDALENA DEL MAR</t>
        </is>
      </c>
      <c r="D12" t="inlineStr">
        <is>
          <t>150120</t>
        </is>
      </c>
      <c r="E12" t="inlineStr">
        <is>
          <t>—</t>
        </is>
      </c>
      <c r="F12" s="11" t="n">
        <v>1681349.2503</v>
      </c>
      <c r="G12" s="6">
        <f>IF($F$113=0,0,F12/$F$113)</f>
        <v/>
      </c>
      <c r="H12" s="5" t="n">
        <v>1361800.56</v>
      </c>
      <c r="I12" t="n">
        <v>2</v>
      </c>
      <c r="J12" t="n">
        <v>4</v>
      </c>
      <c r="L12" s="5" t="n">
        <v>4085401.68</v>
      </c>
    </row>
    <row r="13">
      <c r="A13" t="inlineStr">
        <is>
          <t>LIMA</t>
        </is>
      </c>
      <c r="B13" t="inlineStr">
        <is>
          <t>LIMA</t>
        </is>
      </c>
      <c r="C13" t="inlineStr">
        <is>
          <t>JESUS MARIA</t>
        </is>
      </c>
      <c r="D13" t="inlineStr">
        <is>
          <t>150113</t>
        </is>
      </c>
      <c r="E13" t="inlineStr">
        <is>
          <t>—</t>
        </is>
      </c>
      <c r="F13" s="11" t="n">
        <v>1418303.4302</v>
      </c>
      <c r="G13" s="6">
        <f>IF($F$113=0,0,F13/$F$113)</f>
        <v/>
      </c>
      <c r="H13" s="5" t="n">
        <v>1148747.89</v>
      </c>
      <c r="I13" t="n">
        <v>1</v>
      </c>
      <c r="J13" t="n">
        <v>4</v>
      </c>
      <c r="L13" s="5" t="n">
        <v>2871869.73</v>
      </c>
    </row>
    <row r="14">
      <c r="A14" t="inlineStr">
        <is>
          <t>PIURA</t>
        </is>
      </c>
      <c r="B14" t="inlineStr">
        <is>
          <t>PIURA</t>
        </is>
      </c>
      <c r="C14" t="inlineStr">
        <is>
          <t>PIURA</t>
        </is>
      </c>
      <c r="D14" t="inlineStr">
        <is>
          <t>200101</t>
        </is>
      </c>
      <c r="E14" t="inlineStr">
        <is>
          <t>—</t>
        </is>
      </c>
      <c r="F14" s="11" t="n">
        <v>1403609.904</v>
      </c>
      <c r="G14" s="6">
        <f>IF($F$113=0,0,F14/$F$113)</f>
        <v/>
      </c>
      <c r="H14" s="5" t="n">
        <v>1136846.94</v>
      </c>
      <c r="I14" t="n">
        <v>1</v>
      </c>
      <c r="J14" t="n">
        <v>5</v>
      </c>
      <c r="L14" s="5" t="n">
        <v>3410540.83</v>
      </c>
    </row>
    <row r="15">
      <c r="A15" t="inlineStr">
        <is>
          <t>LAMBAYEQUE</t>
        </is>
      </c>
      <c r="B15" t="inlineStr">
        <is>
          <t>CHICLAYO</t>
        </is>
      </c>
      <c r="C15" t="inlineStr">
        <is>
          <t>CHICLAYO</t>
        </is>
      </c>
      <c r="D15" t="inlineStr">
        <is>
          <t>140101</t>
        </is>
      </c>
      <c r="E15" t="inlineStr">
        <is>
          <t>—</t>
        </is>
      </c>
      <c r="F15" s="11" t="n">
        <v>1377999.6577</v>
      </c>
      <c r="G15" s="6">
        <f>IF($F$113=0,0,F15/$F$113)</f>
        <v/>
      </c>
      <c r="H15" s="5" t="n">
        <v>1116104.05</v>
      </c>
      <c r="I15" t="n">
        <v>1</v>
      </c>
      <c r="J15" t="n">
        <v>4</v>
      </c>
      <c r="L15" s="5" t="n">
        <v>2790260.12</v>
      </c>
    </row>
    <row r="16">
      <c r="A16" t="inlineStr">
        <is>
          <t>AREQUIPA</t>
        </is>
      </c>
      <c r="B16" t="inlineStr">
        <is>
          <t>AREQUIPA</t>
        </is>
      </c>
      <c r="C16" t="inlineStr">
        <is>
          <t>AREQUIPA</t>
        </is>
      </c>
      <c r="D16" t="inlineStr">
        <is>
          <t>040101</t>
        </is>
      </c>
      <c r="E16" t="inlineStr">
        <is>
          <t>—</t>
        </is>
      </c>
      <c r="F16" s="11" t="n">
        <v>1285391.8406</v>
      </c>
      <c r="G16" s="6">
        <f>IF($F$113=0,0,F16/$F$113)</f>
        <v/>
      </c>
      <c r="H16" s="5" t="n">
        <v>1041096.8</v>
      </c>
      <c r="I16" t="n">
        <v>2</v>
      </c>
      <c r="J16" t="n">
        <v>5</v>
      </c>
      <c r="L16" s="5" t="n">
        <v>3643838.81</v>
      </c>
    </row>
    <row r="17">
      <c r="A17" t="inlineStr">
        <is>
          <t>CALLAO</t>
        </is>
      </c>
      <c r="B17" t="inlineStr">
        <is>
          <t>CALLAO</t>
        </is>
      </c>
      <c r="C17" t="inlineStr">
        <is>
          <t>CALLAO</t>
        </is>
      </c>
      <c r="D17" t="inlineStr">
        <is>
          <t>070101</t>
        </is>
      </c>
      <c r="E17" t="inlineStr">
        <is>
          <t>—</t>
        </is>
      </c>
      <c r="F17" s="11" t="n">
        <v>1228971.1778</v>
      </c>
      <c r="G17" s="6">
        <f>IF($F$113=0,0,F17/$F$113)</f>
        <v/>
      </c>
      <c r="H17" s="5" t="n">
        <v>995399.16</v>
      </c>
      <c r="I17" t="n">
        <v>1</v>
      </c>
      <c r="J17" t="n">
        <v>5</v>
      </c>
      <c r="L17" s="5" t="n">
        <v>2986197.49</v>
      </c>
    </row>
    <row r="18">
      <c r="A18" t="inlineStr">
        <is>
          <t>LIMA</t>
        </is>
      </c>
      <c r="B18" t="inlineStr">
        <is>
          <t>LIMA</t>
        </is>
      </c>
      <c r="C18" t="inlineStr">
        <is>
          <t>LA VICTORIA</t>
        </is>
      </c>
      <c r="D18" t="inlineStr">
        <is>
          <t>150115</t>
        </is>
      </c>
      <c r="E18" t="inlineStr">
        <is>
          <t>—</t>
        </is>
      </c>
      <c r="F18" s="11" t="n">
        <v>1220468.0755</v>
      </c>
      <c r="G18" s="6">
        <f>IF($F$113=0,0,F18/$F$113)</f>
        <v/>
      </c>
      <c r="H18" s="5" t="n">
        <v>988512.12</v>
      </c>
      <c r="I18" t="n">
        <v>1</v>
      </c>
      <c r="J18" t="n">
        <v>3</v>
      </c>
      <c r="L18" s="5" t="n">
        <v>1977024.24</v>
      </c>
    </row>
    <row r="19">
      <c r="A19" t="inlineStr">
        <is>
          <t>LIMA</t>
        </is>
      </c>
      <c r="B19" t="inlineStr">
        <is>
          <t>LIMA</t>
        </is>
      </c>
      <c r="C19" t="inlineStr">
        <is>
          <t>SAN MIGUEL</t>
        </is>
      </c>
      <c r="D19" t="inlineStr">
        <is>
          <t>150136</t>
        </is>
      </c>
      <c r="E19" t="inlineStr">
        <is>
          <t>—</t>
        </is>
      </c>
      <c r="F19" s="11" t="n">
        <v>1135079.5737</v>
      </c>
      <c r="G19" s="6">
        <f>IF($F$113=0,0,F19/$F$113)</f>
        <v/>
      </c>
      <c r="H19" s="5" t="n">
        <v>919352.12</v>
      </c>
      <c r="I19" t="n">
        <v>1</v>
      </c>
      <c r="J19" t="n">
        <v>4</v>
      </c>
      <c r="L19" s="5" t="n">
        <v>2298380.3</v>
      </c>
    </row>
    <row r="20">
      <c r="A20" t="inlineStr">
        <is>
          <t>LIMA</t>
        </is>
      </c>
      <c r="B20" t="inlineStr">
        <is>
          <t>LIMA</t>
        </is>
      </c>
      <c r="C20" t="inlineStr">
        <is>
          <t>COMAS</t>
        </is>
      </c>
      <c r="D20" t="inlineStr">
        <is>
          <t>150110</t>
        </is>
      </c>
      <c r="E20" t="inlineStr">
        <is>
          <t>—</t>
        </is>
      </c>
      <c r="F20" s="11" t="n">
        <v>855669.8868</v>
      </c>
      <c r="G20" s="6">
        <f>IF($F$113=0,0,F20/$F$113)</f>
        <v/>
      </c>
      <c r="H20" s="5" t="n">
        <v>693045.62</v>
      </c>
      <c r="I20" t="n">
        <v>3</v>
      </c>
      <c r="J20" t="n">
        <v>3</v>
      </c>
      <c r="L20" s="5" t="n">
        <v>2079136.86</v>
      </c>
    </row>
    <row r="21">
      <c r="A21" t="inlineStr">
        <is>
          <t>JUNIN</t>
        </is>
      </c>
      <c r="B21" t="inlineStr">
        <is>
          <t>HUANCAYO</t>
        </is>
      </c>
      <c r="C21" t="inlineStr">
        <is>
          <t>HUANCAYO</t>
        </is>
      </c>
      <c r="D21" t="inlineStr">
        <is>
          <t>120101</t>
        </is>
      </c>
      <c r="E21" t="inlineStr">
        <is>
          <t>—</t>
        </is>
      </c>
      <c r="F21" s="11" t="n">
        <v>805169.6564</v>
      </c>
      <c r="G21" s="6">
        <f>IF($F$113=0,0,F21/$F$113)</f>
        <v/>
      </c>
      <c r="H21" s="5" t="n">
        <v>652143.21</v>
      </c>
      <c r="I21" t="n">
        <v>4</v>
      </c>
      <c r="J21" t="n">
        <v>2</v>
      </c>
      <c r="K21" t="n">
        <v>3</v>
      </c>
      <c r="L21" s="5" t="n">
        <v>1956429.62</v>
      </c>
    </row>
    <row r="22">
      <c r="A22" t="inlineStr">
        <is>
          <t>LIMA</t>
        </is>
      </c>
      <c r="B22" t="inlineStr">
        <is>
          <t>LIMA</t>
        </is>
      </c>
      <c r="C22" t="inlineStr">
        <is>
          <t>SAN JUAN DE LURIGANCHO</t>
        </is>
      </c>
      <c r="D22" t="inlineStr">
        <is>
          <t>150132</t>
        </is>
      </c>
      <c r="E22" t="inlineStr">
        <is>
          <t>—</t>
        </is>
      </c>
      <c r="F22" s="11" t="n">
        <v>773905.2678</v>
      </c>
      <c r="G22" s="6">
        <f>IF($F$113=0,0,F22/$F$113)</f>
        <v/>
      </c>
      <c r="H22" s="5" t="n">
        <v>626820.77</v>
      </c>
      <c r="I22" t="n">
        <v>5</v>
      </c>
      <c r="J22" t="n">
        <v>2</v>
      </c>
      <c r="L22" s="5" t="n">
        <v>2193872.69</v>
      </c>
    </row>
    <row r="23">
      <c r="A23" t="inlineStr">
        <is>
          <t>CUSCO</t>
        </is>
      </c>
      <c r="B23" t="inlineStr">
        <is>
          <t>CUSCO</t>
        </is>
      </c>
      <c r="C23" t="inlineStr">
        <is>
          <t>CUSCO</t>
        </is>
      </c>
      <c r="D23" t="inlineStr">
        <is>
          <t>080101</t>
        </is>
      </c>
      <c r="E23" t="inlineStr">
        <is>
          <t>—</t>
        </is>
      </c>
      <c r="F23" s="11" t="n">
        <v>768689.5294</v>
      </c>
      <c r="G23" s="6">
        <f>IF($F$113=0,0,F23/$F$113)</f>
        <v/>
      </c>
      <c r="H23" s="5" t="n">
        <v>622596.3100000001</v>
      </c>
      <c r="I23" t="n">
        <v>4</v>
      </c>
      <c r="J23" t="n">
        <v>2</v>
      </c>
      <c r="K23" t="n">
        <v>3</v>
      </c>
      <c r="L23" s="5" t="n">
        <v>1867788.92</v>
      </c>
    </row>
    <row r="24">
      <c r="A24" t="inlineStr">
        <is>
          <t>LIMA</t>
        </is>
      </c>
      <c r="B24" t="inlineStr">
        <is>
          <t>LIMA</t>
        </is>
      </c>
      <c r="C24" t="inlineStr">
        <is>
          <t>INDEPENDENCIA</t>
        </is>
      </c>
      <c r="D24" t="inlineStr">
        <is>
          <t>150112</t>
        </is>
      </c>
      <c r="E24" t="inlineStr">
        <is>
          <t>—</t>
        </is>
      </c>
      <c r="F24" s="11" t="n">
        <v>763084.4375999999</v>
      </c>
      <c r="G24" s="6">
        <f>IF($F$113=0,0,F24/$F$113)</f>
        <v/>
      </c>
      <c r="H24" s="5" t="n">
        <v>618056.49</v>
      </c>
      <c r="I24" t="n">
        <v>5</v>
      </c>
      <c r="J24" t="n">
        <v>2</v>
      </c>
      <c r="L24" s="5" t="n">
        <v>2163197.71</v>
      </c>
    </row>
    <row r="25">
      <c r="A25" t="inlineStr">
        <is>
          <t>LIMA</t>
        </is>
      </c>
      <c r="B25" t="inlineStr">
        <is>
          <t>LIMA</t>
        </is>
      </c>
      <c r="C25" t="inlineStr">
        <is>
          <t>LOS OLIVOS</t>
        </is>
      </c>
      <c r="D25" t="inlineStr">
        <is>
          <t>150117</t>
        </is>
      </c>
      <c r="E25" t="inlineStr">
        <is>
          <t>—</t>
        </is>
      </c>
      <c r="F25" s="11" t="n">
        <v>734872.1858</v>
      </c>
      <c r="G25" s="6">
        <f>IF($F$113=0,0,F25/$F$113)</f>
        <v/>
      </c>
      <c r="H25" s="5" t="n">
        <v>595206.11</v>
      </c>
      <c r="I25" t="n">
        <v>1</v>
      </c>
      <c r="J25" t="n">
        <v>4</v>
      </c>
      <c r="L25" s="5" t="n">
        <v>1488015.29</v>
      </c>
    </row>
    <row r="26">
      <c r="A26" t="inlineStr">
        <is>
          <t>LIMA</t>
        </is>
      </c>
      <c r="B26" t="inlineStr">
        <is>
          <t>LIMA</t>
        </is>
      </c>
      <c r="C26" t="inlineStr">
        <is>
          <t>MAGDALENA VIEJA</t>
        </is>
      </c>
      <c r="D26" t="inlineStr">
        <is>
          <t>150121</t>
        </is>
      </c>
      <c r="E26" t="inlineStr">
        <is>
          <t>—</t>
        </is>
      </c>
      <c r="F26" s="11" t="n">
        <v>720999.3466</v>
      </c>
      <c r="G26" s="6">
        <f>IF($F$113=0,0,F26/$F$113)</f>
        <v/>
      </c>
      <c r="H26" s="5" t="n">
        <v>583969.88</v>
      </c>
      <c r="I26" t="n">
        <v>1</v>
      </c>
      <c r="J26" t="n">
        <v>4</v>
      </c>
      <c r="L26" s="5" t="n">
        <v>1459924.69</v>
      </c>
    </row>
    <row r="27">
      <c r="A27" t="inlineStr">
        <is>
          <t>LIMA</t>
        </is>
      </c>
      <c r="B27" t="inlineStr">
        <is>
          <t>LIMA</t>
        </is>
      </c>
      <c r="C27" t="inlineStr">
        <is>
          <t>SAN MARTIN DE PORRES</t>
        </is>
      </c>
      <c r="D27" t="inlineStr">
        <is>
          <t>150135</t>
        </is>
      </c>
      <c r="E27" t="inlineStr">
        <is>
          <t>—</t>
        </is>
      </c>
      <c r="F27" s="11" t="n">
        <v>698102.7449</v>
      </c>
      <c r="G27" s="6">
        <f>IF($F$113=0,0,F27/$F$113)</f>
        <v/>
      </c>
      <c r="H27" s="5" t="n">
        <v>565424.89</v>
      </c>
      <c r="I27" t="n">
        <v>2</v>
      </c>
      <c r="J27" t="n">
        <v>5</v>
      </c>
      <c r="L27" s="5" t="n">
        <v>1978987.1</v>
      </c>
    </row>
    <row r="28">
      <c r="A28" t="inlineStr">
        <is>
          <t>LIMA</t>
        </is>
      </c>
      <c r="B28" t="inlineStr">
        <is>
          <t>LIMA</t>
        </is>
      </c>
      <c r="C28" t="inlineStr">
        <is>
          <t>ATE</t>
        </is>
      </c>
      <c r="D28" t="inlineStr">
        <is>
          <t>150103</t>
        </is>
      </c>
      <c r="E28" t="inlineStr">
        <is>
          <t>—</t>
        </is>
      </c>
      <c r="F28" s="11" t="n">
        <v>676480.9513</v>
      </c>
      <c r="G28" s="6">
        <f>IF($F$113=0,0,F28/$F$113)</f>
        <v/>
      </c>
      <c r="H28" s="5" t="n">
        <v>547912.42</v>
      </c>
      <c r="I28" t="n">
        <v>4</v>
      </c>
      <c r="J28" t="n">
        <v>3</v>
      </c>
      <c r="L28" s="5" t="n">
        <v>1917693.47</v>
      </c>
    </row>
    <row r="29">
      <c r="A29" t="inlineStr">
        <is>
          <t>LIMA</t>
        </is>
      </c>
      <c r="B29" t="inlineStr">
        <is>
          <t>LIMA</t>
        </is>
      </c>
      <c r="C29" t="inlineStr">
        <is>
          <t>SAN JUAN DE MIRAFLORES</t>
        </is>
      </c>
      <c r="D29" t="inlineStr">
        <is>
          <t>150133</t>
        </is>
      </c>
      <c r="E29" t="inlineStr">
        <is>
          <t>—</t>
        </is>
      </c>
      <c r="F29" s="11" t="n">
        <v>530042.3215</v>
      </c>
      <c r="G29" s="6">
        <f>IF($F$113=0,0,F29/$F$113)</f>
        <v/>
      </c>
      <c r="H29" s="5" t="n">
        <v>429305.17</v>
      </c>
      <c r="I29" t="n">
        <v>2</v>
      </c>
      <c r="J29" t="n">
        <v>3</v>
      </c>
      <c r="L29" s="5" t="n">
        <v>1073262.93</v>
      </c>
    </row>
    <row r="30">
      <c r="A30" t="inlineStr">
        <is>
          <t>LIMA</t>
        </is>
      </c>
      <c r="B30" t="inlineStr">
        <is>
          <t>LIMA</t>
        </is>
      </c>
      <c r="C30" t="inlineStr">
        <is>
          <t>CHORRILLOS</t>
        </is>
      </c>
      <c r="D30" t="inlineStr">
        <is>
          <t>150108</t>
        </is>
      </c>
      <c r="E30" t="inlineStr">
        <is>
          <t>—</t>
        </is>
      </c>
      <c r="F30" s="11" t="n">
        <v>529113.591</v>
      </c>
      <c r="G30" s="6">
        <f>IF($F$113=0,0,F30/$F$113)</f>
        <v/>
      </c>
      <c r="H30" s="5" t="n">
        <v>428552.95</v>
      </c>
      <c r="I30" t="n">
        <v>2</v>
      </c>
      <c r="J30" t="n">
        <v>4</v>
      </c>
      <c r="L30" s="5" t="n">
        <v>1285658.86</v>
      </c>
    </row>
    <row r="31">
      <c r="A31" t="inlineStr">
        <is>
          <t>ICA</t>
        </is>
      </c>
      <c r="B31" t="inlineStr">
        <is>
          <t>CHINCHA</t>
        </is>
      </c>
      <c r="C31" t="inlineStr">
        <is>
          <t>CHINCHA ALTA</t>
        </is>
      </c>
      <c r="D31" t="inlineStr">
        <is>
          <t>110201</t>
        </is>
      </c>
      <c r="E31" t="inlineStr">
        <is>
          <t>—</t>
        </is>
      </c>
      <c r="F31" s="11" t="n">
        <v>517318.112</v>
      </c>
      <c r="G31" s="6">
        <f>IF($F$113=0,0,F31/$F$113)</f>
        <v/>
      </c>
      <c r="H31" s="5" t="n">
        <v>418999.26</v>
      </c>
      <c r="I31" t="n">
        <v>4</v>
      </c>
      <c r="J31" t="n">
        <v>4</v>
      </c>
      <c r="L31" s="5" t="n">
        <v>1675997.05</v>
      </c>
    </row>
    <row r="32">
      <c r="A32" t="inlineStr">
        <is>
          <t>LORETO</t>
        </is>
      </c>
      <c r="B32" t="inlineStr">
        <is>
          <t>MAYNAS</t>
        </is>
      </c>
      <c r="C32" t="inlineStr">
        <is>
          <t>IQUITOS</t>
        </is>
      </c>
      <c r="D32" t="inlineStr">
        <is>
          <t>160101</t>
        </is>
      </c>
      <c r="E32" t="inlineStr">
        <is>
          <t>—</t>
        </is>
      </c>
      <c r="F32" s="11" t="n">
        <v>514106.0944</v>
      </c>
      <c r="G32" s="6">
        <f>IF($F$113=0,0,F32/$F$113)</f>
        <v/>
      </c>
      <c r="H32" s="5" t="n">
        <v>416397.7</v>
      </c>
      <c r="I32" t="n">
        <v>3</v>
      </c>
      <c r="J32" t="n">
        <v>4</v>
      </c>
      <c r="K32" t="n">
        <v>2</v>
      </c>
      <c r="L32" s="5" t="n">
        <v>1249193.11</v>
      </c>
    </row>
    <row r="33">
      <c r="A33" t="inlineStr">
        <is>
          <t>ICA</t>
        </is>
      </c>
      <c r="B33" t="inlineStr">
        <is>
          <t>ICA</t>
        </is>
      </c>
      <c r="C33" t="inlineStr">
        <is>
          <t>ICA</t>
        </is>
      </c>
      <c r="D33" t="inlineStr">
        <is>
          <t>110101</t>
        </is>
      </c>
      <c r="E33" t="inlineStr">
        <is>
          <t>—</t>
        </is>
      </c>
      <c r="F33" s="11" t="n">
        <v>504353.3946</v>
      </c>
      <c r="G33" s="6">
        <f>IF($F$113=0,0,F33/$F$113)</f>
        <v/>
      </c>
      <c r="H33" s="5" t="n">
        <v>408498.55</v>
      </c>
      <c r="I33" t="n">
        <v>1</v>
      </c>
      <c r="J33" t="n">
        <v>5</v>
      </c>
      <c r="L33" s="5" t="n">
        <v>1225495.66</v>
      </c>
    </row>
    <row r="34">
      <c r="A34" t="inlineStr">
        <is>
          <t>LIMA</t>
        </is>
      </c>
      <c r="B34" t="inlineStr">
        <is>
          <t>LIMA</t>
        </is>
      </c>
      <c r="C34" t="inlineStr">
        <is>
          <t>LINCE</t>
        </is>
      </c>
      <c r="D34" t="inlineStr">
        <is>
          <t>150116</t>
        </is>
      </c>
      <c r="E34" t="inlineStr">
        <is>
          <t>—</t>
        </is>
      </c>
      <c r="F34" s="11" t="n">
        <v>481111.4792</v>
      </c>
      <c r="G34" s="6">
        <f>IF($F$113=0,0,F34/$F$113)</f>
        <v/>
      </c>
      <c r="H34" s="5" t="n">
        <v>389673.88</v>
      </c>
      <c r="I34" t="n">
        <v>1</v>
      </c>
      <c r="J34" t="n">
        <v>4</v>
      </c>
      <c r="L34" s="5" t="n">
        <v>974184.6899999999</v>
      </c>
    </row>
    <row r="35">
      <c r="A35" t="inlineStr">
        <is>
          <t>LIMA</t>
        </is>
      </c>
      <c r="B35" t="inlineStr">
        <is>
          <t>LIMA</t>
        </is>
      </c>
      <c r="C35" t="inlineStr">
        <is>
          <t>SANTA ANITA</t>
        </is>
      </c>
      <c r="D35" t="inlineStr">
        <is>
          <t>150137</t>
        </is>
      </c>
      <c r="E35" t="inlineStr">
        <is>
          <t>—</t>
        </is>
      </c>
      <c r="F35" s="11" t="n">
        <v>446086.333</v>
      </c>
      <c r="G35" s="6">
        <f>IF($F$113=0,0,F35/$F$113)</f>
        <v/>
      </c>
      <c r="H35" s="5" t="n">
        <v>361305.43</v>
      </c>
      <c r="I35" t="n">
        <v>2</v>
      </c>
      <c r="J35" t="n">
        <v>4</v>
      </c>
      <c r="L35" s="5" t="n">
        <v>1083916.3</v>
      </c>
    </row>
    <row r="36">
      <c r="A36" t="inlineStr">
        <is>
          <t>CAJAMARCA</t>
        </is>
      </c>
      <c r="B36" t="inlineStr">
        <is>
          <t>CAJAMARCA</t>
        </is>
      </c>
      <c r="C36" t="inlineStr">
        <is>
          <t>CAJAMARCA</t>
        </is>
      </c>
      <c r="D36" t="inlineStr">
        <is>
          <t>060101</t>
        </is>
      </c>
      <c r="E36" t="inlineStr">
        <is>
          <t>—</t>
        </is>
      </c>
      <c r="F36" s="11" t="n">
        <v>442174.9053</v>
      </c>
      <c r="G36" s="6">
        <f>IF($F$113=0,0,F36/$F$113)</f>
        <v/>
      </c>
      <c r="H36" s="5" t="n">
        <v>358137.39</v>
      </c>
      <c r="I36" t="n">
        <v>4</v>
      </c>
      <c r="J36" t="n">
        <v>4</v>
      </c>
      <c r="K36" t="n">
        <v>3</v>
      </c>
      <c r="L36" s="5" t="n">
        <v>1313170.43</v>
      </c>
    </row>
    <row r="37">
      <c r="A37" t="inlineStr">
        <is>
          <t>AREQUIPA</t>
        </is>
      </c>
      <c r="B37" t="inlineStr">
        <is>
          <t>AREQUIPA</t>
        </is>
      </c>
      <c r="C37" t="inlineStr">
        <is>
          <t>YANAHUARA</t>
        </is>
      </c>
      <c r="D37" t="inlineStr">
        <is>
          <t>040126</t>
        </is>
      </c>
      <c r="E37" t="inlineStr">
        <is>
          <t>—</t>
        </is>
      </c>
      <c r="F37" s="11" t="n">
        <v>432908.9677</v>
      </c>
      <c r="G37" s="6">
        <f>IF($F$113=0,0,F37/$F$113)</f>
        <v/>
      </c>
      <c r="H37" s="5" t="n">
        <v>350632.49</v>
      </c>
      <c r="I37" t="n">
        <v>2</v>
      </c>
      <c r="J37" t="n">
        <v>5</v>
      </c>
      <c r="L37" s="5" t="n">
        <v>1227213.72</v>
      </c>
    </row>
    <row r="38">
      <c r="A38" t="inlineStr">
        <is>
          <t>SAN MARTIN</t>
        </is>
      </c>
      <c r="B38" t="inlineStr">
        <is>
          <t>SAN MARTIN</t>
        </is>
      </c>
      <c r="C38" t="inlineStr">
        <is>
          <t>TARAPOTO</t>
        </is>
      </c>
      <c r="D38" t="inlineStr">
        <is>
          <t>220901</t>
        </is>
      </c>
      <c r="E38" t="inlineStr">
        <is>
          <t>—</t>
        </is>
      </c>
      <c r="F38" s="11" t="n">
        <v>430595.2206</v>
      </c>
      <c r="G38" s="6">
        <f>IF($F$113=0,0,F38/$F$113)</f>
        <v/>
      </c>
      <c r="H38" s="5" t="n">
        <v>348758.48</v>
      </c>
      <c r="I38" t="n">
        <v>4</v>
      </c>
      <c r="J38" t="n">
        <v>4</v>
      </c>
      <c r="K38" t="n">
        <v>2</v>
      </c>
      <c r="L38" s="5" t="n">
        <v>1162528.27</v>
      </c>
    </row>
    <row r="39">
      <c r="A39" t="inlineStr">
        <is>
          <t>PUNO</t>
        </is>
      </c>
      <c r="B39" t="inlineStr">
        <is>
          <t>SAN ROMAN</t>
        </is>
      </c>
      <c r="C39" t="inlineStr">
        <is>
          <t>JULIACA</t>
        </is>
      </c>
      <c r="D39" t="inlineStr">
        <is>
          <t>211101</t>
        </is>
      </c>
      <c r="E39" t="inlineStr">
        <is>
          <t>—</t>
        </is>
      </c>
      <c r="F39" s="11" t="n">
        <v>395249.1628</v>
      </c>
      <c r="G39" s="6">
        <f>IF($F$113=0,0,F39/$F$113)</f>
        <v/>
      </c>
      <c r="H39" s="5" t="n">
        <v>320130.12</v>
      </c>
      <c r="I39" t="n">
        <v>3</v>
      </c>
      <c r="J39" t="n">
        <v>1</v>
      </c>
      <c r="K39" t="n">
        <v>4</v>
      </c>
      <c r="L39" s="5" t="n">
        <v>853680.3100000001</v>
      </c>
    </row>
    <row r="40">
      <c r="A40" t="inlineStr">
        <is>
          <t>CALLAO</t>
        </is>
      </c>
      <c r="B40" t="inlineStr">
        <is>
          <t>CALLAO</t>
        </is>
      </c>
      <c r="C40" t="inlineStr">
        <is>
          <t>LA PERLA</t>
        </is>
      </c>
      <c r="D40" t="inlineStr">
        <is>
          <t>070104</t>
        </is>
      </c>
      <c r="E40" t="inlineStr">
        <is>
          <t>—</t>
        </is>
      </c>
      <c r="F40" s="11" t="n">
        <v>388908.9956</v>
      </c>
      <c r="G40" s="6">
        <f>IF($F$113=0,0,F40/$F$113)</f>
        <v/>
      </c>
      <c r="H40" s="5" t="n">
        <v>314994.93</v>
      </c>
      <c r="I40" t="n">
        <v>1</v>
      </c>
      <c r="J40" t="n">
        <v>4</v>
      </c>
      <c r="L40" s="5" t="n">
        <v>787487.3199999999</v>
      </c>
    </row>
    <row r="41">
      <c r="A41" t="inlineStr">
        <is>
          <t>LIMA</t>
        </is>
      </c>
      <c r="B41" t="inlineStr">
        <is>
          <t>LIMA</t>
        </is>
      </c>
      <c r="C41" t="inlineStr">
        <is>
          <t>VILLA EL SALVADOR</t>
        </is>
      </c>
      <c r="D41" t="inlineStr">
        <is>
          <t>150142</t>
        </is>
      </c>
      <c r="E41" t="inlineStr">
        <is>
          <t>—</t>
        </is>
      </c>
      <c r="F41" s="11" t="n">
        <v>384176.7448</v>
      </c>
      <c r="G41" s="6">
        <f>IF($F$113=0,0,F41/$F$113)</f>
        <v/>
      </c>
      <c r="H41" s="5" t="n">
        <v>311162.07</v>
      </c>
      <c r="I41" t="n">
        <v>1</v>
      </c>
      <c r="J41" t="n">
        <v>3</v>
      </c>
      <c r="L41" s="5" t="n">
        <v>622324.13</v>
      </c>
    </row>
    <row r="42">
      <c r="A42" t="inlineStr">
        <is>
          <t>LIMA</t>
        </is>
      </c>
      <c r="B42" t="inlineStr">
        <is>
          <t>LIMA</t>
        </is>
      </c>
      <c r="C42" t="inlineStr">
        <is>
          <t>BARRANCO</t>
        </is>
      </c>
      <c r="D42" t="inlineStr">
        <is>
          <t>150104</t>
        </is>
      </c>
      <c r="E42" t="inlineStr">
        <is>
          <t>—</t>
        </is>
      </c>
      <c r="F42" s="11" t="n">
        <v>381366.3115</v>
      </c>
      <c r="G42" s="6">
        <f>IF($F$113=0,0,F42/$F$113)</f>
        <v/>
      </c>
      <c r="H42" s="5" t="n">
        <v>308885.77</v>
      </c>
      <c r="I42" t="n">
        <v>1</v>
      </c>
      <c r="J42" t="n">
        <v>4</v>
      </c>
      <c r="L42" s="5" t="n">
        <v>772214.42</v>
      </c>
    </row>
    <row r="43">
      <c r="A43" t="inlineStr">
        <is>
          <t>UCAYALI</t>
        </is>
      </c>
      <c r="B43" t="inlineStr">
        <is>
          <t>CORONEL PORTILLO</t>
        </is>
      </c>
      <c r="C43" t="inlineStr">
        <is>
          <t>CALLERIA</t>
        </is>
      </c>
      <c r="D43" t="inlineStr">
        <is>
          <t>250101</t>
        </is>
      </c>
      <c r="E43" t="inlineStr">
        <is>
          <t>—</t>
        </is>
      </c>
      <c r="F43" s="11" t="n">
        <v>375000.7111</v>
      </c>
      <c r="G43" s="6">
        <f>IF($F$113=0,0,F43/$F$113)</f>
        <v/>
      </c>
      <c r="H43" s="5" t="n">
        <v>303729.98</v>
      </c>
      <c r="I43" t="n">
        <v>4</v>
      </c>
      <c r="J43" t="n">
        <v>4</v>
      </c>
      <c r="K43" t="n">
        <v>2</v>
      </c>
      <c r="L43" s="5" t="n">
        <v>1012433.28</v>
      </c>
    </row>
    <row r="44">
      <c r="A44" t="inlineStr">
        <is>
          <t>HUANUCO</t>
        </is>
      </c>
      <c r="B44" t="inlineStr">
        <is>
          <t>HUANUCO</t>
        </is>
      </c>
      <c r="C44" t="inlineStr">
        <is>
          <t>HUANUCO</t>
        </is>
      </c>
      <c r="D44" t="inlineStr">
        <is>
          <t>100101</t>
        </is>
      </c>
      <c r="E44" t="inlineStr">
        <is>
          <t>—</t>
        </is>
      </c>
      <c r="F44" s="11" t="n">
        <v>355336.9198</v>
      </c>
      <c r="G44" s="6">
        <f>IF($F$113=0,0,F44/$F$113)</f>
        <v/>
      </c>
      <c r="H44" s="5" t="n">
        <v>287803.39</v>
      </c>
      <c r="I44" t="n">
        <v>4</v>
      </c>
      <c r="J44" t="n">
        <v>3</v>
      </c>
      <c r="K44" t="n">
        <v>4</v>
      </c>
      <c r="L44" s="5" t="n">
        <v>1055279.1</v>
      </c>
    </row>
    <row r="45">
      <c r="A45" t="inlineStr">
        <is>
          <t>TACNA</t>
        </is>
      </c>
      <c r="B45" t="inlineStr">
        <is>
          <t>TACNA</t>
        </is>
      </c>
      <c r="C45" t="inlineStr">
        <is>
          <t>TACNA</t>
        </is>
      </c>
      <c r="D45" t="inlineStr">
        <is>
          <t>230101</t>
        </is>
      </c>
      <c r="E45" t="inlineStr">
        <is>
          <t>—</t>
        </is>
      </c>
      <c r="F45" s="11" t="n">
        <v>353051.4709</v>
      </c>
      <c r="G45" s="6">
        <f>IF($F$113=0,0,F45/$F$113)</f>
        <v/>
      </c>
      <c r="H45" s="5" t="n">
        <v>285952.3</v>
      </c>
      <c r="I45" t="n">
        <v>3</v>
      </c>
      <c r="J45" t="n">
        <v>3</v>
      </c>
      <c r="L45" s="5" t="n">
        <v>857856.91</v>
      </c>
    </row>
    <row r="46">
      <c r="A46" t="inlineStr">
        <is>
          <t>ANCASH</t>
        </is>
      </c>
      <c r="B46" t="inlineStr">
        <is>
          <t>SANTA</t>
        </is>
      </c>
      <c r="C46" t="inlineStr">
        <is>
          <t>CHIMBOTE</t>
        </is>
      </c>
      <c r="D46" t="inlineStr">
        <is>
          <t>021801</t>
        </is>
      </c>
      <c r="E46" t="inlineStr">
        <is>
          <t>—</t>
        </is>
      </c>
      <c r="F46" s="11" t="n">
        <v>351457.3783</v>
      </c>
      <c r="G46" s="6">
        <f>IF($F$113=0,0,F46/$F$113)</f>
        <v/>
      </c>
      <c r="H46" s="5" t="n">
        <v>284661.18</v>
      </c>
      <c r="I46" t="n">
        <v>5</v>
      </c>
      <c r="J46" t="n">
        <v>4</v>
      </c>
      <c r="K46" t="n">
        <v>3</v>
      </c>
      <c r="L46" s="5" t="n">
        <v>1138644.7</v>
      </c>
    </row>
    <row r="47">
      <c r="A47" t="inlineStr">
        <is>
          <t>CAJAMARCA</t>
        </is>
      </c>
      <c r="B47" t="inlineStr">
        <is>
          <t>JAEN</t>
        </is>
      </c>
      <c r="C47" t="inlineStr">
        <is>
          <t>JAEN</t>
        </is>
      </c>
      <c r="D47" t="inlineStr">
        <is>
          <t>060801</t>
        </is>
      </c>
      <c r="E47" t="inlineStr">
        <is>
          <t>—</t>
        </is>
      </c>
      <c r="F47" s="11" t="n">
        <v>324324.5724</v>
      </c>
      <c r="G47" s="6">
        <f>IF($F$113=0,0,F47/$F$113)</f>
        <v/>
      </c>
      <c r="H47" s="5" t="n">
        <v>262685.09</v>
      </c>
      <c r="I47" t="n">
        <v>4</v>
      </c>
      <c r="J47" t="n">
        <v>3</v>
      </c>
      <c r="K47" t="n">
        <v>2</v>
      </c>
      <c r="L47" s="5" t="n">
        <v>788055.28</v>
      </c>
    </row>
    <row r="48">
      <c r="A48" t="inlineStr">
        <is>
          <t>LIMA</t>
        </is>
      </c>
      <c r="B48" t="inlineStr">
        <is>
          <t>LIMA</t>
        </is>
      </c>
      <c r="C48" t="inlineStr">
        <is>
          <t>SURQUILLO</t>
        </is>
      </c>
      <c r="D48" t="inlineStr">
        <is>
          <t>150141</t>
        </is>
      </c>
      <c r="E48" t="inlineStr">
        <is>
          <t>—</t>
        </is>
      </c>
      <c r="F48" s="11" t="n">
        <v>308555.4799</v>
      </c>
      <c r="G48" s="6">
        <f>IF($F$113=0,0,F48/$F$113)</f>
        <v/>
      </c>
      <c r="H48" s="5" t="n">
        <v>249912.99</v>
      </c>
      <c r="I48" t="n">
        <v>1</v>
      </c>
      <c r="J48" t="n">
        <v>4</v>
      </c>
      <c r="L48" s="5" t="n">
        <v>624782.49</v>
      </c>
    </row>
    <row r="49">
      <c r="A49" t="inlineStr">
        <is>
          <t>LIMA</t>
        </is>
      </c>
      <c r="B49" t="inlineStr">
        <is>
          <t>LIMA</t>
        </is>
      </c>
      <c r="C49" t="inlineStr">
        <is>
          <t>BREÑA</t>
        </is>
      </c>
      <c r="D49" t="inlineStr">
        <is>
          <t>150105</t>
        </is>
      </c>
      <c r="E49" t="inlineStr">
        <is>
          <t>—</t>
        </is>
      </c>
      <c r="F49" s="11" t="n">
        <v>249731.0799</v>
      </c>
      <c r="G49" s="6">
        <f>IF($F$113=0,0,F49/$F$113)</f>
        <v/>
      </c>
      <c r="H49" s="5" t="n">
        <v>202268.46</v>
      </c>
      <c r="I49" t="n">
        <v>1</v>
      </c>
      <c r="J49" t="n">
        <v>3</v>
      </c>
      <c r="L49" s="5" t="n">
        <v>404536.92</v>
      </c>
    </row>
    <row r="50">
      <c r="A50" t="inlineStr">
        <is>
          <t>ANCASH</t>
        </is>
      </c>
      <c r="B50" t="inlineStr">
        <is>
          <t>HUARAZ</t>
        </is>
      </c>
      <c r="C50" t="inlineStr">
        <is>
          <t>HUARAZ</t>
        </is>
      </c>
      <c r="D50" t="inlineStr">
        <is>
          <t>020101</t>
        </is>
      </c>
      <c r="E50" t="inlineStr">
        <is>
          <t>—</t>
        </is>
      </c>
      <c r="F50" s="11" t="n">
        <v>239226.17</v>
      </c>
      <c r="G50" s="6">
        <f>IF($F$113=0,0,F50/$F$113)</f>
        <v/>
      </c>
      <c r="H50" s="5" t="n">
        <v>193760.06</v>
      </c>
      <c r="I50" t="n">
        <v>4</v>
      </c>
      <c r="J50" t="n">
        <v>3</v>
      </c>
      <c r="K50" t="n">
        <v>4</v>
      </c>
      <c r="L50" s="5" t="n">
        <v>710453.5600000001</v>
      </c>
    </row>
    <row r="51">
      <c r="A51" t="inlineStr">
        <is>
          <t>LIMA</t>
        </is>
      </c>
      <c r="B51" t="inlineStr">
        <is>
          <t>LIMA</t>
        </is>
      </c>
      <c r="C51" t="inlineStr">
        <is>
          <t>PUENTE PIEDRA</t>
        </is>
      </c>
      <c r="D51" t="inlineStr">
        <is>
          <t>150125</t>
        </is>
      </c>
      <c r="E51" t="inlineStr">
        <is>
          <t>—</t>
        </is>
      </c>
      <c r="F51" s="11" t="n">
        <v>233889.5041</v>
      </c>
      <c r="G51" s="6">
        <f>IF($F$113=0,0,F51/$F$113)</f>
        <v/>
      </c>
      <c r="H51" s="5" t="n">
        <v>189437.65</v>
      </c>
      <c r="I51" t="n">
        <v>2</v>
      </c>
      <c r="J51" t="n">
        <v>3</v>
      </c>
      <c r="L51" s="5" t="n">
        <v>473594.14</v>
      </c>
    </row>
    <row r="52">
      <c r="A52" t="inlineStr">
        <is>
          <t>LIMA</t>
        </is>
      </c>
      <c r="B52" t="inlineStr">
        <is>
          <t>HUAURA</t>
        </is>
      </c>
      <c r="C52" t="inlineStr">
        <is>
          <t>HUACHO</t>
        </is>
      </c>
      <c r="D52" t="inlineStr">
        <is>
          <t>150801</t>
        </is>
      </c>
      <c r="E52" t="inlineStr">
        <is>
          <t>—</t>
        </is>
      </c>
      <c r="F52" s="11" t="n">
        <v>203267.2076</v>
      </c>
      <c r="G52" s="6">
        <f>IF($F$113=0,0,F52/$F$113)</f>
        <v/>
      </c>
      <c r="H52" s="5" t="n">
        <v>164635.28</v>
      </c>
      <c r="I52" t="n">
        <v>3</v>
      </c>
      <c r="J52" t="n">
        <v>3</v>
      </c>
      <c r="L52" s="5" t="n">
        <v>493905.83</v>
      </c>
    </row>
    <row r="53">
      <c r="A53" t="inlineStr">
        <is>
          <t>JUNIN</t>
        </is>
      </c>
      <c r="B53" t="inlineStr">
        <is>
          <t>HUANCAYO</t>
        </is>
      </c>
      <c r="C53" t="inlineStr">
        <is>
          <t>EL TAMBO</t>
        </is>
      </c>
      <c r="D53" t="inlineStr">
        <is>
          <t>120114</t>
        </is>
      </c>
      <c r="E53" t="inlineStr">
        <is>
          <t>—</t>
        </is>
      </c>
      <c r="F53" s="11" t="n">
        <v>163731.2515</v>
      </c>
      <c r="G53" s="6">
        <f>IF($F$113=0,0,F53/$F$113)</f>
        <v/>
      </c>
      <c r="H53" s="5" t="n">
        <v>132613.32</v>
      </c>
      <c r="I53" t="n">
        <v>4</v>
      </c>
      <c r="J53" t="n">
        <v>2</v>
      </c>
      <c r="K53" t="n">
        <v>3</v>
      </c>
      <c r="L53" s="5" t="n">
        <v>397839.97</v>
      </c>
    </row>
    <row r="54">
      <c r="A54" t="inlineStr">
        <is>
          <t>AYACUCHO</t>
        </is>
      </c>
      <c r="B54" t="inlineStr">
        <is>
          <t>HUAMANGA</t>
        </is>
      </c>
      <c r="C54" t="inlineStr">
        <is>
          <t>AYACUCHO</t>
        </is>
      </c>
      <c r="D54" t="inlineStr">
        <is>
          <t>050101</t>
        </is>
      </c>
      <c r="E54" t="inlineStr">
        <is>
          <t>—</t>
        </is>
      </c>
      <c r="F54" s="11" t="n">
        <v>158300.5163</v>
      </c>
      <c r="G54" s="6">
        <f>IF($F$113=0,0,F54/$F$113)</f>
        <v/>
      </c>
      <c r="H54" s="5" t="n">
        <v>128214.73</v>
      </c>
      <c r="I54" t="n">
        <v>4</v>
      </c>
      <c r="J54" t="n">
        <v>3</v>
      </c>
      <c r="K54" t="n">
        <v>4</v>
      </c>
      <c r="L54" s="5" t="n">
        <v>470120.66</v>
      </c>
    </row>
    <row r="55">
      <c r="A55" t="inlineStr">
        <is>
          <t>CUSCO</t>
        </is>
      </c>
      <c r="B55" t="inlineStr">
        <is>
          <t>CUSCO</t>
        </is>
      </c>
      <c r="C55" t="inlineStr">
        <is>
          <t>WANCHAQ</t>
        </is>
      </c>
      <c r="D55" t="inlineStr">
        <is>
          <t>080108</t>
        </is>
      </c>
      <c r="E55" t="inlineStr">
        <is>
          <t>—</t>
        </is>
      </c>
      <c r="F55" s="11" t="n">
        <v>146724.5734</v>
      </c>
      <c r="G55" s="6">
        <f>IF($F$113=0,0,F55/$F$113)</f>
        <v/>
      </c>
      <c r="H55" s="5" t="n">
        <v>118838.85</v>
      </c>
      <c r="I55" t="n">
        <v>3</v>
      </c>
      <c r="J55" t="n">
        <v>4</v>
      </c>
      <c r="K55" t="n">
        <v>4</v>
      </c>
      <c r="L55" s="5" t="n">
        <v>435742.44</v>
      </c>
    </row>
    <row r="56">
      <c r="A56" t="inlineStr">
        <is>
          <t>PUNO</t>
        </is>
      </c>
      <c r="B56" t="inlineStr">
        <is>
          <t>PUNO</t>
        </is>
      </c>
      <c r="C56" t="inlineStr">
        <is>
          <t>PUNO</t>
        </is>
      </c>
      <c r="D56" t="inlineStr">
        <is>
          <t>210101</t>
        </is>
      </c>
      <c r="E56" t="inlineStr">
        <is>
          <t>—</t>
        </is>
      </c>
      <c r="F56" s="11" t="n">
        <v>143780.868</v>
      </c>
      <c r="G56" s="6">
        <f>IF($F$113=0,0,F56/$F$113)</f>
        <v/>
      </c>
      <c r="H56" s="5" t="n">
        <v>116454.61</v>
      </c>
      <c r="I56" t="n">
        <v>4</v>
      </c>
      <c r="J56" t="n">
        <v>3</v>
      </c>
      <c r="K56" t="n">
        <v>3</v>
      </c>
      <c r="L56" s="5" t="n">
        <v>388182.02</v>
      </c>
    </row>
    <row r="57">
      <c r="A57" t="inlineStr">
        <is>
          <t>JUNIN</t>
        </is>
      </c>
      <c r="B57" t="inlineStr">
        <is>
          <t>CHANCHAMAYO</t>
        </is>
      </c>
      <c r="C57" t="inlineStr">
        <is>
          <t>CHANCHAMAYO</t>
        </is>
      </c>
      <c r="D57" t="inlineStr">
        <is>
          <t>120301</t>
        </is>
      </c>
      <c r="E57" t="inlineStr">
        <is>
          <t>—</t>
        </is>
      </c>
      <c r="F57" s="11" t="n">
        <v>141015.7099</v>
      </c>
      <c r="G57" s="6">
        <f>IF($F$113=0,0,F57/$F$113)</f>
        <v/>
      </c>
      <c r="H57" s="5" t="n">
        <v>114214.98</v>
      </c>
      <c r="I57" t="n">
        <v>5</v>
      </c>
      <c r="J57" t="n">
        <v>2</v>
      </c>
      <c r="K57" t="n">
        <v>3</v>
      </c>
      <c r="L57" s="5" t="n">
        <v>380716.6</v>
      </c>
    </row>
    <row r="58">
      <c r="A58" t="inlineStr">
        <is>
          <t>SAN MARTIN</t>
        </is>
      </c>
      <c r="B58" t="inlineStr">
        <is>
          <t>MOYOBAMBA</t>
        </is>
      </c>
      <c r="C58" t="inlineStr">
        <is>
          <t>MOYOBAMBA</t>
        </is>
      </c>
      <c r="D58" t="inlineStr">
        <is>
          <t>220101</t>
        </is>
      </c>
      <c r="E58" t="inlineStr">
        <is>
          <t>—</t>
        </is>
      </c>
      <c r="F58" s="11" t="n">
        <v>136187.7486</v>
      </c>
      <c r="G58" s="6">
        <f>IF($F$113=0,0,F58/$F$113)</f>
        <v/>
      </c>
      <c r="H58" s="5" t="n">
        <v>110304.6</v>
      </c>
      <c r="I58" t="n">
        <v>4</v>
      </c>
      <c r="J58" t="n">
        <v>4</v>
      </c>
      <c r="K58" t="n">
        <v>2</v>
      </c>
      <c r="L58" s="5" t="n">
        <v>367681.99</v>
      </c>
    </row>
    <row r="59">
      <c r="A59" t="inlineStr">
        <is>
          <t>CAJAMARCA</t>
        </is>
      </c>
      <c r="B59" t="inlineStr">
        <is>
          <t>CHOTA</t>
        </is>
      </c>
      <c r="C59" t="inlineStr">
        <is>
          <t>CHOTA</t>
        </is>
      </c>
      <c r="D59" t="inlineStr">
        <is>
          <t>060401</t>
        </is>
      </c>
      <c r="E59" t="inlineStr">
        <is>
          <t>—</t>
        </is>
      </c>
      <c r="F59" s="11" t="n">
        <v>135839.1641</v>
      </c>
      <c r="G59" s="6">
        <f>IF($F$113=0,0,F59/$F$113)</f>
        <v/>
      </c>
      <c r="H59" s="5" t="n">
        <v>110022.26</v>
      </c>
      <c r="I59" t="n">
        <v>4</v>
      </c>
      <c r="J59" t="n">
        <v>3</v>
      </c>
      <c r="K59" t="n">
        <v>3</v>
      </c>
      <c r="L59" s="5" t="n">
        <v>366740.88</v>
      </c>
    </row>
    <row r="60">
      <c r="A60" t="inlineStr">
        <is>
          <t>LORETO</t>
        </is>
      </c>
      <c r="B60" t="inlineStr">
        <is>
          <t>ALTO AMAZONAS</t>
        </is>
      </c>
      <c r="C60" t="inlineStr">
        <is>
          <t>YURIMAGUAS</t>
        </is>
      </c>
      <c r="D60" t="inlineStr">
        <is>
          <t>160201</t>
        </is>
      </c>
      <c r="E60" t="inlineStr">
        <is>
          <t>—</t>
        </is>
      </c>
      <c r="F60" s="11" t="n">
        <v>135654.1503</v>
      </c>
      <c r="G60" s="6">
        <f>IF($F$113=0,0,F60/$F$113)</f>
        <v/>
      </c>
      <c r="H60" s="5" t="n">
        <v>109872.41</v>
      </c>
      <c r="I60" t="n">
        <v>3</v>
      </c>
      <c r="J60" t="n">
        <v>3</v>
      </c>
      <c r="K60" t="n">
        <v>2</v>
      </c>
      <c r="L60" s="5" t="n">
        <v>292993.1</v>
      </c>
    </row>
    <row r="61">
      <c r="A61" t="inlineStr">
        <is>
          <t>PASCO</t>
        </is>
      </c>
      <c r="B61" t="inlineStr">
        <is>
          <t>PASCO</t>
        </is>
      </c>
      <c r="C61" t="inlineStr">
        <is>
          <t>YANACANCHA</t>
        </is>
      </c>
      <c r="D61" t="inlineStr">
        <is>
          <t>190113</t>
        </is>
      </c>
      <c r="E61" t="inlineStr">
        <is>
          <t>—</t>
        </is>
      </c>
      <c r="F61" s="11" t="n">
        <v>132479.2175</v>
      </c>
      <c r="G61" s="6">
        <f>IF($F$113=0,0,F61/$F$113)</f>
        <v/>
      </c>
      <c r="H61" s="5" t="n">
        <v>107300.89</v>
      </c>
      <c r="I61" t="n">
        <v>4</v>
      </c>
      <c r="J61" t="n">
        <v>2</v>
      </c>
      <c r="K61" t="n">
        <v>3</v>
      </c>
      <c r="L61" s="5" t="n">
        <v>321902.67</v>
      </c>
    </row>
    <row r="62">
      <c r="A62" t="inlineStr">
        <is>
          <t>ICA</t>
        </is>
      </c>
      <c r="B62" t="inlineStr">
        <is>
          <t>PISCO</t>
        </is>
      </c>
      <c r="C62" t="inlineStr">
        <is>
          <t>PISCO</t>
        </is>
      </c>
      <c r="D62" t="inlineStr">
        <is>
          <t>110501</t>
        </is>
      </c>
      <c r="E62" t="inlineStr">
        <is>
          <t>—</t>
        </is>
      </c>
      <c r="F62" s="11" t="n">
        <v>131770.7331</v>
      </c>
      <c r="G62" s="6">
        <f>IF($F$113=0,0,F62/$F$113)</f>
        <v/>
      </c>
      <c r="H62" s="5" t="n">
        <v>106727.06</v>
      </c>
      <c r="I62" t="n">
        <v>3</v>
      </c>
      <c r="J62" t="n">
        <v>5</v>
      </c>
      <c r="L62" s="5" t="n">
        <v>426908.23</v>
      </c>
    </row>
    <row r="63">
      <c r="A63" t="inlineStr">
        <is>
          <t>LIMA</t>
        </is>
      </c>
      <c r="B63" t="inlineStr">
        <is>
          <t>BARRANCA</t>
        </is>
      </c>
      <c r="C63" t="inlineStr">
        <is>
          <t>BARRANCA</t>
        </is>
      </c>
      <c r="D63" t="inlineStr">
        <is>
          <t>150201</t>
        </is>
      </c>
      <c r="E63" t="inlineStr">
        <is>
          <t>—</t>
        </is>
      </c>
      <c r="F63" s="11" t="n">
        <v>127766.0778</v>
      </c>
      <c r="G63" s="6">
        <f>IF($F$113=0,0,F63/$F$113)</f>
        <v/>
      </c>
      <c r="H63" s="5" t="n">
        <v>103483.51</v>
      </c>
      <c r="I63" t="n">
        <v>3</v>
      </c>
      <c r="J63" t="n">
        <v>4</v>
      </c>
      <c r="L63" s="5" t="n">
        <v>362192.27</v>
      </c>
    </row>
    <row r="64">
      <c r="A64" t="inlineStr">
        <is>
          <t>PIURA</t>
        </is>
      </c>
      <c r="B64" t="inlineStr">
        <is>
          <t>SULLANA</t>
        </is>
      </c>
      <c r="C64" t="inlineStr">
        <is>
          <t>SULLANA</t>
        </is>
      </c>
      <c r="D64" t="inlineStr">
        <is>
          <t>200601</t>
        </is>
      </c>
      <c r="E64" t="inlineStr">
        <is>
          <t>—</t>
        </is>
      </c>
      <c r="F64" s="11" t="n">
        <v>127610.6619</v>
      </c>
      <c r="G64" s="6">
        <f>IF($F$113=0,0,F64/$F$113)</f>
        <v/>
      </c>
      <c r="H64" s="5" t="n">
        <v>103357.63</v>
      </c>
      <c r="I64" t="n">
        <v>2</v>
      </c>
      <c r="J64" t="n">
        <v>5</v>
      </c>
      <c r="K64" t="n">
        <v>2</v>
      </c>
      <c r="L64" s="5" t="n">
        <v>310072.89</v>
      </c>
    </row>
    <row r="65">
      <c r="A65" t="inlineStr">
        <is>
          <t>LIMA</t>
        </is>
      </c>
      <c r="B65" t="inlineStr">
        <is>
          <t>LIMA</t>
        </is>
      </c>
      <c r="C65" t="inlineStr">
        <is>
          <t>LURIN</t>
        </is>
      </c>
      <c r="D65" t="inlineStr">
        <is>
          <t>150119</t>
        </is>
      </c>
      <c r="E65" t="inlineStr">
        <is>
          <t>—</t>
        </is>
      </c>
      <c r="F65" s="11" t="n">
        <v>127601.8659</v>
      </c>
      <c r="G65" s="6">
        <f>IF($F$113=0,0,F65/$F$113)</f>
        <v/>
      </c>
      <c r="H65" s="5" t="n">
        <v>103350.5</v>
      </c>
      <c r="I65" t="n">
        <v>3</v>
      </c>
      <c r="J65" t="n">
        <v>3</v>
      </c>
      <c r="L65" s="5" t="n">
        <v>310051.51</v>
      </c>
    </row>
    <row r="66">
      <c r="A66" t="inlineStr">
        <is>
          <t>ANCASH</t>
        </is>
      </c>
      <c r="B66" t="inlineStr">
        <is>
          <t>SANTA</t>
        </is>
      </c>
      <c r="C66" t="inlineStr">
        <is>
          <t>NUEVO CHIMBOTE</t>
        </is>
      </c>
      <c r="D66" t="inlineStr">
        <is>
          <t>021809</t>
        </is>
      </c>
      <c r="E66" t="inlineStr">
        <is>
          <t>—</t>
        </is>
      </c>
      <c r="F66" s="11" t="n">
        <v>127457.9984</v>
      </c>
      <c r="G66" s="6">
        <f>IF($F$113=0,0,F66/$F$113)</f>
        <v/>
      </c>
      <c r="H66" s="5" t="n">
        <v>103233.98</v>
      </c>
      <c r="I66" t="n">
        <v>2</v>
      </c>
      <c r="J66" t="n">
        <v>3</v>
      </c>
      <c r="L66" s="5" t="n">
        <v>258084.95</v>
      </c>
    </row>
    <row r="67">
      <c r="A67" t="inlineStr">
        <is>
          <t>LIMA</t>
        </is>
      </c>
      <c r="B67" t="inlineStr">
        <is>
          <t>LIMA</t>
        </is>
      </c>
      <c r="C67" t="inlineStr">
        <is>
          <t>CARABAYLLO</t>
        </is>
      </c>
      <c r="D67" t="inlineStr">
        <is>
          <t>150106</t>
        </is>
      </c>
      <c r="E67" t="inlineStr">
        <is>
          <t>—</t>
        </is>
      </c>
      <c r="F67" s="11" t="n">
        <v>115956.5068</v>
      </c>
      <c r="G67" s="6">
        <f>IF($F$113=0,0,F67/$F$113)</f>
        <v/>
      </c>
      <c r="H67" s="5" t="n">
        <v>93918.39999999999</v>
      </c>
      <c r="I67" t="n">
        <v>5</v>
      </c>
      <c r="J67" t="n">
        <v>3</v>
      </c>
      <c r="L67" s="5" t="n">
        <v>375673.61</v>
      </c>
    </row>
    <row r="68">
      <c r="A68" t="inlineStr">
        <is>
          <t>AREQUIPA</t>
        </is>
      </c>
      <c r="B68" t="inlineStr">
        <is>
          <t>AREQUIPA</t>
        </is>
      </c>
      <c r="C68" t="inlineStr">
        <is>
          <t>CERRO COLORADO</t>
        </is>
      </c>
      <c r="D68" t="inlineStr">
        <is>
          <t>040104</t>
        </is>
      </c>
      <c r="E68" t="inlineStr">
        <is>
          <t>—</t>
        </is>
      </c>
      <c r="F68" s="11" t="n">
        <v>114168.927</v>
      </c>
      <c r="G68" s="6">
        <f>IF($F$113=0,0,F68/$F$113)</f>
        <v/>
      </c>
      <c r="H68" s="5" t="n">
        <v>92470.56</v>
      </c>
      <c r="I68" t="n">
        <v>4</v>
      </c>
      <c r="J68" t="n">
        <v>4</v>
      </c>
      <c r="K68" t="n">
        <v>2</v>
      </c>
      <c r="L68" s="5" t="n">
        <v>308235.2</v>
      </c>
    </row>
    <row r="69">
      <c r="A69" t="inlineStr">
        <is>
          <t>AREQUIPA</t>
        </is>
      </c>
      <c r="B69" t="inlineStr">
        <is>
          <t>AREQUIPA</t>
        </is>
      </c>
      <c r="C69" t="inlineStr">
        <is>
          <t>MIRAFLORES</t>
        </is>
      </c>
      <c r="D69" t="inlineStr">
        <is>
          <t>040110</t>
        </is>
      </c>
      <c r="E69" t="inlineStr">
        <is>
          <t>—</t>
        </is>
      </c>
      <c r="F69" s="11" t="n">
        <v>114154.8412</v>
      </c>
      <c r="G69" s="6">
        <f>IF($F$113=0,0,F69/$F$113)</f>
        <v/>
      </c>
      <c r="H69" s="5" t="n">
        <v>92459.14999999999</v>
      </c>
      <c r="I69" t="n">
        <v>5</v>
      </c>
      <c r="J69" t="n">
        <v>3</v>
      </c>
      <c r="K69" t="n">
        <v>2</v>
      </c>
      <c r="L69" s="5" t="n">
        <v>308197.18</v>
      </c>
    </row>
    <row r="70">
      <c r="A70" t="inlineStr">
        <is>
          <t>LIMA</t>
        </is>
      </c>
      <c r="B70" t="inlineStr">
        <is>
          <t>LIMA</t>
        </is>
      </c>
      <c r="C70" t="inlineStr">
        <is>
          <t>RIMAC</t>
        </is>
      </c>
      <c r="D70" t="inlineStr">
        <is>
          <t>150128</t>
        </is>
      </c>
      <c r="E70" t="inlineStr">
        <is>
          <t>—</t>
        </is>
      </c>
      <c r="F70" s="11" t="n">
        <v>113118.9275</v>
      </c>
      <c r="G70" s="6">
        <f>IF($F$113=0,0,F70/$F$113)</f>
        <v/>
      </c>
      <c r="H70" s="5" t="n">
        <v>91620.12</v>
      </c>
      <c r="I70" t="n">
        <v>3</v>
      </c>
      <c r="J70" t="n">
        <v>3</v>
      </c>
      <c r="L70" s="5" t="n">
        <v>274860.36</v>
      </c>
    </row>
    <row r="71">
      <c r="A71" t="inlineStr">
        <is>
          <t>CALLAO</t>
        </is>
      </c>
      <c r="B71" t="inlineStr">
        <is>
          <t>CALLAO</t>
        </is>
      </c>
      <c r="C71" t="inlineStr">
        <is>
          <t>VENTANILLA</t>
        </is>
      </c>
      <c r="D71" t="inlineStr">
        <is>
          <t>070106</t>
        </is>
      </c>
      <c r="E71" t="inlineStr">
        <is>
          <t>—</t>
        </is>
      </c>
      <c r="F71" s="11" t="n">
        <v>112812.3491</v>
      </c>
      <c r="G71" s="6">
        <f>IF($F$113=0,0,F71/$F$113)</f>
        <v/>
      </c>
      <c r="H71" s="5" t="n">
        <v>91371.81</v>
      </c>
      <c r="I71" t="n">
        <v>3</v>
      </c>
      <c r="J71" t="n">
        <v>3</v>
      </c>
      <c r="L71" s="5" t="n">
        <v>274115.42</v>
      </c>
    </row>
    <row r="72">
      <c r="A72" t="inlineStr">
        <is>
          <t>LIMA</t>
        </is>
      </c>
      <c r="B72" t="inlineStr">
        <is>
          <t>LIMA</t>
        </is>
      </c>
      <c r="C72" t="inlineStr">
        <is>
          <t>SAN LUIS</t>
        </is>
      </c>
      <c r="D72" t="inlineStr">
        <is>
          <t>150134</t>
        </is>
      </c>
      <c r="E72" t="inlineStr">
        <is>
          <t>—</t>
        </is>
      </c>
      <c r="F72" s="11" t="n">
        <v>112456.4192</v>
      </c>
      <c r="G72" s="6">
        <f>IF($F$113=0,0,F72/$F$113)</f>
        <v/>
      </c>
      <c r="H72" s="5" t="n">
        <v>91083.52</v>
      </c>
      <c r="I72" t="n">
        <v>1</v>
      </c>
      <c r="J72" t="n">
        <v>3</v>
      </c>
      <c r="L72" s="5" t="n">
        <v>182167.05</v>
      </c>
    </row>
    <row r="73">
      <c r="A73" t="inlineStr">
        <is>
          <t>AREQUIPA</t>
        </is>
      </c>
      <c r="B73" t="inlineStr">
        <is>
          <t>AREQUIPA</t>
        </is>
      </c>
      <c r="C73" t="inlineStr">
        <is>
          <t>JOSE LUIS BUSTAMANTE Y RIVERO</t>
        </is>
      </c>
      <c r="D73" t="inlineStr">
        <is>
          <t>040129</t>
        </is>
      </c>
      <c r="E73" t="inlineStr">
        <is>
          <t>—</t>
        </is>
      </c>
      <c r="F73" s="11" t="n">
        <v>111954.4194</v>
      </c>
      <c r="G73" s="6">
        <f>IF($F$113=0,0,F73/$F$113)</f>
        <v/>
      </c>
      <c r="H73" s="5" t="n">
        <v>90676.92999999999</v>
      </c>
      <c r="I73" t="n">
        <v>2</v>
      </c>
      <c r="J73" t="n">
        <v>5</v>
      </c>
      <c r="L73" s="5" t="n">
        <v>317369.26</v>
      </c>
    </row>
    <row r="74">
      <c r="A74" t="inlineStr">
        <is>
          <t>JUNIN</t>
        </is>
      </c>
      <c r="B74" t="inlineStr">
        <is>
          <t>SATIPO</t>
        </is>
      </c>
      <c r="C74" t="inlineStr">
        <is>
          <t>SATIPO</t>
        </is>
      </c>
      <c r="D74" t="inlineStr">
        <is>
          <t>120601</t>
        </is>
      </c>
      <c r="E74" t="inlineStr">
        <is>
          <t>—</t>
        </is>
      </c>
      <c r="F74" s="11" t="n">
        <v>110091.2448</v>
      </c>
      <c r="G74" s="6">
        <f>IF($F$113=0,0,F74/$F$113)</f>
        <v/>
      </c>
      <c r="H74" s="5" t="n">
        <v>89167.86</v>
      </c>
      <c r="I74" t="n">
        <v>4</v>
      </c>
      <c r="J74" t="n">
        <v>3</v>
      </c>
      <c r="K74" t="n">
        <v>2</v>
      </c>
      <c r="L74" s="5" t="n">
        <v>267503.59</v>
      </c>
    </row>
    <row r="75">
      <c r="A75" t="inlineStr">
        <is>
          <t>HUANUCO</t>
        </is>
      </c>
      <c r="B75" t="inlineStr">
        <is>
          <t>LEONCIO PRADO</t>
        </is>
      </c>
      <c r="C75" t="inlineStr">
        <is>
          <t>RUPA-RUPA</t>
        </is>
      </c>
      <c r="D75" t="inlineStr">
        <is>
          <t>100601</t>
        </is>
      </c>
      <c r="E75" t="inlineStr">
        <is>
          <t>—</t>
        </is>
      </c>
      <c r="F75" s="11" t="n">
        <v>108393.3932</v>
      </c>
      <c r="G75" s="6">
        <f>IF($F$113=0,0,F75/$F$113)</f>
        <v/>
      </c>
      <c r="H75" s="5" t="n">
        <v>87792.7</v>
      </c>
      <c r="I75" t="n">
        <v>4</v>
      </c>
      <c r="J75" t="n">
        <v>3</v>
      </c>
      <c r="K75" t="n">
        <v>2</v>
      </c>
      <c r="L75" s="5" t="n">
        <v>263378.09</v>
      </c>
    </row>
    <row r="76">
      <c r="A76" t="inlineStr">
        <is>
          <t>LIMA</t>
        </is>
      </c>
      <c r="B76" t="inlineStr">
        <is>
          <t>CAÑETE</t>
        </is>
      </c>
      <c r="C76" t="inlineStr">
        <is>
          <t>SAN VICENTE DE CAÑETE</t>
        </is>
      </c>
      <c r="D76" t="inlineStr">
        <is>
          <t>150501</t>
        </is>
      </c>
      <c r="E76" t="inlineStr">
        <is>
          <t>—</t>
        </is>
      </c>
      <c r="F76" s="11" t="n">
        <v>105279.8289</v>
      </c>
      <c r="G76" s="6">
        <f>IF($F$113=0,0,F76/$F$113)</f>
        <v/>
      </c>
      <c r="H76" s="5" t="n">
        <v>85270.88</v>
      </c>
      <c r="I76" t="n">
        <v>3</v>
      </c>
      <c r="J76" t="n">
        <v>5</v>
      </c>
      <c r="L76" s="5" t="n">
        <v>341083.52</v>
      </c>
    </row>
    <row r="77">
      <c r="A77" t="inlineStr">
        <is>
          <t>LAMBAYEQUE</t>
        </is>
      </c>
      <c r="B77" t="inlineStr">
        <is>
          <t>LAMBAYEQUE</t>
        </is>
      </c>
      <c r="C77" t="inlineStr">
        <is>
          <t>LAMBAYEQUE</t>
        </is>
      </c>
      <c r="D77" t="inlineStr">
        <is>
          <t>140301</t>
        </is>
      </c>
      <c r="E77" t="inlineStr">
        <is>
          <t>—</t>
        </is>
      </c>
      <c r="F77" s="11" t="n">
        <v>104672.2846</v>
      </c>
      <c r="G77" s="6">
        <f>IF($F$113=0,0,F77/$F$113)</f>
        <v/>
      </c>
      <c r="H77" s="5" t="n">
        <v>84778.8</v>
      </c>
      <c r="I77" t="n">
        <v>1</v>
      </c>
      <c r="J77" t="n">
        <v>4</v>
      </c>
      <c r="L77" s="5" t="n">
        <v>211947.01</v>
      </c>
    </row>
    <row r="78">
      <c r="A78" t="inlineStr">
        <is>
          <t>AMAZONAS</t>
        </is>
      </c>
      <c r="B78" t="inlineStr">
        <is>
          <t>UTCUBAMBA</t>
        </is>
      </c>
      <c r="C78" t="inlineStr">
        <is>
          <t>BAGUA GRANDE</t>
        </is>
      </c>
      <c r="D78" t="inlineStr">
        <is>
          <t>010701</t>
        </is>
      </c>
      <c r="E78" t="inlineStr">
        <is>
          <t>—</t>
        </is>
      </c>
      <c r="F78" s="11" t="n">
        <v>101269.8176</v>
      </c>
      <c r="G78" s="6">
        <f>IF($F$113=0,0,F78/$F$113)</f>
        <v/>
      </c>
      <c r="H78" s="5" t="n">
        <v>82022.99000000001</v>
      </c>
      <c r="I78" t="n">
        <v>5</v>
      </c>
      <c r="J78" t="n">
        <v>3</v>
      </c>
      <c r="K78" t="n">
        <v>3</v>
      </c>
      <c r="L78" s="5" t="n">
        <v>300750.97</v>
      </c>
    </row>
    <row r="79">
      <c r="A79" t="inlineStr">
        <is>
          <t>AREQUIPA</t>
        </is>
      </c>
      <c r="B79" t="inlineStr">
        <is>
          <t>AREQUIPA</t>
        </is>
      </c>
      <c r="C79" t="inlineStr">
        <is>
          <t>PAUCARPATA</t>
        </is>
      </c>
      <c r="D79" t="inlineStr">
        <is>
          <t>040112</t>
        </is>
      </c>
      <c r="E79" t="inlineStr">
        <is>
          <t>—</t>
        </is>
      </c>
      <c r="F79" s="11" t="n">
        <v>100494.3495</v>
      </c>
      <c r="G79" s="6">
        <f>IF($F$113=0,0,F79/$F$113)</f>
        <v/>
      </c>
      <c r="H79" s="5" t="n">
        <v>81394.89999999999</v>
      </c>
      <c r="I79" t="n">
        <v>5</v>
      </c>
      <c r="J79" t="n">
        <v>4</v>
      </c>
      <c r="K79" t="n">
        <v>2</v>
      </c>
      <c r="L79" s="5" t="n">
        <v>298447.98</v>
      </c>
    </row>
    <row r="80">
      <c r="A80" t="inlineStr">
        <is>
          <t>MADRE DE DIOS</t>
        </is>
      </c>
      <c r="B80" t="inlineStr">
        <is>
          <t>TAMBOPATA</t>
        </is>
      </c>
      <c r="C80" t="inlineStr">
        <is>
          <t>TAMBOPATA</t>
        </is>
      </c>
      <c r="D80" t="inlineStr">
        <is>
          <t>170101</t>
        </is>
      </c>
      <c r="E80" t="inlineStr">
        <is>
          <t>—</t>
        </is>
      </c>
      <c r="F80" s="11" t="n">
        <v>98714.7156</v>
      </c>
      <c r="G80" s="6">
        <f>IF($F$113=0,0,F80/$F$113)</f>
        <v/>
      </c>
      <c r="H80" s="5" t="n">
        <v>79953.5</v>
      </c>
      <c r="I80" t="n">
        <v>3</v>
      </c>
      <c r="J80" t="n">
        <v>2</v>
      </c>
      <c r="K80" t="n">
        <v>2</v>
      </c>
      <c r="L80" s="5" t="n">
        <v>186558.16</v>
      </c>
    </row>
    <row r="81">
      <c r="A81" t="inlineStr">
        <is>
          <t>LIMA</t>
        </is>
      </c>
      <c r="B81" t="inlineStr">
        <is>
          <t>LIMA</t>
        </is>
      </c>
      <c r="C81" t="inlineStr">
        <is>
          <t>VILLA MARIA DEL TRIUNFO</t>
        </is>
      </c>
      <c r="D81" t="inlineStr">
        <is>
          <t>150143</t>
        </is>
      </c>
      <c r="E81" t="inlineStr">
        <is>
          <t>—</t>
        </is>
      </c>
      <c r="F81" s="11" t="n">
        <v>97886.2126</v>
      </c>
      <c r="G81" s="6">
        <f>IF($F$113=0,0,F81/$F$113)</f>
        <v/>
      </c>
      <c r="H81" s="5" t="n">
        <v>79282.46000000001</v>
      </c>
      <c r="I81" t="n">
        <v>4</v>
      </c>
      <c r="J81" t="n">
        <v>1</v>
      </c>
      <c r="L81" s="5" t="n">
        <v>198206.14</v>
      </c>
    </row>
    <row r="82">
      <c r="A82" t="inlineStr">
        <is>
          <t>TUMBES</t>
        </is>
      </c>
      <c r="B82" t="inlineStr">
        <is>
          <t>TUMBES</t>
        </is>
      </c>
      <c r="C82" t="inlineStr">
        <is>
          <t>TUMBES</t>
        </is>
      </c>
      <c r="D82" t="inlineStr">
        <is>
          <t>240101</t>
        </is>
      </c>
      <c r="E82" t="inlineStr">
        <is>
          <t>—</t>
        </is>
      </c>
      <c r="F82" s="11" t="n">
        <v>95995.458</v>
      </c>
      <c r="G82" s="6">
        <f>IF($F$113=0,0,F82/$F$113)</f>
        <v/>
      </c>
      <c r="H82" s="5" t="n">
        <v>77751.05</v>
      </c>
      <c r="I82" t="n">
        <v>3</v>
      </c>
      <c r="J82" t="n">
        <v>5</v>
      </c>
      <c r="K82" t="n">
        <v>4</v>
      </c>
      <c r="L82" s="5" t="n">
        <v>311004.2</v>
      </c>
    </row>
    <row r="83">
      <c r="A83" t="inlineStr">
        <is>
          <t>UCAYALI</t>
        </is>
      </c>
      <c r="B83" t="inlineStr">
        <is>
          <t>CORONEL PORTILLO</t>
        </is>
      </c>
      <c r="C83" t="inlineStr">
        <is>
          <t>YARINACOCHA</t>
        </is>
      </c>
      <c r="D83" t="inlineStr">
        <is>
          <t>250105</t>
        </is>
      </c>
      <c r="E83" t="inlineStr">
        <is>
          <t>—</t>
        </is>
      </c>
      <c r="F83" s="11" t="n">
        <v>92655.7343</v>
      </c>
      <c r="G83" s="6">
        <f>IF($F$113=0,0,F83/$F$113)</f>
        <v/>
      </c>
      <c r="H83" s="5" t="n">
        <v>75046.06</v>
      </c>
      <c r="I83" t="n">
        <v>1</v>
      </c>
      <c r="J83" t="n">
        <v>5</v>
      </c>
      <c r="K83" t="n">
        <v>2</v>
      </c>
      <c r="L83" s="5" t="n">
        <v>200122.82</v>
      </c>
    </row>
    <row r="84">
      <c r="A84" t="inlineStr">
        <is>
          <t>CUSCO</t>
        </is>
      </c>
      <c r="B84" t="inlineStr">
        <is>
          <t>LA CONVENCION</t>
        </is>
      </c>
      <c r="C84" t="inlineStr">
        <is>
          <t>SANTA ANA</t>
        </is>
      </c>
      <c r="D84" t="inlineStr">
        <is>
          <t>080901</t>
        </is>
      </c>
      <c r="E84" t="inlineStr">
        <is>
          <t>—</t>
        </is>
      </c>
      <c r="F84" s="11" t="n">
        <v>92591.28690000001</v>
      </c>
      <c r="G84" s="6">
        <f>IF($F$113=0,0,F84/$F$113)</f>
        <v/>
      </c>
      <c r="H84" s="5" t="n">
        <v>74993.86</v>
      </c>
      <c r="I84" t="n">
        <v>4</v>
      </c>
      <c r="J84" t="n">
        <v>2</v>
      </c>
      <c r="K84" t="n">
        <v>2</v>
      </c>
      <c r="L84" s="5" t="n">
        <v>199983.62</v>
      </c>
    </row>
    <row r="85">
      <c r="A85" t="inlineStr">
        <is>
          <t>CALLAO</t>
        </is>
      </c>
      <c r="B85" t="inlineStr">
        <is>
          <t>CALLAO</t>
        </is>
      </c>
      <c r="C85" t="inlineStr">
        <is>
          <t>BELLAVISTA</t>
        </is>
      </c>
      <c r="D85" t="inlineStr">
        <is>
          <t>070102</t>
        </is>
      </c>
      <c r="E85" t="inlineStr">
        <is>
          <t>—</t>
        </is>
      </c>
      <c r="F85" s="11" t="n">
        <v>92131.6501</v>
      </c>
      <c r="G85" s="6">
        <f>IF($F$113=0,0,F85/$F$113)</f>
        <v/>
      </c>
      <c r="H85" s="5" t="n">
        <v>74621.58</v>
      </c>
      <c r="I85" t="n">
        <v>1</v>
      </c>
      <c r="J85" t="n">
        <v>4</v>
      </c>
      <c r="L85" s="5" t="n">
        <v>186553.94</v>
      </c>
    </row>
    <row r="86">
      <c r="A86" t="inlineStr">
        <is>
          <t>LIMA</t>
        </is>
      </c>
      <c r="B86" t="inlineStr">
        <is>
          <t>HUARAL</t>
        </is>
      </c>
      <c r="C86" t="inlineStr">
        <is>
          <t>HUARAL</t>
        </is>
      </c>
      <c r="D86" t="inlineStr">
        <is>
          <t>150601</t>
        </is>
      </c>
      <c r="E86" t="inlineStr">
        <is>
          <t>—</t>
        </is>
      </c>
      <c r="F86" s="11" t="n">
        <v>91888.31230000001</v>
      </c>
      <c r="G86" s="6">
        <f>IF($F$113=0,0,F86/$F$113)</f>
        <v/>
      </c>
      <c r="H86" s="5" t="n">
        <v>74424.49000000001</v>
      </c>
      <c r="I86" t="n">
        <v>4</v>
      </c>
      <c r="J86" t="n">
        <v>4</v>
      </c>
      <c r="L86" s="5" t="n">
        <v>297697.95</v>
      </c>
    </row>
    <row r="87">
      <c r="A87" t="inlineStr">
        <is>
          <t>SAN MARTIN</t>
        </is>
      </c>
      <c r="B87" t="inlineStr">
        <is>
          <t>RIOJA</t>
        </is>
      </c>
      <c r="C87" t="inlineStr">
        <is>
          <t>RIOJA</t>
        </is>
      </c>
      <c r="D87" t="inlineStr">
        <is>
          <t>220801</t>
        </is>
      </c>
      <c r="E87" t="inlineStr">
        <is>
          <t>—</t>
        </is>
      </c>
      <c r="F87" s="11" t="n">
        <v>88357.0629</v>
      </c>
      <c r="G87" s="6">
        <f>IF($F$113=0,0,F87/$F$113)</f>
        <v/>
      </c>
      <c r="H87" s="5" t="n">
        <v>71564.37</v>
      </c>
      <c r="I87" t="n">
        <v>3</v>
      </c>
      <c r="J87" t="n">
        <v>3</v>
      </c>
      <c r="K87" t="n">
        <v>2</v>
      </c>
      <c r="L87" s="5" t="n">
        <v>190838.32</v>
      </c>
    </row>
    <row r="88">
      <c r="A88" t="inlineStr">
        <is>
          <t>LA LIBERTAD</t>
        </is>
      </c>
      <c r="B88" t="inlineStr">
        <is>
          <t>CHEPEN</t>
        </is>
      </c>
      <c r="C88" t="inlineStr">
        <is>
          <t>CHEPEN</t>
        </is>
      </c>
      <c r="D88" t="inlineStr">
        <is>
          <t>130401</t>
        </is>
      </c>
      <c r="E88" t="inlineStr">
        <is>
          <t>—</t>
        </is>
      </c>
      <c r="F88" s="11" t="n">
        <v>83224.249</v>
      </c>
      <c r="G88" s="6">
        <f>IF($F$113=0,0,F88/$F$113)</f>
        <v/>
      </c>
      <c r="H88" s="5" t="n">
        <v>67407.07000000001</v>
      </c>
      <c r="I88" t="n">
        <v>5</v>
      </c>
      <c r="J88" t="n">
        <v>4</v>
      </c>
      <c r="L88" s="5" t="n">
        <v>303331.82</v>
      </c>
    </row>
    <row r="89">
      <c r="A89" t="inlineStr">
        <is>
          <t>SAN MARTIN</t>
        </is>
      </c>
      <c r="B89" t="inlineStr">
        <is>
          <t>MARISCAL CACERES</t>
        </is>
      </c>
      <c r="C89" t="inlineStr">
        <is>
          <t>JUANJUI</t>
        </is>
      </c>
      <c r="D89" t="inlineStr">
        <is>
          <t>220601</t>
        </is>
      </c>
      <c r="E89" t="inlineStr">
        <is>
          <t>—</t>
        </is>
      </c>
      <c r="F89" s="11" t="n">
        <v>77570.455</v>
      </c>
      <c r="G89" s="6">
        <f>IF($F$113=0,0,F89/$F$113)</f>
        <v/>
      </c>
      <c r="H89" s="5" t="n">
        <v>62827.81</v>
      </c>
      <c r="I89" t="n">
        <v>4</v>
      </c>
      <c r="J89" t="n">
        <v>4</v>
      </c>
      <c r="K89" t="n">
        <v>2</v>
      </c>
      <c r="L89" s="5" t="n">
        <v>209426.03</v>
      </c>
    </row>
    <row r="90">
      <c r="A90" t="inlineStr">
        <is>
          <t>MOQUEGUA</t>
        </is>
      </c>
      <c r="B90" t="inlineStr">
        <is>
          <t>ILO</t>
        </is>
      </c>
      <c r="C90" t="inlineStr">
        <is>
          <t>ILO</t>
        </is>
      </c>
      <c r="D90" t="inlineStr">
        <is>
          <t>180301</t>
        </is>
      </c>
      <c r="E90" t="inlineStr">
        <is>
          <t>—</t>
        </is>
      </c>
      <c r="F90" s="11" t="n">
        <v>76732.73330000001</v>
      </c>
      <c r="G90" s="6">
        <f>IF($F$113=0,0,F90/$F$113)</f>
        <v/>
      </c>
      <c r="H90" s="5" t="n">
        <v>62149.3</v>
      </c>
      <c r="I90" t="n">
        <v>4</v>
      </c>
      <c r="J90" t="n">
        <v>2</v>
      </c>
      <c r="L90" s="5" t="n">
        <v>186447.9</v>
      </c>
    </row>
    <row r="91">
      <c r="A91" t="inlineStr">
        <is>
          <t>LIMA</t>
        </is>
      </c>
      <c r="B91" t="inlineStr">
        <is>
          <t>LIMA</t>
        </is>
      </c>
      <c r="C91" t="inlineStr">
        <is>
          <t>EL AGUSTINO</t>
        </is>
      </c>
      <c r="D91" t="inlineStr">
        <is>
          <t>150111</t>
        </is>
      </c>
      <c r="E91" t="inlineStr">
        <is>
          <t>—</t>
        </is>
      </c>
      <c r="F91" s="11" t="n">
        <v>75625.4382</v>
      </c>
      <c r="G91" s="6">
        <f>IF($F$113=0,0,F91/$F$113)</f>
        <v/>
      </c>
      <c r="H91" s="5" t="n">
        <v>61252.45</v>
      </c>
      <c r="I91" t="n">
        <v>2</v>
      </c>
      <c r="J91" t="n">
        <v>4</v>
      </c>
      <c r="L91" s="5" t="n">
        <v>183757.36</v>
      </c>
    </row>
    <row r="92">
      <c r="A92" t="inlineStr">
        <is>
          <t>JUNIN</t>
        </is>
      </c>
      <c r="B92" t="inlineStr">
        <is>
          <t>CHANCHAMAYO</t>
        </is>
      </c>
      <c r="C92" t="inlineStr">
        <is>
          <t>PICHANAQUI</t>
        </is>
      </c>
      <c r="D92" t="inlineStr">
        <is>
          <t>120303</t>
        </is>
      </c>
      <c r="E92" t="inlineStr">
        <is>
          <t>—</t>
        </is>
      </c>
      <c r="F92" s="11" t="n">
        <v>75107.0088</v>
      </c>
      <c r="G92" s="6">
        <f>IF($F$113=0,0,F92/$F$113)</f>
        <v/>
      </c>
      <c r="H92" s="5" t="n">
        <v>60832.55</v>
      </c>
      <c r="I92" t="n">
        <v>4</v>
      </c>
      <c r="J92" t="n">
        <v>2</v>
      </c>
      <c r="K92" t="n">
        <v>2</v>
      </c>
      <c r="L92" s="5" t="n">
        <v>162220.14</v>
      </c>
    </row>
    <row r="93">
      <c r="A93" t="inlineStr">
        <is>
          <t>APURIMAC</t>
        </is>
      </c>
      <c r="B93" t="inlineStr">
        <is>
          <t>ANDAHUAYLAS</t>
        </is>
      </c>
      <c r="C93" t="inlineStr">
        <is>
          <t>ANDAHUAYLAS</t>
        </is>
      </c>
      <c r="D93" t="inlineStr">
        <is>
          <t>030201</t>
        </is>
      </c>
      <c r="E93" t="inlineStr">
        <is>
          <t>—</t>
        </is>
      </c>
      <c r="F93" s="11" t="n">
        <v>75048.69040000001</v>
      </c>
      <c r="G93" s="6">
        <f>IF($F$113=0,0,F93/$F$113)</f>
        <v/>
      </c>
      <c r="H93" s="5" t="n">
        <v>60785.32</v>
      </c>
      <c r="I93" t="n">
        <v>3</v>
      </c>
      <c r="J93" t="n">
        <v>3</v>
      </c>
      <c r="K93" t="n">
        <v>3</v>
      </c>
      <c r="L93" s="5" t="n">
        <v>182355.95</v>
      </c>
    </row>
    <row r="94">
      <c r="A94" t="inlineStr">
        <is>
          <t>PIURA</t>
        </is>
      </c>
      <c r="B94" t="inlineStr">
        <is>
          <t>PIURA</t>
        </is>
      </c>
      <c r="C94" t="inlineStr">
        <is>
          <t>CASTILLA</t>
        </is>
      </c>
      <c r="D94" t="inlineStr">
        <is>
          <t>200104</t>
        </is>
      </c>
      <c r="E94" t="inlineStr">
        <is>
          <t>—</t>
        </is>
      </c>
      <c r="F94" s="11" t="n">
        <v>72245.35769999999</v>
      </c>
      <c r="G94" s="6">
        <f>IF($F$113=0,0,F94/$F$113)</f>
        <v/>
      </c>
      <c r="H94" s="5" t="n">
        <v>58514.77</v>
      </c>
      <c r="I94" t="n">
        <v>2</v>
      </c>
      <c r="J94" t="n">
        <v>5</v>
      </c>
      <c r="L94" s="5" t="n">
        <v>204801.7</v>
      </c>
    </row>
    <row r="95">
      <c r="A95" t="inlineStr">
        <is>
          <t>LIMA</t>
        </is>
      </c>
      <c r="B95" t="inlineStr">
        <is>
          <t>LIMA</t>
        </is>
      </c>
      <c r="C95" t="inlineStr">
        <is>
          <t>LURIGANCHO</t>
        </is>
      </c>
      <c r="D95" t="inlineStr">
        <is>
          <t>150118</t>
        </is>
      </c>
      <c r="E95" t="inlineStr">
        <is>
          <t>—</t>
        </is>
      </c>
      <c r="F95" s="11" t="n">
        <v>71692.19439999999</v>
      </c>
      <c r="G95" s="6">
        <f>IF($F$113=0,0,F95/$F$113)</f>
        <v/>
      </c>
      <c r="H95" s="5" t="n">
        <v>58066.74</v>
      </c>
      <c r="I95" t="n">
        <v>5</v>
      </c>
      <c r="J95" t="n">
        <v>4</v>
      </c>
      <c r="L95" s="5" t="n">
        <v>261300.33</v>
      </c>
    </row>
    <row r="96">
      <c r="A96" t="inlineStr">
        <is>
          <t>AREQUIPA</t>
        </is>
      </c>
      <c r="B96" t="inlineStr">
        <is>
          <t>AREQUIPA</t>
        </is>
      </c>
      <c r="C96" t="inlineStr">
        <is>
          <t>JACOBO HUNTER</t>
        </is>
      </c>
      <c r="D96" t="inlineStr">
        <is>
          <t>040107</t>
        </is>
      </c>
      <c r="E96" t="inlineStr">
        <is>
          <t>—</t>
        </is>
      </c>
      <c r="F96" s="11" t="n">
        <v>69723.6375</v>
      </c>
      <c r="G96" s="6">
        <f>IF($F$113=0,0,F96/$F$113)</f>
        <v/>
      </c>
      <c r="H96" s="5" t="n">
        <v>56472.32</v>
      </c>
      <c r="I96" t="n">
        <v>4</v>
      </c>
      <c r="J96" t="n">
        <v>4</v>
      </c>
      <c r="L96" s="5" t="n">
        <v>225889.27</v>
      </c>
    </row>
    <row r="97">
      <c r="A97" t="inlineStr">
        <is>
          <t>CUSCO</t>
        </is>
      </c>
      <c r="B97" t="inlineStr">
        <is>
          <t>CUSCO</t>
        </is>
      </c>
      <c r="C97" t="inlineStr">
        <is>
          <t>SAN JERONIMO</t>
        </is>
      </c>
      <c r="D97" t="inlineStr">
        <is>
          <t>080104</t>
        </is>
      </c>
      <c r="E97" t="inlineStr">
        <is>
          <t>—</t>
        </is>
      </c>
      <c r="F97" s="11" t="n">
        <v>67136.4862</v>
      </c>
      <c r="G97" s="6">
        <f>IF($F$113=0,0,F97/$F$113)</f>
        <v/>
      </c>
      <c r="H97" s="5" t="n">
        <v>54376.87</v>
      </c>
      <c r="I97" t="n">
        <v>4</v>
      </c>
      <c r="J97" t="n">
        <v>2</v>
      </c>
      <c r="K97" t="n">
        <v>3</v>
      </c>
      <c r="L97" s="5" t="n">
        <v>163130.6</v>
      </c>
    </row>
    <row r="98">
      <c r="A98" t="inlineStr">
        <is>
          <t>APURIMAC</t>
        </is>
      </c>
      <c r="B98" t="inlineStr">
        <is>
          <t>ABANCAY</t>
        </is>
      </c>
      <c r="C98" t="inlineStr">
        <is>
          <t>ABANCAY</t>
        </is>
      </c>
      <c r="D98" t="inlineStr">
        <is>
          <t>030101</t>
        </is>
      </c>
      <c r="E98" t="inlineStr">
        <is>
          <t>—</t>
        </is>
      </c>
      <c r="F98" s="11" t="n">
        <v>66977.2925</v>
      </c>
      <c r="G98" s="6">
        <f>IF($F$113=0,0,F98/$F$113)</f>
        <v/>
      </c>
      <c r="H98" s="5" t="n">
        <v>54247.93</v>
      </c>
      <c r="I98" t="n">
        <v>4</v>
      </c>
      <c r="J98" t="n">
        <v>2</v>
      </c>
      <c r="K98" t="n">
        <v>3</v>
      </c>
      <c r="L98" s="5" t="n">
        <v>162743.79</v>
      </c>
    </row>
    <row r="99">
      <c r="A99" t="inlineStr">
        <is>
          <t>AREQUIPA</t>
        </is>
      </c>
      <c r="B99" t="inlineStr">
        <is>
          <t>CAMANA</t>
        </is>
      </c>
      <c r="C99" t="inlineStr">
        <is>
          <t>CAMANA</t>
        </is>
      </c>
      <c r="D99" t="inlineStr">
        <is>
          <t>040201</t>
        </is>
      </c>
      <c r="E99" t="inlineStr">
        <is>
          <t>—</t>
        </is>
      </c>
      <c r="F99" s="11" t="n">
        <v>65456.4257</v>
      </c>
      <c r="G99" s="6">
        <f>IF($F$113=0,0,F99/$F$113)</f>
        <v/>
      </c>
      <c r="H99" s="5" t="n">
        <v>53016.11</v>
      </c>
      <c r="I99" t="n">
        <v>4</v>
      </c>
      <c r="J99" t="n">
        <v>4</v>
      </c>
      <c r="L99" s="5" t="n">
        <v>212064.44</v>
      </c>
    </row>
    <row r="100">
      <c r="A100" t="inlineStr">
        <is>
          <t>LIMA</t>
        </is>
      </c>
      <c r="B100" t="inlineStr">
        <is>
          <t>CAÑETE</t>
        </is>
      </c>
      <c r="C100" t="inlineStr">
        <is>
          <t>MALA</t>
        </is>
      </c>
      <c r="D100" t="inlineStr">
        <is>
          <t>150509</t>
        </is>
      </c>
      <c r="E100" t="inlineStr">
        <is>
          <t>—</t>
        </is>
      </c>
      <c r="F100" s="11" t="n">
        <v>64549.1418</v>
      </c>
      <c r="G100" s="6">
        <f>IF($F$113=0,0,F100/$F$113)</f>
        <v/>
      </c>
      <c r="H100" s="5" t="n">
        <v>52281.26</v>
      </c>
      <c r="I100" t="n">
        <v>3</v>
      </c>
      <c r="J100" t="n">
        <v>3</v>
      </c>
      <c r="L100" s="5" t="n">
        <v>156843.78</v>
      </c>
    </row>
    <row r="101">
      <c r="A101" t="inlineStr">
        <is>
          <t>SAN MARTIN</t>
        </is>
      </c>
      <c r="B101" t="inlineStr">
        <is>
          <t>BELLAVISTA</t>
        </is>
      </c>
      <c r="C101" t="inlineStr">
        <is>
          <t>BELLAVISTA</t>
        </is>
      </c>
      <c r="D101" t="inlineStr">
        <is>
          <t>220201</t>
        </is>
      </c>
      <c r="E101" t="inlineStr">
        <is>
          <t>—</t>
        </is>
      </c>
      <c r="F101" s="11" t="n">
        <v>61270.4639</v>
      </c>
      <c r="G101" s="6">
        <f>IF($F$113=0,0,F101/$F$113)</f>
        <v/>
      </c>
      <c r="H101" s="5" t="n">
        <v>49625.71</v>
      </c>
      <c r="I101" t="n">
        <v>4</v>
      </c>
      <c r="J101" t="n">
        <v>4</v>
      </c>
      <c r="K101" t="n">
        <v>3</v>
      </c>
      <c r="L101" s="5" t="n">
        <v>181960.94</v>
      </c>
    </row>
    <row r="102">
      <c r="A102" t="inlineStr">
        <is>
          <t>LAMBAYEQUE</t>
        </is>
      </c>
      <c r="B102" t="inlineStr">
        <is>
          <t>CHICLAYO</t>
        </is>
      </c>
      <c r="C102" t="inlineStr">
        <is>
          <t>JOSE LEONARDO ORTIZ</t>
        </is>
      </c>
      <c r="D102" t="inlineStr">
        <is>
          <t>140105</t>
        </is>
      </c>
      <c r="E102" t="inlineStr">
        <is>
          <t>—</t>
        </is>
      </c>
      <c r="F102" s="11" t="n">
        <v>60633.7949</v>
      </c>
      <c r="G102" s="6">
        <f>IF($F$113=0,0,F102/$F$113)</f>
        <v/>
      </c>
      <c r="H102" s="5" t="n">
        <v>49110.04</v>
      </c>
      <c r="I102" t="n">
        <v>1</v>
      </c>
      <c r="J102" t="n">
        <v>4</v>
      </c>
      <c r="L102" s="5" t="n">
        <v>122775.11</v>
      </c>
    </row>
    <row r="103">
      <c r="A103" t="inlineStr">
        <is>
          <t>AREQUIPA</t>
        </is>
      </c>
      <c r="B103" t="inlineStr">
        <is>
          <t>CAYLLOMA</t>
        </is>
      </c>
      <c r="C103" t="inlineStr">
        <is>
          <t>MAJES</t>
        </is>
      </c>
      <c r="D103" t="inlineStr">
        <is>
          <t>040520</t>
        </is>
      </c>
      <c r="E103" t="inlineStr">
        <is>
          <t>—</t>
        </is>
      </c>
      <c r="F103" s="11" t="n">
        <v>59768.4725</v>
      </c>
      <c r="G103" s="6">
        <f>IF($F$113=0,0,F103/$F$113)</f>
        <v/>
      </c>
      <c r="H103" s="5" t="n">
        <v>48409.18</v>
      </c>
      <c r="I103" t="n">
        <v>4</v>
      </c>
      <c r="J103" t="n">
        <v>4</v>
      </c>
      <c r="L103" s="5" t="n">
        <v>193636.72</v>
      </c>
    </row>
    <row r="104">
      <c r="A104" t="inlineStr">
        <is>
          <t>PIURA</t>
        </is>
      </c>
      <c r="B104" t="inlineStr">
        <is>
          <t>TALARA</t>
        </is>
      </c>
      <c r="C104" t="inlineStr">
        <is>
          <t>PARIÑAS</t>
        </is>
      </c>
      <c r="D104" t="inlineStr">
        <is>
          <t>200701</t>
        </is>
      </c>
      <c r="E104" t="inlineStr">
        <is>
          <t>—</t>
        </is>
      </c>
      <c r="F104" s="11" t="n">
        <v>59366.098</v>
      </c>
      <c r="G104" s="6">
        <f>IF($F$113=0,0,F104/$F$113)</f>
        <v/>
      </c>
      <c r="H104" s="5" t="n">
        <v>48083.28</v>
      </c>
      <c r="I104" t="n">
        <v>3</v>
      </c>
      <c r="J104" t="n">
        <v>4</v>
      </c>
      <c r="K104" t="n">
        <v>3</v>
      </c>
      <c r="L104" s="5" t="n">
        <v>160277.6</v>
      </c>
    </row>
    <row r="105">
      <c r="A105" t="inlineStr">
        <is>
          <t>MOQUEGUA</t>
        </is>
      </c>
      <c r="B105" t="inlineStr">
        <is>
          <t>MARISCAL NIETO</t>
        </is>
      </c>
      <c r="C105" t="inlineStr">
        <is>
          <t>MOQUEGUA</t>
        </is>
      </c>
      <c r="D105" t="inlineStr">
        <is>
          <t>180101</t>
        </is>
      </c>
      <c r="E105" t="inlineStr">
        <is>
          <t>—</t>
        </is>
      </c>
      <c r="F105" s="11" t="n">
        <v>57008.0398</v>
      </c>
      <c r="G105" s="6">
        <f>IF($F$113=0,0,F105/$F$113)</f>
        <v/>
      </c>
      <c r="H105" s="5" t="n">
        <v>46173.38</v>
      </c>
      <c r="I105" t="n">
        <v>4</v>
      </c>
      <c r="J105" t="n">
        <v>4</v>
      </c>
      <c r="L105" s="5" t="n">
        <v>184693.53</v>
      </c>
    </row>
    <row r="106">
      <c r="A106" t="inlineStr">
        <is>
          <t>JUNIN</t>
        </is>
      </c>
      <c r="B106" t="inlineStr">
        <is>
          <t>TARMA</t>
        </is>
      </c>
      <c r="C106" t="inlineStr">
        <is>
          <t>TARMA</t>
        </is>
      </c>
      <c r="D106" t="inlineStr">
        <is>
          <t>120701</t>
        </is>
      </c>
      <c r="E106" t="inlineStr">
        <is>
          <t>—</t>
        </is>
      </c>
      <c r="F106" s="11" t="n">
        <v>55501.5805</v>
      </c>
      <c r="G106" s="6">
        <f>IF($F$113=0,0,F106/$F$113)</f>
        <v/>
      </c>
      <c r="H106" s="5" t="n">
        <v>44953.23</v>
      </c>
      <c r="I106" t="n">
        <v>5</v>
      </c>
      <c r="J106" t="n">
        <v>2</v>
      </c>
      <c r="K106" t="n">
        <v>5</v>
      </c>
      <c r="L106" s="5" t="n">
        <v>179812.93</v>
      </c>
    </row>
    <row r="107">
      <c r="A107" t="inlineStr">
        <is>
          <t>JUNIN</t>
        </is>
      </c>
      <c r="B107" t="inlineStr">
        <is>
          <t>YAULI</t>
        </is>
      </c>
      <c r="C107" t="inlineStr">
        <is>
          <t>LA OROYA</t>
        </is>
      </c>
      <c r="D107" t="inlineStr">
        <is>
          <t>120801</t>
        </is>
      </c>
      <c r="E107" t="inlineStr">
        <is>
          <t>—</t>
        </is>
      </c>
      <c r="F107" s="11" t="n">
        <v>54926.7443</v>
      </c>
      <c r="G107" s="6">
        <f>IF($F$113=0,0,F107/$F$113)</f>
        <v/>
      </c>
      <c r="H107" s="5" t="n">
        <v>44487.65</v>
      </c>
      <c r="I107" t="n">
        <v>5</v>
      </c>
      <c r="J107" t="n">
        <v>2</v>
      </c>
      <c r="K107" t="n">
        <v>4</v>
      </c>
      <c r="L107" s="5" t="n">
        <v>163121.37</v>
      </c>
    </row>
    <row r="108">
      <c r="A108" t="inlineStr">
        <is>
          <t>CUSCO</t>
        </is>
      </c>
      <c r="B108" t="inlineStr">
        <is>
          <t>ESPINAR</t>
        </is>
      </c>
      <c r="C108" t="inlineStr">
        <is>
          <t>ESPINAR</t>
        </is>
      </c>
      <c r="D108" t="inlineStr">
        <is>
          <t>080801</t>
        </is>
      </c>
      <c r="E108" t="inlineStr">
        <is>
          <t>—</t>
        </is>
      </c>
      <c r="F108" s="11" t="n">
        <v>54408.7426</v>
      </c>
      <c r="G108" s="6">
        <f>IF($F$113=0,0,F108/$F$113)</f>
        <v/>
      </c>
      <c r="H108" s="5" t="n">
        <v>44068.09</v>
      </c>
      <c r="I108" t="n">
        <v>3</v>
      </c>
      <c r="J108" t="n">
        <v>3</v>
      </c>
      <c r="K108" t="n">
        <v>3</v>
      </c>
      <c r="L108" s="5" t="n">
        <v>132204.28</v>
      </c>
    </row>
    <row r="109">
      <c r="A109" t="inlineStr">
        <is>
          <t>LIMA</t>
        </is>
      </c>
      <c r="B109" t="inlineStr">
        <is>
          <t>HUARAL</t>
        </is>
      </c>
      <c r="C109" t="inlineStr">
        <is>
          <t>CHANCAY</t>
        </is>
      </c>
      <c r="D109" t="inlineStr">
        <is>
          <t>150605</t>
        </is>
      </c>
      <c r="E109" t="inlineStr">
        <is>
          <t>—</t>
        </is>
      </c>
      <c r="F109" s="11" t="n">
        <v>44673.545</v>
      </c>
      <c r="G109" s="6">
        <f>IF($F$113=0,0,F109/$F$113)</f>
        <v/>
      </c>
      <c r="H109" s="5" t="n">
        <v>36183.12</v>
      </c>
      <c r="I109" t="n">
        <v>3</v>
      </c>
      <c r="J109" t="n">
        <v>4</v>
      </c>
      <c r="L109" s="5" t="n">
        <v>126640.91</v>
      </c>
    </row>
    <row r="110">
      <c r="A110" t="inlineStr">
        <is>
          <t>PIURA</t>
        </is>
      </c>
      <c r="B110" t="inlineStr">
        <is>
          <t>PAITA</t>
        </is>
      </c>
      <c r="C110" t="inlineStr">
        <is>
          <t>PAITA</t>
        </is>
      </c>
      <c r="D110" t="inlineStr">
        <is>
          <t>200501</t>
        </is>
      </c>
      <c r="E110" t="inlineStr">
        <is>
          <t>—</t>
        </is>
      </c>
      <c r="F110" s="11" t="n">
        <v>37319.4209</v>
      </c>
      <c r="G110" s="6">
        <f>IF($F$113=0,0,F110/$F$113)</f>
        <v/>
      </c>
      <c r="H110" s="5" t="n">
        <v>30226.68</v>
      </c>
      <c r="I110" t="n">
        <v>2</v>
      </c>
      <c r="J110" t="n">
        <v>4</v>
      </c>
      <c r="L110" s="5" t="n">
        <v>90680.03999999999</v>
      </c>
    </row>
    <row r="111">
      <c r="A111" t="inlineStr">
        <is>
          <t>LA LIBERTAD</t>
        </is>
      </c>
      <c r="B111" t="inlineStr">
        <is>
          <t>PACASMAYO</t>
        </is>
      </c>
      <c r="C111" t="inlineStr">
        <is>
          <t>PACASMAYO</t>
        </is>
      </c>
      <c r="D111" t="inlineStr">
        <is>
          <t>130704</t>
        </is>
      </c>
      <c r="E111" t="inlineStr">
        <is>
          <t>—</t>
        </is>
      </c>
      <c r="F111" s="11" t="n">
        <v>36067.3916</v>
      </c>
      <c r="G111" s="6">
        <f>IF($F$113=0,0,F111/$F$113)</f>
        <v/>
      </c>
      <c r="H111" s="5" t="n">
        <v>29212.61</v>
      </c>
      <c r="I111" t="n">
        <v>2</v>
      </c>
      <c r="J111" t="n">
        <v>4</v>
      </c>
      <c r="L111" s="5" t="n">
        <v>87637.82000000001</v>
      </c>
    </row>
    <row r="112">
      <c r="A112" t="inlineStr">
        <is>
          <t>APURIMAC</t>
        </is>
      </c>
      <c r="B112" t="inlineStr">
        <is>
          <t>COTABAMBAS</t>
        </is>
      </c>
      <c r="C112" t="inlineStr">
        <is>
          <t>CHALLHUAHUACHO</t>
        </is>
      </c>
      <c r="D112" t="inlineStr">
        <is>
          <t>030506</t>
        </is>
      </c>
      <c r="E112" t="inlineStr">
        <is>
          <t>—</t>
        </is>
      </c>
      <c r="F112" s="11" t="n">
        <v>35151.3764</v>
      </c>
      <c r="G112" s="6">
        <f>IF($F$113=0,0,F112/$F$113)</f>
        <v/>
      </c>
      <c r="H112" s="5" t="n">
        <v>28470.68</v>
      </c>
      <c r="I112" t="n">
        <v>3</v>
      </c>
      <c r="J112" t="n">
        <v>3</v>
      </c>
      <c r="K112" t="n">
        <v>3</v>
      </c>
      <c r="L112" s="5" t="n">
        <v>85412.05</v>
      </c>
    </row>
    <row r="113">
      <c r="A113" s="12" t="inlineStr">
        <is>
          <t>TOTAL</t>
        </is>
      </c>
      <c r="B113" t="inlineStr"/>
      <c r="C113" t="inlineStr"/>
      <c r="D113" t="inlineStr"/>
      <c r="E113" t="inlineStr"/>
      <c r="F113" s="13">
        <f>SUM(F5:F112)</f>
        <v/>
      </c>
      <c r="G113" t="inlineStr"/>
      <c r="H113" s="14">
        <f>SUM(H5:H112)</f>
        <v/>
      </c>
      <c r="I113" t="inlineStr"/>
      <c r="J113" t="inlineStr"/>
      <c r="K113" t="inlineStr"/>
      <c r="L113" s="14">
        <f>SUM(L5:L112)</f>
        <v/>
      </c>
    </row>
    <row r="116">
      <c r="A116" s="15" t="inlineStr">
        <is>
          <t>Detalle por colocaciones (Miles S/)</t>
        </is>
      </c>
    </row>
    <row r="117">
      <c r="A117" s="3" t="inlineStr">
        <is>
          <t>Distrito</t>
        </is>
      </c>
      <c r="B117" s="3" t="inlineStr">
        <is>
          <t>Ubigeo</t>
        </is>
      </c>
      <c r="C117" s="3" t="inlineStr">
        <is>
          <t>Mineral</t>
        </is>
      </c>
      <c r="D117" s="3" t="inlineStr">
        <is>
          <t>Unidad</t>
        </is>
      </c>
      <c r="E117" s="3" t="inlineStr">
        <is>
          <t>Cantidad (orig.)</t>
        </is>
      </c>
      <c r="F117" s="3" t="inlineStr">
        <is>
          <t>TMF equiv.</t>
        </is>
      </c>
    </row>
    <row r="118">
      <c r="A118" t="inlineStr">
        <is>
          <t>SAN ISIDRO</t>
        </is>
      </c>
      <c r="B118" t="inlineStr">
        <is>
          <t>150131</t>
        </is>
      </c>
      <c r="C118" t="inlineStr">
        <is>
          <t>Créditos</t>
        </is>
      </c>
      <c r="D118" t="inlineStr">
        <is>
          <t>Miles S/</t>
        </is>
      </c>
      <c r="E118" s="11" t="n">
        <v>32189436.5002</v>
      </c>
      <c r="F118" s="16" t="n">
        <v>32189436.50022</v>
      </c>
    </row>
    <row r="119">
      <c r="A119" t="inlineStr">
        <is>
          <t>MIRAFLORES</t>
        </is>
      </c>
      <c r="B119" t="inlineStr">
        <is>
          <t>150122</t>
        </is>
      </c>
      <c r="C119" t="inlineStr">
        <is>
          <t>Créditos</t>
        </is>
      </c>
      <c r="D119" t="inlineStr">
        <is>
          <t>Miles S/</t>
        </is>
      </c>
      <c r="E119" s="11" t="n">
        <v>4255335.2273</v>
      </c>
      <c r="F119" s="16" t="n">
        <v>4255335.22725</v>
      </c>
    </row>
    <row r="120">
      <c r="A120" t="inlineStr">
        <is>
          <t>SANTIAGO DE SURCO</t>
        </is>
      </c>
      <c r="B120" t="inlineStr">
        <is>
          <t>150140</t>
        </is>
      </c>
      <c r="C120" t="inlineStr">
        <is>
          <t>Créditos</t>
        </is>
      </c>
      <c r="D120" t="inlineStr">
        <is>
          <t>Miles S/</t>
        </is>
      </c>
      <c r="E120" s="11" t="n">
        <v>3842771.8868</v>
      </c>
      <c r="F120" s="16" t="n">
        <v>3842771.88677</v>
      </c>
    </row>
    <row r="121">
      <c r="A121" t="inlineStr">
        <is>
          <t>LIMA</t>
        </is>
      </c>
      <c r="B121" t="inlineStr">
        <is>
          <t>150101</t>
        </is>
      </c>
      <c r="C121" t="inlineStr">
        <is>
          <t>Créditos</t>
        </is>
      </c>
      <c r="D121" t="inlineStr">
        <is>
          <t>Miles S/</t>
        </is>
      </c>
      <c r="E121" s="11" t="n">
        <v>2659842.7666</v>
      </c>
      <c r="F121" s="16" t="n">
        <v>2659842.76658</v>
      </c>
    </row>
    <row r="122">
      <c r="A122" t="inlineStr">
        <is>
          <t>TRUJILLO</t>
        </is>
      </c>
      <c r="B122" t="inlineStr">
        <is>
          <t>130101</t>
        </is>
      </c>
      <c r="C122" t="inlineStr">
        <is>
          <t>Créditos</t>
        </is>
      </c>
      <c r="D122" t="inlineStr">
        <is>
          <t>Miles S/</t>
        </is>
      </c>
      <c r="E122" s="11" t="n">
        <v>2290985.8698</v>
      </c>
      <c r="F122" s="16" t="n">
        <v>2290985.86976</v>
      </c>
    </row>
    <row r="123">
      <c r="A123" t="inlineStr">
        <is>
          <t>LA MOLINA</t>
        </is>
      </c>
      <c r="B123" t="inlineStr">
        <is>
          <t>150114</t>
        </is>
      </c>
      <c r="C123" t="inlineStr">
        <is>
          <t>Créditos</t>
        </is>
      </c>
      <c r="D123" t="inlineStr">
        <is>
          <t>Miles S/</t>
        </is>
      </c>
      <c r="E123" s="11" t="n">
        <v>1872065.4491</v>
      </c>
      <c r="F123" s="16" t="n">
        <v>1872065.44911</v>
      </c>
    </row>
    <row r="124">
      <c r="A124" t="inlineStr">
        <is>
          <t>SAN BORJA</t>
        </is>
      </c>
      <c r="B124" t="inlineStr">
        <is>
          <t>150130</t>
        </is>
      </c>
      <c r="C124" t="inlineStr">
        <is>
          <t>Créditos</t>
        </is>
      </c>
      <c r="D124" t="inlineStr">
        <is>
          <t>Miles S/</t>
        </is>
      </c>
      <c r="E124" s="11" t="n">
        <v>1712995.3665</v>
      </c>
      <c r="F124" s="16" t="n">
        <v>1712995.36647</v>
      </c>
    </row>
    <row r="125">
      <c r="A125" t="inlineStr">
        <is>
          <t>MAGDALENA DEL MAR</t>
        </is>
      </c>
      <c r="B125" t="inlineStr">
        <is>
          <t>150120</t>
        </is>
      </c>
      <c r="C125" t="inlineStr">
        <is>
          <t>Créditos</t>
        </is>
      </c>
      <c r="D125" t="inlineStr">
        <is>
          <t>Miles S/</t>
        </is>
      </c>
      <c r="E125" s="11" t="n">
        <v>1681349.2503</v>
      </c>
      <c r="F125" s="16" t="n">
        <v>1681349.25032</v>
      </c>
    </row>
    <row r="126">
      <c r="A126" t="inlineStr">
        <is>
          <t>JESUS MARIA</t>
        </is>
      </c>
      <c r="B126" t="inlineStr">
        <is>
          <t>150113</t>
        </is>
      </c>
      <c r="C126" t="inlineStr">
        <is>
          <t>Créditos</t>
        </is>
      </c>
      <c r="D126" t="inlineStr">
        <is>
          <t>Miles S/</t>
        </is>
      </c>
      <c r="E126" s="11" t="n">
        <v>1418303.4302</v>
      </c>
      <c r="F126" s="16" t="n">
        <v>1418303.43021</v>
      </c>
    </row>
    <row r="127">
      <c r="A127" t="inlineStr">
        <is>
          <t>PIURA</t>
        </is>
      </c>
      <c r="B127" t="inlineStr">
        <is>
          <t>200101</t>
        </is>
      </c>
      <c r="C127" t="inlineStr">
        <is>
          <t>Créditos</t>
        </is>
      </c>
      <c r="D127" t="inlineStr">
        <is>
          <t>Miles S/</t>
        </is>
      </c>
      <c r="E127" s="11" t="n">
        <v>1403609.904</v>
      </c>
      <c r="F127" s="16" t="n">
        <v>1403609.90402</v>
      </c>
    </row>
    <row r="128">
      <c r="A128" t="inlineStr">
        <is>
          <t>CHICLAYO</t>
        </is>
      </c>
      <c r="B128" t="inlineStr">
        <is>
          <t>140101</t>
        </is>
      </c>
      <c r="C128" t="inlineStr">
        <is>
          <t>Créditos</t>
        </is>
      </c>
      <c r="D128" t="inlineStr">
        <is>
          <t>Miles S/</t>
        </is>
      </c>
      <c r="E128" s="11" t="n">
        <v>1377999.6577</v>
      </c>
      <c r="F128" s="16" t="n">
        <v>1377999.65768</v>
      </c>
    </row>
    <row r="129">
      <c r="A129" t="inlineStr">
        <is>
          <t>AREQUIPA</t>
        </is>
      </c>
      <c r="B129" t="inlineStr">
        <is>
          <t>040101</t>
        </is>
      </c>
      <c r="C129" t="inlineStr">
        <is>
          <t>Créditos</t>
        </is>
      </c>
      <c r="D129" t="inlineStr">
        <is>
          <t>Miles S/</t>
        </is>
      </c>
      <c r="E129" s="11" t="n">
        <v>1285391.8406</v>
      </c>
      <c r="F129" s="16" t="n">
        <v>1285391.84063</v>
      </c>
    </row>
    <row r="130">
      <c r="A130" t="inlineStr">
        <is>
          <t>CALLAO</t>
        </is>
      </c>
      <c r="B130" t="inlineStr">
        <is>
          <t>070101</t>
        </is>
      </c>
      <c r="C130" t="inlineStr">
        <is>
          <t>Créditos</t>
        </is>
      </c>
      <c r="D130" t="inlineStr">
        <is>
          <t>Miles S/</t>
        </is>
      </c>
      <c r="E130" s="11" t="n">
        <v>1228971.1778</v>
      </c>
      <c r="F130" s="16" t="n">
        <v>1228971.17781</v>
      </c>
    </row>
    <row r="131">
      <c r="A131" t="inlineStr">
        <is>
          <t>LA VICTORIA</t>
        </is>
      </c>
      <c r="B131" t="inlineStr">
        <is>
          <t>150115</t>
        </is>
      </c>
      <c r="C131" t="inlineStr">
        <is>
          <t>Créditos</t>
        </is>
      </c>
      <c r="D131" t="inlineStr">
        <is>
          <t>Miles S/</t>
        </is>
      </c>
      <c r="E131" s="11" t="n">
        <v>1220468.0755</v>
      </c>
      <c r="F131" s="16" t="n">
        <v>1220468.07554</v>
      </c>
    </row>
    <row r="132">
      <c r="A132" t="inlineStr">
        <is>
          <t>SAN MIGUEL</t>
        </is>
      </c>
      <c r="B132" t="inlineStr">
        <is>
          <t>150136</t>
        </is>
      </c>
      <c r="C132" t="inlineStr">
        <is>
          <t>Créditos</t>
        </is>
      </c>
      <c r="D132" t="inlineStr">
        <is>
          <t>Miles S/</t>
        </is>
      </c>
      <c r="E132" s="11" t="n">
        <v>1135079.5737</v>
      </c>
      <c r="F132" s="16" t="n">
        <v>1135079.57372</v>
      </c>
    </row>
    <row r="133">
      <c r="A133" t="inlineStr">
        <is>
          <t>COMAS</t>
        </is>
      </c>
      <c r="B133" t="inlineStr">
        <is>
          <t>150110</t>
        </is>
      </c>
      <c r="C133" t="inlineStr">
        <is>
          <t>Créditos</t>
        </is>
      </c>
      <c r="D133" t="inlineStr">
        <is>
          <t>Miles S/</t>
        </is>
      </c>
      <c r="E133" s="11" t="n">
        <v>855669.8868</v>
      </c>
      <c r="F133" s="16" t="n">
        <v>855669.8868</v>
      </c>
    </row>
    <row r="134">
      <c r="A134" t="inlineStr">
        <is>
          <t>HUANCAYO</t>
        </is>
      </c>
      <c r="B134" t="inlineStr">
        <is>
          <t>120101</t>
        </is>
      </c>
      <c r="C134" t="inlineStr">
        <is>
          <t>Créditos</t>
        </is>
      </c>
      <c r="D134" t="inlineStr">
        <is>
          <t>Miles S/</t>
        </is>
      </c>
      <c r="E134" s="11" t="n">
        <v>805169.6564</v>
      </c>
      <c r="F134" s="16" t="n">
        <v>805169.6564</v>
      </c>
    </row>
    <row r="135">
      <c r="A135" t="inlineStr">
        <is>
          <t>SAN JUAN DE LURIGANCHO</t>
        </is>
      </c>
      <c r="B135" t="inlineStr">
        <is>
          <t>150132</t>
        </is>
      </c>
      <c r="C135" t="inlineStr">
        <is>
          <t>Créditos</t>
        </is>
      </c>
      <c r="D135" t="inlineStr">
        <is>
          <t>Miles S/</t>
        </is>
      </c>
      <c r="E135" s="11" t="n">
        <v>773905.2678</v>
      </c>
      <c r="F135" s="16" t="n">
        <v>773905.26778</v>
      </c>
    </row>
    <row r="136">
      <c r="A136" t="inlineStr">
        <is>
          <t>CUSCO</t>
        </is>
      </c>
      <c r="B136" t="inlineStr">
        <is>
          <t>080101</t>
        </is>
      </c>
      <c r="C136" t="inlineStr">
        <is>
          <t>Créditos</t>
        </is>
      </c>
      <c r="D136" t="inlineStr">
        <is>
          <t>Miles S/</t>
        </is>
      </c>
      <c r="E136" s="11" t="n">
        <v>768689.5294</v>
      </c>
      <c r="F136" s="16" t="n">
        <v>768689.52938</v>
      </c>
    </row>
    <row r="137">
      <c r="A137" t="inlineStr">
        <is>
          <t>INDEPENDENCIA</t>
        </is>
      </c>
      <c r="B137" t="inlineStr">
        <is>
          <t>150112</t>
        </is>
      </c>
      <c r="C137" t="inlineStr">
        <is>
          <t>Créditos</t>
        </is>
      </c>
      <c r="D137" t="inlineStr">
        <is>
          <t>Miles S/</t>
        </is>
      </c>
      <c r="E137" s="11" t="n">
        <v>763084.4375999999</v>
      </c>
      <c r="F137" s="16" t="n">
        <v>763084.4375999999</v>
      </c>
    </row>
    <row r="138">
      <c r="A138" t="inlineStr">
        <is>
          <t>LOS OLIVOS</t>
        </is>
      </c>
      <c r="B138" t="inlineStr">
        <is>
          <t>150117</t>
        </is>
      </c>
      <c r="C138" t="inlineStr">
        <is>
          <t>Créditos</t>
        </is>
      </c>
      <c r="D138" t="inlineStr">
        <is>
          <t>Miles S/</t>
        </is>
      </c>
      <c r="E138" s="11" t="n">
        <v>734872.1858</v>
      </c>
      <c r="F138" s="16" t="n">
        <v>734872.18579</v>
      </c>
    </row>
    <row r="139">
      <c r="A139" t="inlineStr">
        <is>
          <t>MAGDALENA VIEJA</t>
        </is>
      </c>
      <c r="B139" t="inlineStr">
        <is>
          <t>150121</t>
        </is>
      </c>
      <c r="C139" t="inlineStr">
        <is>
          <t>Créditos</t>
        </is>
      </c>
      <c r="D139" t="inlineStr">
        <is>
          <t>Miles S/</t>
        </is>
      </c>
      <c r="E139" s="11" t="n">
        <v>720999.3466</v>
      </c>
      <c r="F139" s="16" t="n">
        <v>720999.34661</v>
      </c>
    </row>
    <row r="140">
      <c r="A140" t="inlineStr">
        <is>
          <t>SAN MARTIN DE PORRES</t>
        </is>
      </c>
      <c r="B140" t="inlineStr">
        <is>
          <t>150135</t>
        </is>
      </c>
      <c r="C140" t="inlineStr">
        <is>
          <t>Créditos</t>
        </is>
      </c>
      <c r="D140" t="inlineStr">
        <is>
          <t>Miles S/</t>
        </is>
      </c>
      <c r="E140" s="11" t="n">
        <v>698102.7449</v>
      </c>
      <c r="F140" s="16" t="n">
        <v>698102.74489</v>
      </c>
    </row>
    <row r="141">
      <c r="A141" t="inlineStr">
        <is>
          <t>ATE</t>
        </is>
      </c>
      <c r="B141" t="inlineStr">
        <is>
          <t>150103</t>
        </is>
      </c>
      <c r="C141" t="inlineStr">
        <is>
          <t>Créditos</t>
        </is>
      </c>
      <c r="D141" t="inlineStr">
        <is>
          <t>Miles S/</t>
        </is>
      </c>
      <c r="E141" s="11" t="n">
        <v>676480.9513</v>
      </c>
      <c r="F141" s="16" t="n">
        <v>676480.95131</v>
      </c>
    </row>
    <row r="142">
      <c r="A142" t="inlineStr">
        <is>
          <t>SAN JUAN DE MIRAFLORES</t>
        </is>
      </c>
      <c r="B142" t="inlineStr">
        <is>
          <t>150133</t>
        </is>
      </c>
      <c r="C142" t="inlineStr">
        <is>
          <t>Créditos</t>
        </is>
      </c>
      <c r="D142" t="inlineStr">
        <is>
          <t>Miles S/</t>
        </is>
      </c>
      <c r="E142" s="11" t="n">
        <v>530042.3215</v>
      </c>
      <c r="F142" s="16" t="n">
        <v>530042.3215</v>
      </c>
    </row>
    <row r="143">
      <c r="A143" t="inlineStr">
        <is>
          <t>CHORRILLOS</t>
        </is>
      </c>
      <c r="B143" t="inlineStr">
        <is>
          <t>150108</t>
        </is>
      </c>
      <c r="C143" t="inlineStr">
        <is>
          <t>Créditos</t>
        </is>
      </c>
      <c r="D143" t="inlineStr">
        <is>
          <t>Miles S/</t>
        </is>
      </c>
      <c r="E143" s="11" t="n">
        <v>529113.591</v>
      </c>
      <c r="F143" s="16" t="n">
        <v>529113.59101</v>
      </c>
    </row>
    <row r="144">
      <c r="A144" t="inlineStr">
        <is>
          <t>CHINCHA ALTA</t>
        </is>
      </c>
      <c r="B144" t="inlineStr">
        <is>
          <t>110201</t>
        </is>
      </c>
      <c r="C144" t="inlineStr">
        <is>
          <t>Créditos</t>
        </is>
      </c>
      <c r="D144" t="inlineStr">
        <is>
          <t>Miles S/</t>
        </is>
      </c>
      <c r="E144" s="11" t="n">
        <v>517318.112</v>
      </c>
      <c r="F144" s="16" t="n">
        <v>517318.11199</v>
      </c>
    </row>
    <row r="145">
      <c r="A145" t="inlineStr">
        <is>
          <t>IQUITOS</t>
        </is>
      </c>
      <c r="B145" t="inlineStr">
        <is>
          <t>160101</t>
        </is>
      </c>
      <c r="C145" t="inlineStr">
        <is>
          <t>Créditos</t>
        </is>
      </c>
      <c r="D145" t="inlineStr">
        <is>
          <t>Miles S/</t>
        </is>
      </c>
      <c r="E145" s="11" t="n">
        <v>514106.0944</v>
      </c>
      <c r="F145" s="16" t="n">
        <v>514106.09443</v>
      </c>
    </row>
    <row r="146">
      <c r="A146" t="inlineStr">
        <is>
          <t>ICA</t>
        </is>
      </c>
      <c r="B146" t="inlineStr">
        <is>
          <t>110101</t>
        </is>
      </c>
      <c r="C146" t="inlineStr">
        <is>
          <t>Créditos</t>
        </is>
      </c>
      <c r="D146" t="inlineStr">
        <is>
          <t>Miles S/</t>
        </is>
      </c>
      <c r="E146" s="11" t="n">
        <v>504353.3946</v>
      </c>
      <c r="F146" s="16" t="n">
        <v>504353.39462</v>
      </c>
    </row>
    <row r="147">
      <c r="A147" t="inlineStr">
        <is>
          <t>LINCE</t>
        </is>
      </c>
      <c r="B147" t="inlineStr">
        <is>
          <t>150116</t>
        </is>
      </c>
      <c r="C147" t="inlineStr">
        <is>
          <t>Créditos</t>
        </is>
      </c>
      <c r="D147" t="inlineStr">
        <is>
          <t>Miles S/</t>
        </is>
      </c>
      <c r="E147" s="11" t="n">
        <v>481111.4792</v>
      </c>
      <c r="F147" s="16" t="n">
        <v>481111.47922</v>
      </c>
    </row>
    <row r="148">
      <c r="A148" t="inlineStr">
        <is>
          <t>SANTA ANITA</t>
        </is>
      </c>
      <c r="B148" t="inlineStr">
        <is>
          <t>150137</t>
        </is>
      </c>
      <c r="C148" t="inlineStr">
        <is>
          <t>Créditos</t>
        </is>
      </c>
      <c r="D148" t="inlineStr">
        <is>
          <t>Miles S/</t>
        </is>
      </c>
      <c r="E148" s="11" t="n">
        <v>446086.333</v>
      </c>
      <c r="F148" s="16" t="n">
        <v>446086.33298</v>
      </c>
    </row>
    <row r="149">
      <c r="A149" t="inlineStr">
        <is>
          <t>CAJAMARCA</t>
        </is>
      </c>
      <c r="B149" t="inlineStr">
        <is>
          <t>060101</t>
        </is>
      </c>
      <c r="C149" t="inlineStr">
        <is>
          <t>Créditos</t>
        </is>
      </c>
      <c r="D149" t="inlineStr">
        <is>
          <t>Miles S/</t>
        </is>
      </c>
      <c r="E149" s="11" t="n">
        <v>442174.9053</v>
      </c>
      <c r="F149" s="16" t="n">
        <v>442174.9053</v>
      </c>
    </row>
    <row r="150">
      <c r="A150" t="inlineStr">
        <is>
          <t>YANAHUARA</t>
        </is>
      </c>
      <c r="B150" t="inlineStr">
        <is>
          <t>040126</t>
        </is>
      </c>
      <c r="C150" t="inlineStr">
        <is>
          <t>Créditos</t>
        </is>
      </c>
      <c r="D150" t="inlineStr">
        <is>
          <t>Miles S/</t>
        </is>
      </c>
      <c r="E150" s="11" t="n">
        <v>432908.9677</v>
      </c>
      <c r="F150" s="16" t="n">
        <v>432908.96769</v>
      </c>
    </row>
    <row r="151">
      <c r="A151" t="inlineStr">
        <is>
          <t>TARAPOTO</t>
        </is>
      </c>
      <c r="B151" t="inlineStr">
        <is>
          <t>220901</t>
        </is>
      </c>
      <c r="C151" t="inlineStr">
        <is>
          <t>Créditos</t>
        </is>
      </c>
      <c r="D151" t="inlineStr">
        <is>
          <t>Miles S/</t>
        </is>
      </c>
      <c r="E151" s="11" t="n">
        <v>430595.2206</v>
      </c>
      <c r="F151" s="16" t="n">
        <v>430595.22064</v>
      </c>
    </row>
    <row r="152">
      <c r="A152" t="inlineStr">
        <is>
          <t>JULIACA</t>
        </is>
      </c>
      <c r="B152" t="inlineStr">
        <is>
          <t>211101</t>
        </is>
      </c>
      <c r="C152" t="inlineStr">
        <is>
          <t>Créditos</t>
        </is>
      </c>
      <c r="D152" t="inlineStr">
        <is>
          <t>Miles S/</t>
        </is>
      </c>
      <c r="E152" s="11" t="n">
        <v>395249.1628</v>
      </c>
      <c r="F152" s="16" t="n">
        <v>395249.16277</v>
      </c>
    </row>
    <row r="153">
      <c r="A153" t="inlineStr">
        <is>
          <t>LA PERLA</t>
        </is>
      </c>
      <c r="B153" t="inlineStr">
        <is>
          <t>070104</t>
        </is>
      </c>
      <c r="C153" t="inlineStr">
        <is>
          <t>Créditos</t>
        </is>
      </c>
      <c r="D153" t="inlineStr">
        <is>
          <t>Miles S/</t>
        </is>
      </c>
      <c r="E153" s="11" t="n">
        <v>388908.9956</v>
      </c>
      <c r="F153" s="16" t="n">
        <v>388908.99563</v>
      </c>
    </row>
    <row r="154">
      <c r="A154" t="inlineStr">
        <is>
          <t>VILLA EL SALVADOR</t>
        </is>
      </c>
      <c r="B154" t="inlineStr">
        <is>
          <t>150142</t>
        </is>
      </c>
      <c r="C154" t="inlineStr">
        <is>
          <t>Créditos</t>
        </is>
      </c>
      <c r="D154" t="inlineStr">
        <is>
          <t>Miles S/</t>
        </is>
      </c>
      <c r="E154" s="11" t="n">
        <v>384176.7448</v>
      </c>
      <c r="F154" s="16" t="n">
        <v>384176.74476</v>
      </c>
    </row>
    <row r="155">
      <c r="A155" t="inlineStr">
        <is>
          <t>BARRANCO</t>
        </is>
      </c>
      <c r="B155" t="inlineStr">
        <is>
          <t>150104</t>
        </is>
      </c>
      <c r="C155" t="inlineStr">
        <is>
          <t>Créditos</t>
        </is>
      </c>
      <c r="D155" t="inlineStr">
        <is>
          <t>Miles S/</t>
        </is>
      </c>
      <c r="E155" s="11" t="n">
        <v>381366.3115</v>
      </c>
      <c r="F155" s="16" t="n">
        <v>381366.31146</v>
      </c>
    </row>
    <row r="156">
      <c r="A156" t="inlineStr">
        <is>
          <t>CALLERIA</t>
        </is>
      </c>
      <c r="B156" t="inlineStr">
        <is>
          <t>250101</t>
        </is>
      </c>
      <c r="C156" t="inlineStr">
        <is>
          <t>Créditos</t>
        </is>
      </c>
      <c r="D156" t="inlineStr">
        <is>
          <t>Miles S/</t>
        </is>
      </c>
      <c r="E156" s="11" t="n">
        <v>375000.7111</v>
      </c>
      <c r="F156" s="16" t="n">
        <v>375000.7111</v>
      </c>
    </row>
    <row r="157">
      <c r="A157" t="inlineStr">
        <is>
          <t>HUANUCO</t>
        </is>
      </c>
      <c r="B157" t="inlineStr">
        <is>
          <t>100101</t>
        </is>
      </c>
      <c r="C157" t="inlineStr">
        <is>
          <t>Créditos</t>
        </is>
      </c>
      <c r="D157" t="inlineStr">
        <is>
          <t>Miles S/</t>
        </is>
      </c>
      <c r="E157" s="11" t="n">
        <v>355336.9198</v>
      </c>
      <c r="F157" s="16" t="n">
        <v>355336.9198</v>
      </c>
    </row>
    <row r="158">
      <c r="A158" t="inlineStr">
        <is>
          <t>TACNA</t>
        </is>
      </c>
      <c r="B158" t="inlineStr">
        <is>
          <t>230101</t>
        </is>
      </c>
      <c r="C158" t="inlineStr">
        <is>
          <t>Créditos</t>
        </is>
      </c>
      <c r="D158" t="inlineStr">
        <is>
          <t>Miles S/</t>
        </is>
      </c>
      <c r="E158" s="11" t="n">
        <v>353051.4709</v>
      </c>
      <c r="F158" s="16" t="n">
        <v>353051.47091</v>
      </c>
    </row>
    <row r="159">
      <c r="A159" t="inlineStr">
        <is>
          <t>CHIMBOTE</t>
        </is>
      </c>
      <c r="B159" t="inlineStr">
        <is>
          <t>021801</t>
        </is>
      </c>
      <c r="C159" t="inlineStr">
        <is>
          <t>Créditos</t>
        </is>
      </c>
      <c r="D159" t="inlineStr">
        <is>
          <t>Miles S/</t>
        </is>
      </c>
      <c r="E159" s="11" t="n">
        <v>351457.3783</v>
      </c>
      <c r="F159" s="16" t="n">
        <v>351457.37828</v>
      </c>
    </row>
    <row r="160">
      <c r="A160" t="inlineStr">
        <is>
          <t>JAEN</t>
        </is>
      </c>
      <c r="B160" t="inlineStr">
        <is>
          <t>060801</t>
        </is>
      </c>
      <c r="C160" t="inlineStr">
        <is>
          <t>Créditos</t>
        </is>
      </c>
      <c r="D160" t="inlineStr">
        <is>
          <t>Miles S/</t>
        </is>
      </c>
      <c r="E160" s="11" t="n">
        <v>324324.5724</v>
      </c>
      <c r="F160" s="16" t="n">
        <v>324324.57242</v>
      </c>
    </row>
    <row r="161">
      <c r="A161" t="inlineStr">
        <is>
          <t>SURQUILLO</t>
        </is>
      </c>
      <c r="B161" t="inlineStr">
        <is>
          <t>150141</t>
        </is>
      </c>
      <c r="C161" t="inlineStr">
        <is>
          <t>Créditos</t>
        </is>
      </c>
      <c r="D161" t="inlineStr">
        <is>
          <t>Miles S/</t>
        </is>
      </c>
      <c r="E161" s="11" t="n">
        <v>308555.4799</v>
      </c>
      <c r="F161" s="16" t="n">
        <v>308555.47987</v>
      </c>
    </row>
    <row r="162">
      <c r="A162" t="inlineStr">
        <is>
          <t>BREÑA</t>
        </is>
      </c>
      <c r="B162" t="inlineStr">
        <is>
          <t>150105</t>
        </is>
      </c>
      <c r="C162" t="inlineStr">
        <is>
          <t>Créditos</t>
        </is>
      </c>
      <c r="D162" t="inlineStr">
        <is>
          <t>Miles S/</t>
        </is>
      </c>
      <c r="E162" s="11" t="n">
        <v>249731.0799</v>
      </c>
      <c r="F162" s="16" t="n">
        <v>249731.07989</v>
      </c>
    </row>
    <row r="163">
      <c r="A163" t="inlineStr">
        <is>
          <t>HUARAZ</t>
        </is>
      </c>
      <c r="B163" t="inlineStr">
        <is>
          <t>020101</t>
        </is>
      </c>
      <c r="C163" t="inlineStr">
        <is>
          <t>Créditos</t>
        </is>
      </c>
      <c r="D163" t="inlineStr">
        <is>
          <t>Miles S/</t>
        </is>
      </c>
      <c r="E163" s="11" t="n">
        <v>239226.17</v>
      </c>
      <c r="F163" s="16" t="n">
        <v>239226.16995</v>
      </c>
    </row>
    <row r="164">
      <c r="A164" t="inlineStr">
        <is>
          <t>PUENTE PIEDRA</t>
        </is>
      </c>
      <c r="B164" t="inlineStr">
        <is>
          <t>150125</t>
        </is>
      </c>
      <c r="C164" t="inlineStr">
        <is>
          <t>Créditos</t>
        </is>
      </c>
      <c r="D164" t="inlineStr">
        <is>
          <t>Miles S/</t>
        </is>
      </c>
      <c r="E164" s="11" t="n">
        <v>233889.5041</v>
      </c>
      <c r="F164" s="16" t="n">
        <v>233889.50409</v>
      </c>
    </row>
    <row r="165">
      <c r="A165" t="inlineStr">
        <is>
          <t>HUACHO</t>
        </is>
      </c>
      <c r="B165" t="inlineStr">
        <is>
          <t>150801</t>
        </is>
      </c>
      <c r="C165" t="inlineStr">
        <is>
          <t>Créditos</t>
        </is>
      </c>
      <c r="D165" t="inlineStr">
        <is>
          <t>Miles S/</t>
        </is>
      </c>
      <c r="E165" s="11" t="n">
        <v>203267.2076</v>
      </c>
      <c r="F165" s="16" t="n">
        <v>203267.20756</v>
      </c>
    </row>
    <row r="166">
      <c r="A166" t="inlineStr">
        <is>
          <t>EL TAMBO</t>
        </is>
      </c>
      <c r="B166" t="inlineStr">
        <is>
          <t>120114</t>
        </is>
      </c>
      <c r="C166" t="inlineStr">
        <is>
          <t>Créditos</t>
        </is>
      </c>
      <c r="D166" t="inlineStr">
        <is>
          <t>Miles S/</t>
        </is>
      </c>
      <c r="E166" s="11" t="n">
        <v>163731.2515</v>
      </c>
      <c r="F166" s="16" t="n">
        <v>163731.25153</v>
      </c>
    </row>
    <row r="167">
      <c r="A167" t="inlineStr">
        <is>
          <t>AYACUCHO</t>
        </is>
      </c>
      <c r="B167" t="inlineStr">
        <is>
          <t>050101</t>
        </is>
      </c>
      <c r="C167" t="inlineStr">
        <is>
          <t>Créditos</t>
        </is>
      </c>
      <c r="D167" t="inlineStr">
        <is>
          <t>Miles S/</t>
        </is>
      </c>
      <c r="E167" s="11" t="n">
        <v>158300.5163</v>
      </c>
      <c r="F167" s="16" t="n">
        <v>158300.5163</v>
      </c>
    </row>
    <row r="168">
      <c r="A168" t="inlineStr">
        <is>
          <t>WANCHAQ</t>
        </is>
      </c>
      <c r="B168" t="inlineStr">
        <is>
          <t>080108</t>
        </is>
      </c>
      <c r="C168" t="inlineStr">
        <is>
          <t>Créditos</t>
        </is>
      </c>
      <c r="D168" t="inlineStr">
        <is>
          <t>Miles S/</t>
        </is>
      </c>
      <c r="E168" s="11" t="n">
        <v>146724.5734</v>
      </c>
      <c r="F168" s="16" t="n">
        <v>146724.5734</v>
      </c>
    </row>
    <row r="169">
      <c r="A169" t="inlineStr">
        <is>
          <t>PUNO</t>
        </is>
      </c>
      <c r="B169" t="inlineStr">
        <is>
          <t>210101</t>
        </is>
      </c>
      <c r="C169" t="inlineStr">
        <is>
          <t>Créditos</t>
        </is>
      </c>
      <c r="D169" t="inlineStr">
        <is>
          <t>Miles S/</t>
        </is>
      </c>
      <c r="E169" s="11" t="n">
        <v>143780.868</v>
      </c>
      <c r="F169" s="16" t="n">
        <v>143780.86804</v>
      </c>
    </row>
    <row r="170">
      <c r="A170" t="inlineStr">
        <is>
          <t>CHANCHAMAYO</t>
        </is>
      </c>
      <c r="B170" t="inlineStr">
        <is>
          <t>120301</t>
        </is>
      </c>
      <c r="C170" t="inlineStr">
        <is>
          <t>Créditos</t>
        </is>
      </c>
      <c r="D170" t="inlineStr">
        <is>
          <t>Miles S/</t>
        </is>
      </c>
      <c r="E170" s="11" t="n">
        <v>141015.7099</v>
      </c>
      <c r="F170" s="16" t="n">
        <v>141015.70987</v>
      </c>
    </row>
    <row r="171">
      <c r="A171" t="inlineStr">
        <is>
          <t>MOYOBAMBA</t>
        </is>
      </c>
      <c r="B171" t="inlineStr">
        <is>
          <t>220101</t>
        </is>
      </c>
      <c r="C171" t="inlineStr">
        <is>
          <t>Créditos</t>
        </is>
      </c>
      <c r="D171" t="inlineStr">
        <is>
          <t>Miles S/</t>
        </is>
      </c>
      <c r="E171" s="11" t="n">
        <v>136187.7486</v>
      </c>
      <c r="F171" s="16" t="n">
        <v>136187.74862</v>
      </c>
    </row>
    <row r="172">
      <c r="A172" t="inlineStr">
        <is>
          <t>CHOTA</t>
        </is>
      </c>
      <c r="B172" t="inlineStr">
        <is>
          <t>060401</t>
        </is>
      </c>
      <c r="C172" t="inlineStr">
        <is>
          <t>Créditos</t>
        </is>
      </c>
      <c r="D172" t="inlineStr">
        <is>
          <t>Miles S/</t>
        </is>
      </c>
      <c r="E172" s="11" t="n">
        <v>135839.1641</v>
      </c>
      <c r="F172" s="16" t="n">
        <v>135839.16413</v>
      </c>
    </row>
    <row r="173">
      <c r="A173" t="inlineStr">
        <is>
          <t>YURIMAGUAS</t>
        </is>
      </c>
      <c r="B173" t="inlineStr">
        <is>
          <t>160201</t>
        </is>
      </c>
      <c r="C173" t="inlineStr">
        <is>
          <t>Créditos</t>
        </is>
      </c>
      <c r="D173" t="inlineStr">
        <is>
          <t>Miles S/</t>
        </is>
      </c>
      <c r="E173" s="11" t="n">
        <v>135654.1503</v>
      </c>
      <c r="F173" s="16" t="n">
        <v>135654.15033</v>
      </c>
    </row>
    <row r="174">
      <c r="A174" t="inlineStr">
        <is>
          <t>YANACANCHA</t>
        </is>
      </c>
      <c r="B174" t="inlineStr">
        <is>
          <t>190113</t>
        </is>
      </c>
      <c r="C174" t="inlineStr">
        <is>
          <t>Créditos</t>
        </is>
      </c>
      <c r="D174" t="inlineStr">
        <is>
          <t>Miles S/</t>
        </is>
      </c>
      <c r="E174" s="11" t="n">
        <v>132479.2175</v>
      </c>
      <c r="F174" s="16" t="n">
        <v>132479.21753</v>
      </c>
    </row>
    <row r="175">
      <c r="A175" t="inlineStr">
        <is>
          <t>PISCO</t>
        </is>
      </c>
      <c r="B175" t="inlineStr">
        <is>
          <t>110501</t>
        </is>
      </c>
      <c r="C175" t="inlineStr">
        <is>
          <t>Créditos</t>
        </is>
      </c>
      <c r="D175" t="inlineStr">
        <is>
          <t>Miles S/</t>
        </is>
      </c>
      <c r="E175" s="11" t="n">
        <v>131770.7331</v>
      </c>
      <c r="F175" s="16" t="n">
        <v>131770.73309</v>
      </c>
    </row>
    <row r="176">
      <c r="A176" t="inlineStr">
        <is>
          <t>BARRANCA</t>
        </is>
      </c>
      <c r="B176" t="inlineStr">
        <is>
          <t>150201</t>
        </is>
      </c>
      <c r="C176" t="inlineStr">
        <is>
          <t>Créditos</t>
        </is>
      </c>
      <c r="D176" t="inlineStr">
        <is>
          <t>Miles S/</t>
        </is>
      </c>
      <c r="E176" s="11" t="n">
        <v>127766.0778</v>
      </c>
      <c r="F176" s="16" t="n">
        <v>127766.07776</v>
      </c>
    </row>
    <row r="177">
      <c r="A177" t="inlineStr">
        <is>
          <t>SULLANA</t>
        </is>
      </c>
      <c r="B177" t="inlineStr">
        <is>
          <t>200601</t>
        </is>
      </c>
      <c r="C177" t="inlineStr">
        <is>
          <t>Créditos</t>
        </is>
      </c>
      <c r="D177" t="inlineStr">
        <is>
          <t>Miles S/</t>
        </is>
      </c>
      <c r="E177" s="11" t="n">
        <v>127610.6619</v>
      </c>
      <c r="F177" s="16" t="n">
        <v>127610.66193</v>
      </c>
    </row>
    <row r="178">
      <c r="A178" t="inlineStr">
        <is>
          <t>LURIN</t>
        </is>
      </c>
      <c r="B178" t="inlineStr">
        <is>
          <t>150119</t>
        </is>
      </c>
      <c r="C178" t="inlineStr">
        <is>
          <t>Créditos</t>
        </is>
      </c>
      <c r="D178" t="inlineStr">
        <is>
          <t>Miles S/</t>
        </is>
      </c>
      <c r="E178" s="11" t="n">
        <v>127601.8659</v>
      </c>
      <c r="F178" s="16" t="n">
        <v>127601.8659</v>
      </c>
    </row>
    <row r="179">
      <c r="A179" t="inlineStr">
        <is>
          <t>NUEVO CHIMBOTE</t>
        </is>
      </c>
      <c r="B179" t="inlineStr">
        <is>
          <t>021809</t>
        </is>
      </c>
      <c r="C179" t="inlineStr">
        <is>
          <t>Créditos</t>
        </is>
      </c>
      <c r="D179" t="inlineStr">
        <is>
          <t>Miles S/</t>
        </is>
      </c>
      <c r="E179" s="11" t="n">
        <v>127457.9984</v>
      </c>
      <c r="F179" s="16" t="n">
        <v>127457.99844</v>
      </c>
    </row>
    <row r="180">
      <c r="A180" t="inlineStr">
        <is>
          <t>CARABAYLLO</t>
        </is>
      </c>
      <c r="B180" t="inlineStr">
        <is>
          <t>150106</t>
        </is>
      </c>
      <c r="C180" t="inlineStr">
        <is>
          <t>Créditos</t>
        </is>
      </c>
      <c r="D180" t="inlineStr">
        <is>
          <t>Miles S/</t>
        </is>
      </c>
      <c r="E180" s="11" t="n">
        <v>115956.5068</v>
      </c>
      <c r="F180" s="16" t="n">
        <v>115956.50675</v>
      </c>
    </row>
    <row r="181">
      <c r="A181" t="inlineStr">
        <is>
          <t>CERRO COLORADO</t>
        </is>
      </c>
      <c r="B181" t="inlineStr">
        <is>
          <t>040104</t>
        </is>
      </c>
      <c r="C181" t="inlineStr">
        <is>
          <t>Créditos</t>
        </is>
      </c>
      <c r="D181" t="inlineStr">
        <is>
          <t>Miles S/</t>
        </is>
      </c>
      <c r="E181" s="11" t="n">
        <v>114168.927</v>
      </c>
      <c r="F181" s="16" t="n">
        <v>114168.92703</v>
      </c>
    </row>
    <row r="182">
      <c r="A182" t="inlineStr">
        <is>
          <t>MIRAFLORES</t>
        </is>
      </c>
      <c r="B182" t="inlineStr">
        <is>
          <t>040110</t>
        </is>
      </c>
      <c r="C182" t="inlineStr">
        <is>
          <t>Créditos</t>
        </is>
      </c>
      <c r="D182" t="inlineStr">
        <is>
          <t>Miles S/</t>
        </is>
      </c>
      <c r="E182" s="11" t="n">
        <v>114154.8412</v>
      </c>
      <c r="F182" s="16" t="n">
        <v>114154.84121</v>
      </c>
    </row>
    <row r="183">
      <c r="A183" t="inlineStr">
        <is>
          <t>RIMAC</t>
        </is>
      </c>
      <c r="B183" t="inlineStr">
        <is>
          <t>150128</t>
        </is>
      </c>
      <c r="C183" t="inlineStr">
        <is>
          <t>Créditos</t>
        </is>
      </c>
      <c r="D183" t="inlineStr">
        <is>
          <t>Miles S/</t>
        </is>
      </c>
      <c r="E183" s="11" t="n">
        <v>113118.9275</v>
      </c>
      <c r="F183" s="16" t="n">
        <v>113118.92745</v>
      </c>
    </row>
    <row r="184">
      <c r="A184" t="inlineStr">
        <is>
          <t>VENTANILLA</t>
        </is>
      </c>
      <c r="B184" t="inlineStr">
        <is>
          <t>070106</t>
        </is>
      </c>
      <c r="C184" t="inlineStr">
        <is>
          <t>Créditos</t>
        </is>
      </c>
      <c r="D184" t="inlineStr">
        <is>
          <t>Miles S/</t>
        </is>
      </c>
      <c r="E184" s="11" t="n">
        <v>112812.3491</v>
      </c>
      <c r="F184" s="16" t="n">
        <v>112812.34906</v>
      </c>
    </row>
    <row r="185">
      <c r="A185" t="inlineStr">
        <is>
          <t>SAN LUIS</t>
        </is>
      </c>
      <c r="B185" t="inlineStr">
        <is>
          <t>150134</t>
        </is>
      </c>
      <c r="C185" t="inlineStr">
        <is>
          <t>Créditos</t>
        </is>
      </c>
      <c r="D185" t="inlineStr">
        <is>
          <t>Miles S/</t>
        </is>
      </c>
      <c r="E185" s="11" t="n">
        <v>112456.4192</v>
      </c>
      <c r="F185" s="16" t="n">
        <v>112456.4192</v>
      </c>
    </row>
    <row r="186">
      <c r="A186" t="inlineStr">
        <is>
          <t>JOSE LUIS BUSTAMANTE Y RIVERO</t>
        </is>
      </c>
      <c r="B186" t="inlineStr">
        <is>
          <t>040129</t>
        </is>
      </c>
      <c r="C186" t="inlineStr">
        <is>
          <t>Créditos</t>
        </is>
      </c>
      <c r="D186" t="inlineStr">
        <is>
          <t>Miles S/</t>
        </is>
      </c>
      <c r="E186" s="11" t="n">
        <v>111954.4194</v>
      </c>
      <c r="F186" s="16" t="n">
        <v>111954.41943</v>
      </c>
    </row>
    <row r="187">
      <c r="A187" t="inlineStr">
        <is>
          <t>SATIPO</t>
        </is>
      </c>
      <c r="B187" t="inlineStr">
        <is>
          <t>120601</t>
        </is>
      </c>
      <c r="C187" t="inlineStr">
        <is>
          <t>Créditos</t>
        </is>
      </c>
      <c r="D187" t="inlineStr">
        <is>
          <t>Miles S/</t>
        </is>
      </c>
      <c r="E187" s="11" t="n">
        <v>110091.2448</v>
      </c>
      <c r="F187" s="16" t="n">
        <v>110091.24482</v>
      </c>
    </row>
    <row r="188">
      <c r="A188" t="inlineStr">
        <is>
          <t>RUPA-RUPA</t>
        </is>
      </c>
      <c r="B188" t="inlineStr">
        <is>
          <t>100601</t>
        </is>
      </c>
      <c r="C188" t="inlineStr">
        <is>
          <t>Créditos</t>
        </is>
      </c>
      <c r="D188" t="inlineStr">
        <is>
          <t>Miles S/</t>
        </is>
      </c>
      <c r="E188" s="11" t="n">
        <v>108393.3932</v>
      </c>
      <c r="F188" s="16" t="n">
        <v>108393.39325</v>
      </c>
    </row>
    <row r="189">
      <c r="A189" t="inlineStr">
        <is>
          <t>SAN VICENTE DE CAÑETE</t>
        </is>
      </c>
      <c r="B189" t="inlineStr">
        <is>
          <t>150501</t>
        </is>
      </c>
      <c r="C189" t="inlineStr">
        <is>
          <t>Créditos</t>
        </is>
      </c>
      <c r="D189" t="inlineStr">
        <is>
          <t>Miles S/</t>
        </is>
      </c>
      <c r="E189" s="11" t="n">
        <v>105279.8289</v>
      </c>
      <c r="F189" s="16" t="n">
        <v>105279.82888</v>
      </c>
    </row>
    <row r="190">
      <c r="A190" t="inlineStr">
        <is>
          <t>LAMBAYEQUE</t>
        </is>
      </c>
      <c r="B190" t="inlineStr">
        <is>
          <t>140301</t>
        </is>
      </c>
      <c r="C190" t="inlineStr">
        <is>
          <t>Créditos</t>
        </is>
      </c>
      <c r="D190" t="inlineStr">
        <is>
          <t>Miles S/</t>
        </is>
      </c>
      <c r="E190" s="11" t="n">
        <v>104672.2846</v>
      </c>
      <c r="F190" s="16" t="n">
        <v>104672.28457</v>
      </c>
    </row>
    <row r="191">
      <c r="A191" t="inlineStr">
        <is>
          <t>BAGUA GRANDE</t>
        </is>
      </c>
      <c r="B191" t="inlineStr">
        <is>
          <t>010701</t>
        </is>
      </c>
      <c r="C191" t="inlineStr">
        <is>
          <t>Créditos</t>
        </is>
      </c>
      <c r="D191" t="inlineStr">
        <is>
          <t>Miles S/</t>
        </is>
      </c>
      <c r="E191" s="11" t="n">
        <v>101269.8176</v>
      </c>
      <c r="F191" s="16" t="n">
        <v>101269.81755</v>
      </c>
    </row>
    <row r="192">
      <c r="A192" t="inlineStr">
        <is>
          <t>PAUCARPATA</t>
        </is>
      </c>
      <c r="B192" t="inlineStr">
        <is>
          <t>040112</t>
        </is>
      </c>
      <c r="C192" t="inlineStr">
        <is>
          <t>Créditos</t>
        </is>
      </c>
      <c r="D192" t="inlineStr">
        <is>
          <t>Miles S/</t>
        </is>
      </c>
      <c r="E192" s="11" t="n">
        <v>100494.3495</v>
      </c>
      <c r="F192" s="16" t="n">
        <v>100494.34955</v>
      </c>
    </row>
    <row r="193">
      <c r="A193" t="inlineStr">
        <is>
          <t>TAMBOPATA</t>
        </is>
      </c>
      <c r="B193" t="inlineStr">
        <is>
          <t>170101</t>
        </is>
      </c>
      <c r="C193" t="inlineStr">
        <is>
          <t>Créditos</t>
        </is>
      </c>
      <c r="D193" t="inlineStr">
        <is>
          <t>Miles S/</t>
        </is>
      </c>
      <c r="E193" s="11" t="n">
        <v>98714.7156</v>
      </c>
      <c r="F193" s="16" t="n">
        <v>98714.7156</v>
      </c>
    </row>
    <row r="194">
      <c r="A194" t="inlineStr">
        <is>
          <t>VILLA MARIA DEL TRIUNFO</t>
        </is>
      </c>
      <c r="B194" t="inlineStr">
        <is>
          <t>150143</t>
        </is>
      </c>
      <c r="C194" t="inlineStr">
        <is>
          <t>Créditos</t>
        </is>
      </c>
      <c r="D194" t="inlineStr">
        <is>
          <t>Miles S/</t>
        </is>
      </c>
      <c r="E194" s="11" t="n">
        <v>97886.2126</v>
      </c>
      <c r="F194" s="16" t="n">
        <v>97886.2126</v>
      </c>
    </row>
    <row r="195">
      <c r="A195" t="inlineStr">
        <is>
          <t>TUMBES</t>
        </is>
      </c>
      <c r="B195" t="inlineStr">
        <is>
          <t>240101</t>
        </is>
      </c>
      <c r="C195" t="inlineStr">
        <is>
          <t>Créditos</t>
        </is>
      </c>
      <c r="D195" t="inlineStr">
        <is>
          <t>Miles S/</t>
        </is>
      </c>
      <c r="E195" s="11" t="n">
        <v>95995.458</v>
      </c>
      <c r="F195" s="16" t="n">
        <v>95995.458</v>
      </c>
    </row>
    <row r="196">
      <c r="A196" t="inlineStr">
        <is>
          <t>YARINACOCHA</t>
        </is>
      </c>
      <c r="B196" t="inlineStr">
        <is>
          <t>250105</t>
        </is>
      </c>
      <c r="C196" t="inlineStr">
        <is>
          <t>Créditos</t>
        </is>
      </c>
      <c r="D196" t="inlineStr">
        <is>
          <t>Miles S/</t>
        </is>
      </c>
      <c r="E196" s="11" t="n">
        <v>92655.7343</v>
      </c>
      <c r="F196" s="16" t="n">
        <v>92655.73433000001</v>
      </c>
    </row>
    <row r="197">
      <c r="A197" t="inlineStr">
        <is>
          <t>SANTA ANA</t>
        </is>
      </c>
      <c r="B197" t="inlineStr">
        <is>
          <t>080901</t>
        </is>
      </c>
      <c r="C197" t="inlineStr">
        <is>
          <t>Créditos</t>
        </is>
      </c>
      <c r="D197" t="inlineStr">
        <is>
          <t>Miles S/</t>
        </is>
      </c>
      <c r="E197" s="11" t="n">
        <v>92591.28690000001</v>
      </c>
      <c r="F197" s="16" t="n">
        <v>92591.28693</v>
      </c>
    </row>
    <row r="198">
      <c r="A198" t="inlineStr">
        <is>
          <t>BELLAVISTA</t>
        </is>
      </c>
      <c r="B198" t="inlineStr">
        <is>
          <t>070102</t>
        </is>
      </c>
      <c r="C198" t="inlineStr">
        <is>
          <t>Créditos</t>
        </is>
      </c>
      <c r="D198" t="inlineStr">
        <is>
          <t>Miles S/</t>
        </is>
      </c>
      <c r="E198" s="11" t="n">
        <v>92131.6501</v>
      </c>
      <c r="F198" s="16" t="n">
        <v>92131.65012000001</v>
      </c>
    </row>
    <row r="199">
      <c r="A199" t="inlineStr">
        <is>
          <t>HUARAL</t>
        </is>
      </c>
      <c r="B199" t="inlineStr">
        <is>
          <t>150601</t>
        </is>
      </c>
      <c r="C199" t="inlineStr">
        <is>
          <t>Créditos</t>
        </is>
      </c>
      <c r="D199" t="inlineStr">
        <is>
          <t>Miles S/</t>
        </is>
      </c>
      <c r="E199" s="11" t="n">
        <v>91888.31230000001</v>
      </c>
      <c r="F199" s="16" t="n">
        <v>91888.31234</v>
      </c>
    </row>
    <row r="200">
      <c r="A200" t="inlineStr">
        <is>
          <t>RIOJA</t>
        </is>
      </c>
      <c r="B200" t="inlineStr">
        <is>
          <t>220801</t>
        </is>
      </c>
      <c r="C200" t="inlineStr">
        <is>
          <t>Créditos</t>
        </is>
      </c>
      <c r="D200" t="inlineStr">
        <is>
          <t>Miles S/</t>
        </is>
      </c>
      <c r="E200" s="11" t="n">
        <v>88357.0629</v>
      </c>
      <c r="F200" s="16" t="n">
        <v>88357.06288</v>
      </c>
    </row>
    <row r="201">
      <c r="A201" t="inlineStr">
        <is>
          <t>CHEPEN</t>
        </is>
      </c>
      <c r="B201" t="inlineStr">
        <is>
          <t>130401</t>
        </is>
      </c>
      <c r="C201" t="inlineStr">
        <is>
          <t>Créditos</t>
        </is>
      </c>
      <c r="D201" t="inlineStr">
        <is>
          <t>Miles S/</t>
        </is>
      </c>
      <c r="E201" s="11" t="n">
        <v>83224.249</v>
      </c>
      <c r="F201" s="16" t="n">
        <v>83224.24898999999</v>
      </c>
    </row>
    <row r="202">
      <c r="A202" t="inlineStr">
        <is>
          <t>JUANJUI</t>
        </is>
      </c>
      <c r="B202" t="inlineStr">
        <is>
          <t>220601</t>
        </is>
      </c>
      <c r="C202" t="inlineStr">
        <is>
          <t>Créditos</t>
        </is>
      </c>
      <c r="D202" t="inlineStr">
        <is>
          <t>Miles S/</t>
        </is>
      </c>
      <c r="E202" s="11" t="n">
        <v>77570.455</v>
      </c>
      <c r="F202" s="16" t="n">
        <v>77570.455</v>
      </c>
    </row>
    <row r="203">
      <c r="A203" t="inlineStr">
        <is>
          <t>ILO</t>
        </is>
      </c>
      <c r="B203" t="inlineStr">
        <is>
          <t>180301</t>
        </is>
      </c>
      <c r="C203" t="inlineStr">
        <is>
          <t>Créditos</t>
        </is>
      </c>
      <c r="D203" t="inlineStr">
        <is>
          <t>Miles S/</t>
        </is>
      </c>
      <c r="E203" s="11" t="n">
        <v>76732.73330000001</v>
      </c>
      <c r="F203" s="16" t="n">
        <v>76732.73327</v>
      </c>
    </row>
    <row r="204">
      <c r="A204" t="inlineStr">
        <is>
          <t>EL AGUSTINO</t>
        </is>
      </c>
      <c r="B204" t="inlineStr">
        <is>
          <t>150111</t>
        </is>
      </c>
      <c r="C204" t="inlineStr">
        <is>
          <t>Créditos</t>
        </is>
      </c>
      <c r="D204" t="inlineStr">
        <is>
          <t>Miles S/</t>
        </is>
      </c>
      <c r="E204" s="11" t="n">
        <v>75625.4382</v>
      </c>
      <c r="F204" s="16" t="n">
        <v>75625.43815</v>
      </c>
    </row>
    <row r="205">
      <c r="A205" t="inlineStr">
        <is>
          <t>PICHANAQUI</t>
        </is>
      </c>
      <c r="B205" t="inlineStr">
        <is>
          <t>120303</t>
        </is>
      </c>
      <c r="C205" t="inlineStr">
        <is>
          <t>Créditos</t>
        </is>
      </c>
      <c r="D205" t="inlineStr">
        <is>
          <t>Miles S/</t>
        </is>
      </c>
      <c r="E205" s="11" t="n">
        <v>75107.0088</v>
      </c>
      <c r="F205" s="16" t="n">
        <v>75107.0088</v>
      </c>
    </row>
    <row r="206">
      <c r="A206" t="inlineStr">
        <is>
          <t>ANDAHUAYLAS</t>
        </is>
      </c>
      <c r="B206" t="inlineStr">
        <is>
          <t>030201</t>
        </is>
      </c>
      <c r="C206" t="inlineStr">
        <is>
          <t>Créditos</t>
        </is>
      </c>
      <c r="D206" t="inlineStr">
        <is>
          <t>Miles S/</t>
        </is>
      </c>
      <c r="E206" s="11" t="n">
        <v>75048.69040000001</v>
      </c>
      <c r="F206" s="16" t="n">
        <v>75048.69039</v>
      </c>
    </row>
    <row r="207">
      <c r="A207" t="inlineStr">
        <is>
          <t>CASTILLA</t>
        </is>
      </c>
      <c r="B207" t="inlineStr">
        <is>
          <t>200104</t>
        </is>
      </c>
      <c r="C207" t="inlineStr">
        <is>
          <t>Créditos</t>
        </is>
      </c>
      <c r="D207" t="inlineStr">
        <is>
          <t>Miles S/</t>
        </is>
      </c>
      <c r="E207" s="11" t="n">
        <v>72245.35769999999</v>
      </c>
      <c r="F207" s="16" t="n">
        <v>72245.35769999999</v>
      </c>
    </row>
    <row r="208">
      <c r="A208" t="inlineStr">
        <is>
          <t>LURIGANCHO</t>
        </is>
      </c>
      <c r="B208" t="inlineStr">
        <is>
          <t>150118</t>
        </is>
      </c>
      <c r="C208" t="inlineStr">
        <is>
          <t>Créditos</t>
        </is>
      </c>
      <c r="D208" t="inlineStr">
        <is>
          <t>Miles S/</t>
        </is>
      </c>
      <c r="E208" s="11" t="n">
        <v>71692.19439999999</v>
      </c>
      <c r="F208" s="16" t="n">
        <v>71692.19435999999</v>
      </c>
    </row>
    <row r="209">
      <c r="A209" t="inlineStr">
        <is>
          <t>JACOBO HUNTER</t>
        </is>
      </c>
      <c r="B209" t="inlineStr">
        <is>
          <t>040107</t>
        </is>
      </c>
      <c r="C209" t="inlineStr">
        <is>
          <t>Créditos</t>
        </is>
      </c>
      <c r="D209" t="inlineStr">
        <is>
          <t>Miles S/</t>
        </is>
      </c>
      <c r="E209" s="11" t="n">
        <v>69723.6375</v>
      </c>
      <c r="F209" s="16" t="n">
        <v>69723.63746</v>
      </c>
    </row>
    <row r="210">
      <c r="A210" t="inlineStr">
        <is>
          <t>SAN JERONIMO</t>
        </is>
      </c>
      <c r="B210" t="inlineStr">
        <is>
          <t>080104</t>
        </is>
      </c>
      <c r="C210" t="inlineStr">
        <is>
          <t>Créditos</t>
        </is>
      </c>
      <c r="D210" t="inlineStr">
        <is>
          <t>Miles S/</t>
        </is>
      </c>
      <c r="E210" s="11" t="n">
        <v>67136.4862</v>
      </c>
      <c r="F210" s="16" t="n">
        <v>67136.48619</v>
      </c>
    </row>
    <row r="211">
      <c r="A211" t="inlineStr">
        <is>
          <t>ABANCAY</t>
        </is>
      </c>
      <c r="B211" t="inlineStr">
        <is>
          <t>030101</t>
        </is>
      </c>
      <c r="C211" t="inlineStr">
        <is>
          <t>Créditos</t>
        </is>
      </c>
      <c r="D211" t="inlineStr">
        <is>
          <t>Miles S/</t>
        </is>
      </c>
      <c r="E211" s="11" t="n">
        <v>66977.2925</v>
      </c>
      <c r="F211" s="16" t="n">
        <v>66977.29252</v>
      </c>
    </row>
    <row r="212">
      <c r="A212" t="inlineStr">
        <is>
          <t>CAMANA</t>
        </is>
      </c>
      <c r="B212" t="inlineStr">
        <is>
          <t>040201</t>
        </is>
      </c>
      <c r="C212" t="inlineStr">
        <is>
          <t>Créditos</t>
        </is>
      </c>
      <c r="D212" t="inlineStr">
        <is>
          <t>Miles S/</t>
        </is>
      </c>
      <c r="E212" s="11" t="n">
        <v>65456.4257</v>
      </c>
      <c r="F212" s="16" t="n">
        <v>65456.42568</v>
      </c>
    </row>
    <row r="213">
      <c r="A213" t="inlineStr">
        <is>
          <t>MALA</t>
        </is>
      </c>
      <c r="B213" t="inlineStr">
        <is>
          <t>150509</t>
        </is>
      </c>
      <c r="C213" t="inlineStr">
        <is>
          <t>Créditos</t>
        </is>
      </c>
      <c r="D213" t="inlineStr">
        <is>
          <t>Miles S/</t>
        </is>
      </c>
      <c r="E213" s="11" t="n">
        <v>64549.1418</v>
      </c>
      <c r="F213" s="16" t="n">
        <v>64549.1418</v>
      </c>
    </row>
    <row r="214">
      <c r="A214" t="inlineStr">
        <is>
          <t>BELLAVISTA</t>
        </is>
      </c>
      <c r="B214" t="inlineStr">
        <is>
          <t>220201</t>
        </is>
      </c>
      <c r="C214" t="inlineStr">
        <is>
          <t>Créditos</t>
        </is>
      </c>
      <c r="D214" t="inlineStr">
        <is>
          <t>Miles S/</t>
        </is>
      </c>
      <c r="E214" s="11" t="n">
        <v>61270.4639</v>
      </c>
      <c r="F214" s="16" t="n">
        <v>61270.46385</v>
      </c>
    </row>
    <row r="215">
      <c r="A215" t="inlineStr">
        <is>
          <t>JOSE LEONARDO ORTIZ</t>
        </is>
      </c>
      <c r="B215" t="inlineStr">
        <is>
          <t>140105</t>
        </is>
      </c>
      <c r="C215" t="inlineStr">
        <is>
          <t>Créditos</t>
        </is>
      </c>
      <c r="D215" t="inlineStr">
        <is>
          <t>Miles S/</t>
        </is>
      </c>
      <c r="E215" s="11" t="n">
        <v>60633.7949</v>
      </c>
      <c r="F215" s="16" t="n">
        <v>60633.79489</v>
      </c>
    </row>
    <row r="216">
      <c r="A216" t="inlineStr">
        <is>
          <t>MAJES</t>
        </is>
      </c>
      <c r="B216" t="inlineStr">
        <is>
          <t>040520</t>
        </is>
      </c>
      <c r="C216" t="inlineStr">
        <is>
          <t>Créditos</t>
        </is>
      </c>
      <c r="D216" t="inlineStr">
        <is>
          <t>Miles S/</t>
        </is>
      </c>
      <c r="E216" s="11" t="n">
        <v>59768.4725</v>
      </c>
      <c r="F216" s="16" t="n">
        <v>59768.47249</v>
      </c>
    </row>
    <row r="217">
      <c r="A217" t="inlineStr">
        <is>
          <t>PARIÑAS</t>
        </is>
      </c>
      <c r="B217" t="inlineStr">
        <is>
          <t>200701</t>
        </is>
      </c>
      <c r="C217" t="inlineStr">
        <is>
          <t>Créditos</t>
        </is>
      </c>
      <c r="D217" t="inlineStr">
        <is>
          <t>Miles S/</t>
        </is>
      </c>
      <c r="E217" s="11" t="n">
        <v>59366.098</v>
      </c>
      <c r="F217" s="16" t="n">
        <v>59366.09804</v>
      </c>
    </row>
    <row r="218">
      <c r="A218" t="inlineStr">
        <is>
          <t>MOQUEGUA</t>
        </is>
      </c>
      <c r="B218" t="inlineStr">
        <is>
          <t>180101</t>
        </is>
      </c>
      <c r="C218" t="inlineStr">
        <is>
          <t>Créditos</t>
        </is>
      </c>
      <c r="D218" t="inlineStr">
        <is>
          <t>Miles S/</t>
        </is>
      </c>
      <c r="E218" s="11" t="n">
        <v>57008.0398</v>
      </c>
      <c r="F218" s="16" t="n">
        <v>57008.03978</v>
      </c>
    </row>
    <row r="219">
      <c r="A219" t="inlineStr">
        <is>
          <t>TARMA</t>
        </is>
      </c>
      <c r="B219" t="inlineStr">
        <is>
          <t>120701</t>
        </is>
      </c>
      <c r="C219" t="inlineStr">
        <is>
          <t>Créditos</t>
        </is>
      </c>
      <c r="D219" t="inlineStr">
        <is>
          <t>Miles S/</t>
        </is>
      </c>
      <c r="E219" s="11" t="n">
        <v>55501.5805</v>
      </c>
      <c r="F219" s="16" t="n">
        <v>55501.58054</v>
      </c>
    </row>
    <row r="220">
      <c r="A220" t="inlineStr">
        <is>
          <t>LA OROYA</t>
        </is>
      </c>
      <c r="B220" t="inlineStr">
        <is>
          <t>120801</t>
        </is>
      </c>
      <c r="C220" t="inlineStr">
        <is>
          <t>Créditos</t>
        </is>
      </c>
      <c r="D220" t="inlineStr">
        <is>
          <t>Miles S/</t>
        </is>
      </c>
      <c r="E220" s="11" t="n">
        <v>54926.7443</v>
      </c>
      <c r="F220" s="16" t="n">
        <v>54926.74429</v>
      </c>
    </row>
    <row r="221">
      <c r="A221" t="inlineStr">
        <is>
          <t>ESPINAR</t>
        </is>
      </c>
      <c r="B221" t="inlineStr">
        <is>
          <t>080801</t>
        </is>
      </c>
      <c r="C221" t="inlineStr">
        <is>
          <t>Créditos</t>
        </is>
      </c>
      <c r="D221" t="inlineStr">
        <is>
          <t>Miles S/</t>
        </is>
      </c>
      <c r="E221" s="11" t="n">
        <v>54408.7426</v>
      </c>
      <c r="F221" s="16" t="n">
        <v>54408.74261</v>
      </c>
    </row>
    <row r="222">
      <c r="A222" t="inlineStr">
        <is>
          <t>CHANCAY</t>
        </is>
      </c>
      <c r="B222" t="inlineStr">
        <is>
          <t>150605</t>
        </is>
      </c>
      <c r="C222" t="inlineStr">
        <is>
          <t>Créditos</t>
        </is>
      </c>
      <c r="D222" t="inlineStr">
        <is>
          <t>Miles S/</t>
        </is>
      </c>
      <c r="E222" s="11" t="n">
        <v>44673.545</v>
      </c>
      <c r="F222" s="16" t="n">
        <v>44673.54503</v>
      </c>
    </row>
    <row r="223">
      <c r="A223" t="inlineStr">
        <is>
          <t>PAITA</t>
        </is>
      </c>
      <c r="B223" t="inlineStr">
        <is>
          <t>200501</t>
        </is>
      </c>
      <c r="C223" t="inlineStr">
        <is>
          <t>Créditos</t>
        </is>
      </c>
      <c r="D223" t="inlineStr">
        <is>
          <t>Miles S/</t>
        </is>
      </c>
      <c r="E223" s="11" t="n">
        <v>37319.4209</v>
      </c>
      <c r="F223" s="16" t="n">
        <v>37319.42092</v>
      </c>
    </row>
    <row r="224">
      <c r="A224" t="inlineStr">
        <is>
          <t>PACASMAYO</t>
        </is>
      </c>
      <c r="B224" t="inlineStr">
        <is>
          <t>130704</t>
        </is>
      </c>
      <c r="C224" t="inlineStr">
        <is>
          <t>Créditos</t>
        </is>
      </c>
      <c r="D224" t="inlineStr">
        <is>
          <t>Miles S/</t>
        </is>
      </c>
      <c r="E224" s="11" t="n">
        <v>36067.3916</v>
      </c>
      <c r="F224" s="16" t="n">
        <v>36067.39156</v>
      </c>
    </row>
    <row r="225">
      <c r="A225" t="inlineStr">
        <is>
          <t>CHALLHUAHUACHO</t>
        </is>
      </c>
      <c r="B225" t="inlineStr">
        <is>
          <t>030506</t>
        </is>
      </c>
      <c r="C225" t="inlineStr">
        <is>
          <t>Créditos</t>
        </is>
      </c>
      <c r="D225" t="inlineStr">
        <is>
          <t>Miles S/</t>
        </is>
      </c>
      <c r="E225" s="11" t="n">
        <v>35151.3764</v>
      </c>
      <c r="F225" s="16" t="n">
        <v>35151.37638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43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MiBanco — Créditos colocados por distrito y exposición asignada</t>
        </is>
      </c>
    </row>
    <row r="2">
      <c r="A2" s="2" t="inlineStr">
        <is>
          <t>Créditos colocados total: 13,524,859.56 Miles S/   ·   Exposición en cartera: S/ 19,578,970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ATE</t>
        </is>
      </c>
      <c r="D5" t="inlineStr">
        <is>
          <t>150103</t>
        </is>
      </c>
      <c r="E5" t="inlineStr">
        <is>
          <t>—</t>
        </is>
      </c>
      <c r="F5" s="11" t="n">
        <v>461524.7507</v>
      </c>
      <c r="G5" s="6">
        <f>IF($F$217=0,0,F5/$F$217)</f>
        <v/>
      </c>
      <c r="H5" s="5" t="n">
        <v>106898.61</v>
      </c>
      <c r="I5" t="n">
        <v>4</v>
      </c>
      <c r="J5" t="n">
        <v>3</v>
      </c>
      <c r="L5" s="5" t="n">
        <v>374145.13</v>
      </c>
    </row>
    <row r="6">
      <c r="A6" t="inlineStr">
        <is>
          <t>PUNO</t>
        </is>
      </c>
      <c r="B6" t="inlineStr">
        <is>
          <t>SAN ROMAN</t>
        </is>
      </c>
      <c r="C6" t="inlineStr">
        <is>
          <t>JULIACA</t>
        </is>
      </c>
      <c r="D6" t="inlineStr">
        <is>
          <t>211101</t>
        </is>
      </c>
      <c r="E6" t="inlineStr">
        <is>
          <t>—</t>
        </is>
      </c>
      <c r="F6" s="11" t="n">
        <v>385475.4695</v>
      </c>
      <c r="G6" s="6">
        <f>IF($F$217=0,0,F6/$F$217)</f>
        <v/>
      </c>
      <c r="H6" s="5" t="n">
        <v>89284.03</v>
      </c>
      <c r="I6" t="n">
        <v>3</v>
      </c>
      <c r="J6" t="n">
        <v>1</v>
      </c>
      <c r="K6" t="n">
        <v>4</v>
      </c>
      <c r="L6" s="5" t="n">
        <v>238090.75</v>
      </c>
    </row>
    <row r="7">
      <c r="A7" t="inlineStr">
        <is>
          <t>LIMA</t>
        </is>
      </c>
      <c r="B7" t="inlineStr">
        <is>
          <t>LIMA</t>
        </is>
      </c>
      <c r="C7" t="inlineStr">
        <is>
          <t>SAN JUAN DE LURIGANCHO</t>
        </is>
      </c>
      <c r="D7" t="inlineStr">
        <is>
          <t>150132</t>
        </is>
      </c>
      <c r="E7" t="inlineStr">
        <is>
          <t>—</t>
        </is>
      </c>
      <c r="F7" s="11" t="n">
        <v>371435.2418</v>
      </c>
      <c r="G7" s="6">
        <f>IF($F$217=0,0,F7/$F$217)</f>
        <v/>
      </c>
      <c r="H7" s="5" t="n">
        <v>86032.03</v>
      </c>
      <c r="I7" t="n">
        <v>5</v>
      </c>
      <c r="J7" t="n">
        <v>2</v>
      </c>
      <c r="L7" s="5" t="n">
        <v>301112.1</v>
      </c>
    </row>
    <row r="8">
      <c r="A8" t="inlineStr">
        <is>
          <t>LA LIBERTAD</t>
        </is>
      </c>
      <c r="B8" t="inlineStr">
        <is>
          <t>TRUJILLO</t>
        </is>
      </c>
      <c r="C8" t="inlineStr">
        <is>
          <t>TRUJILLO</t>
        </is>
      </c>
      <c r="D8" t="inlineStr">
        <is>
          <t>130101</t>
        </is>
      </c>
      <c r="E8" t="inlineStr">
        <is>
          <t>—</t>
        </is>
      </c>
      <c r="F8" s="11" t="n">
        <v>322927.4353</v>
      </c>
      <c r="G8" s="6">
        <f>IF($F$217=0,0,F8/$F$217)</f>
        <v/>
      </c>
      <c r="H8" s="5" t="n">
        <v>74796.62</v>
      </c>
      <c r="I8" t="n">
        <v>1</v>
      </c>
      <c r="J8" t="n">
        <v>5</v>
      </c>
      <c r="L8" s="5" t="n">
        <v>224389.87</v>
      </c>
    </row>
    <row r="9">
      <c r="A9" t="inlineStr">
        <is>
          <t>LIMA</t>
        </is>
      </c>
      <c r="B9" t="inlineStr">
        <is>
          <t>LIMA</t>
        </is>
      </c>
      <c r="C9" t="inlineStr">
        <is>
          <t>LOS OLIVOS</t>
        </is>
      </c>
      <c r="D9" t="inlineStr">
        <is>
          <t>150117</t>
        </is>
      </c>
      <c r="E9" t="inlineStr">
        <is>
          <t>—</t>
        </is>
      </c>
      <c r="F9" s="11" t="n">
        <v>268771.9462</v>
      </c>
      <c r="G9" s="6">
        <f>IF($F$217=0,0,F9/$F$217)</f>
        <v/>
      </c>
      <c r="H9" s="5" t="n">
        <v>62253.1</v>
      </c>
      <c r="I9" t="n">
        <v>1</v>
      </c>
      <c r="J9" t="n">
        <v>4</v>
      </c>
      <c r="L9" s="5" t="n">
        <v>155632.75</v>
      </c>
    </row>
    <row r="10">
      <c r="A10" t="inlineStr">
        <is>
          <t>LIMA</t>
        </is>
      </c>
      <c r="B10" t="inlineStr">
        <is>
          <t>LIMA</t>
        </is>
      </c>
      <c r="C10" t="inlineStr">
        <is>
          <t>VILLA EL SALVADOR</t>
        </is>
      </c>
      <c r="D10" t="inlineStr">
        <is>
          <t>150142</t>
        </is>
      </c>
      <c r="E10" t="inlineStr">
        <is>
          <t>—</t>
        </is>
      </c>
      <c r="F10" s="11" t="n">
        <v>241260.2405</v>
      </c>
      <c r="G10" s="6">
        <f>IF($F$217=0,0,F10/$F$217)</f>
        <v/>
      </c>
      <c r="H10" s="5" t="n">
        <v>55880.83</v>
      </c>
      <c r="I10" t="n">
        <v>1</v>
      </c>
      <c r="J10" t="n">
        <v>3</v>
      </c>
      <c r="L10" s="5" t="n">
        <v>111761.65</v>
      </c>
    </row>
    <row r="11">
      <c r="A11" t="inlineStr">
        <is>
          <t>LIMA</t>
        </is>
      </c>
      <c r="B11" t="inlineStr">
        <is>
          <t>LIMA</t>
        </is>
      </c>
      <c r="C11" t="inlineStr">
        <is>
          <t>VILLA MARIA DEL TRIUNFO</t>
        </is>
      </c>
      <c r="D11" t="inlineStr">
        <is>
          <t>150143</t>
        </is>
      </c>
      <c r="E11" t="inlineStr">
        <is>
          <t>—</t>
        </is>
      </c>
      <c r="F11" s="11" t="n">
        <v>237172.0419</v>
      </c>
      <c r="G11" s="6">
        <f>IF($F$217=0,0,F11/$F$217)</f>
        <v/>
      </c>
      <c r="H11" s="5" t="n">
        <v>54933.91</v>
      </c>
      <c r="I11" t="n">
        <v>4</v>
      </c>
      <c r="J11" t="n">
        <v>1</v>
      </c>
      <c r="L11" s="5" t="n">
        <v>137334.79</v>
      </c>
    </row>
    <row r="12">
      <c r="A12" t="inlineStr">
        <is>
          <t>CAJAMARCA</t>
        </is>
      </c>
      <c r="B12" t="inlineStr">
        <is>
          <t>CAJAMARCA</t>
        </is>
      </c>
      <c r="C12" t="inlineStr">
        <is>
          <t>CAJAMARCA</t>
        </is>
      </c>
      <c r="D12" t="inlineStr">
        <is>
          <t>060101</t>
        </is>
      </c>
      <c r="E12" t="inlineStr">
        <is>
          <t>—</t>
        </is>
      </c>
      <c r="F12" s="11" t="n">
        <v>235131.5976</v>
      </c>
      <c r="G12" s="6">
        <f>IF($F$217=0,0,F12/$F$217)</f>
        <v/>
      </c>
      <c r="H12" s="5" t="n">
        <v>54461.31</v>
      </c>
      <c r="I12" t="n">
        <v>4</v>
      </c>
      <c r="J12" t="n">
        <v>4</v>
      </c>
      <c r="K12" t="n">
        <v>3</v>
      </c>
      <c r="L12" s="5" t="n">
        <v>199691.45</v>
      </c>
    </row>
    <row r="13">
      <c r="A13" t="inlineStr">
        <is>
          <t>LIMA</t>
        </is>
      </c>
      <c r="B13" t="inlineStr">
        <is>
          <t>LIMA</t>
        </is>
      </c>
      <c r="C13" t="inlineStr">
        <is>
          <t>LA VICTORIA</t>
        </is>
      </c>
      <c r="D13" t="inlineStr">
        <is>
          <t>150115</t>
        </is>
      </c>
      <c r="E13" t="inlineStr">
        <is>
          <t>—</t>
        </is>
      </c>
      <c r="F13" s="11" t="n">
        <v>229889.7921</v>
      </c>
      <c r="G13" s="6">
        <f>IF($F$217=0,0,F13/$F$217)</f>
        <v/>
      </c>
      <c r="H13" s="5" t="n">
        <v>53247.2</v>
      </c>
      <c r="I13" t="n">
        <v>1</v>
      </c>
      <c r="J13" t="n">
        <v>3</v>
      </c>
      <c r="L13" s="5" t="n">
        <v>106494.39</v>
      </c>
    </row>
    <row r="14">
      <c r="A14" t="inlineStr">
        <is>
          <t>ANCASH</t>
        </is>
      </c>
      <c r="B14" t="inlineStr">
        <is>
          <t>HUARAZ</t>
        </is>
      </c>
      <c r="C14" t="inlineStr">
        <is>
          <t>HUARAZ</t>
        </is>
      </c>
      <c r="D14" t="inlineStr">
        <is>
          <t>020101</t>
        </is>
      </c>
      <c r="E14" t="inlineStr">
        <is>
          <t>—</t>
        </is>
      </c>
      <c r="F14" s="11" t="n">
        <v>205202.9718</v>
      </c>
      <c r="G14" s="6">
        <f>IF($F$217=0,0,F14/$F$217)</f>
        <v/>
      </c>
      <c r="H14" s="5" t="n">
        <v>47529.22</v>
      </c>
      <c r="I14" t="n">
        <v>4</v>
      </c>
      <c r="J14" t="n">
        <v>3</v>
      </c>
      <c r="K14" t="n">
        <v>4</v>
      </c>
      <c r="L14" s="5" t="n">
        <v>174273.81</v>
      </c>
    </row>
    <row r="15">
      <c r="A15" t="inlineStr">
        <is>
          <t>SAN MARTIN</t>
        </is>
      </c>
      <c r="B15" t="inlineStr">
        <is>
          <t>SAN MARTIN</t>
        </is>
      </c>
      <c r="C15" t="inlineStr">
        <is>
          <t>TARAPOTO</t>
        </is>
      </c>
      <c r="D15" t="inlineStr">
        <is>
          <t>220901</t>
        </is>
      </c>
      <c r="E15" t="inlineStr">
        <is>
          <t>—</t>
        </is>
      </c>
      <c r="F15" s="11" t="n">
        <v>197671.8669</v>
      </c>
      <c r="G15" s="6">
        <f>IF($F$217=0,0,F15/$F$217)</f>
        <v/>
      </c>
      <c r="H15" s="5" t="n">
        <v>45784.86</v>
      </c>
      <c r="I15" t="n">
        <v>4</v>
      </c>
      <c r="J15" t="n">
        <v>4</v>
      </c>
      <c r="K15" t="n">
        <v>2</v>
      </c>
      <c r="L15" s="5" t="n">
        <v>152616.21</v>
      </c>
    </row>
    <row r="16">
      <c r="A16" t="inlineStr">
        <is>
          <t>AREQUIPA</t>
        </is>
      </c>
      <c r="B16" t="inlineStr">
        <is>
          <t>AREQUIPA</t>
        </is>
      </c>
      <c r="C16" t="inlineStr">
        <is>
          <t>CERRO COLORADO</t>
        </is>
      </c>
      <c r="D16" t="inlineStr">
        <is>
          <t>040104</t>
        </is>
      </c>
      <c r="E16" t="inlineStr">
        <is>
          <t>—</t>
        </is>
      </c>
      <c r="F16" s="11" t="n">
        <v>190786.2752</v>
      </c>
      <c r="G16" s="6">
        <f>IF($F$217=0,0,F16/$F$217)</f>
        <v/>
      </c>
      <c r="H16" s="5" t="n">
        <v>44190.02</v>
      </c>
      <c r="I16" t="n">
        <v>4</v>
      </c>
      <c r="J16" t="n">
        <v>4</v>
      </c>
      <c r="K16" t="n">
        <v>2</v>
      </c>
      <c r="L16" s="5" t="n">
        <v>147300.06</v>
      </c>
    </row>
    <row r="17">
      <c r="A17" t="inlineStr">
        <is>
          <t>PUNO</t>
        </is>
      </c>
      <c r="B17" t="inlineStr">
        <is>
          <t>PUNO</t>
        </is>
      </c>
      <c r="C17" t="inlineStr">
        <is>
          <t>PUNO</t>
        </is>
      </c>
      <c r="D17" t="inlineStr">
        <is>
          <t>210101</t>
        </is>
      </c>
      <c r="E17" t="inlineStr">
        <is>
          <t>—</t>
        </is>
      </c>
      <c r="F17" s="11" t="n">
        <v>182033.1692</v>
      </c>
      <c r="G17" s="6">
        <f>IF($F$217=0,0,F17/$F$217)</f>
        <v/>
      </c>
      <c r="H17" s="5" t="n">
        <v>42162.62</v>
      </c>
      <c r="I17" t="n">
        <v>4</v>
      </c>
      <c r="J17" t="n">
        <v>3</v>
      </c>
      <c r="K17" t="n">
        <v>3</v>
      </c>
      <c r="L17" s="5" t="n">
        <v>140542.06</v>
      </c>
    </row>
    <row r="18">
      <c r="A18" t="inlineStr">
        <is>
          <t>LIMA</t>
        </is>
      </c>
      <c r="B18" t="inlineStr">
        <is>
          <t>LIMA</t>
        </is>
      </c>
      <c r="C18" t="inlineStr">
        <is>
          <t>SAN JUAN DE MIRAFLORES</t>
        </is>
      </c>
      <c r="D18" t="inlineStr">
        <is>
          <t>150133</t>
        </is>
      </c>
      <c r="E18" t="inlineStr">
        <is>
          <t>—</t>
        </is>
      </c>
      <c r="F18" s="11" t="n">
        <v>178194.9099</v>
      </c>
      <c r="G18" s="6">
        <f>IF($F$217=0,0,F18/$F$217)</f>
        <v/>
      </c>
      <c r="H18" s="5" t="n">
        <v>41273.6</v>
      </c>
      <c r="I18" t="n">
        <v>2</v>
      </c>
      <c r="J18" t="n">
        <v>3</v>
      </c>
      <c r="L18" s="5" t="n">
        <v>103184</v>
      </c>
    </row>
    <row r="19">
      <c r="A19" t="inlineStr">
        <is>
          <t>LAMBAYEQUE</t>
        </is>
      </c>
      <c r="B19" t="inlineStr">
        <is>
          <t>CHICLAYO</t>
        </is>
      </c>
      <c r="C19" t="inlineStr">
        <is>
          <t>CHICLAYO</t>
        </is>
      </c>
      <c r="D19" t="inlineStr">
        <is>
          <t>140101</t>
        </is>
      </c>
      <c r="E19" t="inlineStr">
        <is>
          <t>—</t>
        </is>
      </c>
      <c r="F19" s="11" t="n">
        <v>168557.765</v>
      </c>
      <c r="G19" s="6">
        <f>IF($F$217=0,0,F19/$F$217)</f>
        <v/>
      </c>
      <c r="H19" s="5" t="n">
        <v>39041.44</v>
      </c>
      <c r="I19" t="n">
        <v>1</v>
      </c>
      <c r="J19" t="n">
        <v>4</v>
      </c>
      <c r="L19" s="5" t="n">
        <v>97603.60000000001</v>
      </c>
    </row>
    <row r="20">
      <c r="A20" t="inlineStr">
        <is>
          <t>LIMA</t>
        </is>
      </c>
      <c r="B20" t="inlineStr">
        <is>
          <t>LIMA</t>
        </is>
      </c>
      <c r="C20" t="inlineStr">
        <is>
          <t>LIMA</t>
        </is>
      </c>
      <c r="D20" t="inlineStr">
        <is>
          <t>150101</t>
        </is>
      </c>
      <c r="E20" t="inlineStr">
        <is>
          <t>—</t>
        </is>
      </c>
      <c r="F20" s="11" t="n">
        <v>165965.8104</v>
      </c>
      <c r="G20" s="6">
        <f>IF($F$217=0,0,F20/$F$217)</f>
        <v/>
      </c>
      <c r="H20" s="5" t="n">
        <v>38441.09</v>
      </c>
      <c r="I20" t="n">
        <v>2</v>
      </c>
      <c r="J20" t="n">
        <v>4</v>
      </c>
      <c r="L20" s="5" t="n">
        <v>115323.27</v>
      </c>
    </row>
    <row r="21">
      <c r="A21" t="inlineStr">
        <is>
          <t>CALLAO</t>
        </is>
      </c>
      <c r="B21" t="inlineStr">
        <is>
          <t>CALLAO</t>
        </is>
      </c>
      <c r="C21" t="inlineStr">
        <is>
          <t>VENTANILLA</t>
        </is>
      </c>
      <c r="D21" t="inlineStr">
        <is>
          <t>070106</t>
        </is>
      </c>
      <c r="E21" t="inlineStr">
        <is>
          <t>—</t>
        </is>
      </c>
      <c r="F21" s="11" t="n">
        <v>165824.9995</v>
      </c>
      <c r="G21" s="6">
        <f>IF($F$217=0,0,F21/$F$217)</f>
        <v/>
      </c>
      <c r="H21" s="5" t="n">
        <v>38408.47</v>
      </c>
      <c r="I21" t="n">
        <v>3</v>
      </c>
      <c r="J21" t="n">
        <v>3</v>
      </c>
      <c r="L21" s="5" t="n">
        <v>115225.42</v>
      </c>
    </row>
    <row r="22">
      <c r="A22" t="inlineStr">
        <is>
          <t>LIMA</t>
        </is>
      </c>
      <c r="B22" t="inlineStr">
        <is>
          <t>LIMA</t>
        </is>
      </c>
      <c r="C22" t="inlineStr">
        <is>
          <t>PUENTE PIEDRA</t>
        </is>
      </c>
      <c r="D22" t="inlineStr">
        <is>
          <t>150125</t>
        </is>
      </c>
      <c r="E22" t="inlineStr">
        <is>
          <t>—</t>
        </is>
      </c>
      <c r="F22" s="11" t="n">
        <v>165637.5729</v>
      </c>
      <c r="G22" s="6">
        <f>IF($F$217=0,0,F22/$F$217)</f>
        <v/>
      </c>
      <c r="H22" s="5" t="n">
        <v>38365.06</v>
      </c>
      <c r="I22" t="n">
        <v>2</v>
      </c>
      <c r="J22" t="n">
        <v>3</v>
      </c>
      <c r="L22" s="5" t="n">
        <v>95912.66</v>
      </c>
    </row>
    <row r="23">
      <c r="A23" t="inlineStr">
        <is>
          <t>LIMA</t>
        </is>
      </c>
      <c r="B23" t="inlineStr">
        <is>
          <t>LIMA</t>
        </is>
      </c>
      <c r="C23" t="inlineStr">
        <is>
          <t>CHORRILLOS</t>
        </is>
      </c>
      <c r="D23" t="inlineStr">
        <is>
          <t>150108</t>
        </is>
      </c>
      <c r="E23" t="inlineStr">
        <is>
          <t>—</t>
        </is>
      </c>
      <c r="F23" s="11" t="n">
        <v>163324.072</v>
      </c>
      <c r="G23" s="6">
        <f>IF($F$217=0,0,F23/$F$217)</f>
        <v/>
      </c>
      <c r="H23" s="5" t="n">
        <v>37829.21</v>
      </c>
      <c r="I23" t="n">
        <v>2</v>
      </c>
      <c r="J23" t="n">
        <v>4</v>
      </c>
      <c r="L23" s="5" t="n">
        <v>113487.62</v>
      </c>
    </row>
    <row r="24">
      <c r="A24" t="inlineStr">
        <is>
          <t>PIURA</t>
        </is>
      </c>
      <c r="B24" t="inlineStr">
        <is>
          <t>PIURA</t>
        </is>
      </c>
      <c r="C24" t="inlineStr">
        <is>
          <t>PIURA</t>
        </is>
      </c>
      <c r="D24" t="inlineStr">
        <is>
          <t>200101</t>
        </is>
      </c>
      <c r="E24" t="inlineStr">
        <is>
          <t>—</t>
        </is>
      </c>
      <c r="F24" s="11" t="n">
        <v>157888.1017</v>
      </c>
      <c r="G24" s="6">
        <f>IF($F$217=0,0,F24/$F$217)</f>
        <v/>
      </c>
      <c r="H24" s="5" t="n">
        <v>36570.13</v>
      </c>
      <c r="I24" t="n">
        <v>1</v>
      </c>
      <c r="J24" t="n">
        <v>5</v>
      </c>
      <c r="L24" s="5" t="n">
        <v>109710.38</v>
      </c>
    </row>
    <row r="25">
      <c r="A25" t="inlineStr">
        <is>
          <t>TACNA</t>
        </is>
      </c>
      <c r="B25" t="inlineStr">
        <is>
          <t>TACNA</t>
        </is>
      </c>
      <c r="C25" t="inlineStr">
        <is>
          <t>TACNA</t>
        </is>
      </c>
      <c r="D25" t="inlineStr">
        <is>
          <t>230101</t>
        </is>
      </c>
      <c r="E25" t="inlineStr">
        <is>
          <t>—</t>
        </is>
      </c>
      <c r="F25" s="11" t="n">
        <v>147708.9708</v>
      </c>
      <c r="G25" s="6">
        <f>IF($F$217=0,0,F25/$F$217)</f>
        <v/>
      </c>
      <c r="H25" s="5" t="n">
        <v>34212.43</v>
      </c>
      <c r="I25" t="n">
        <v>3</v>
      </c>
      <c r="J25" t="n">
        <v>3</v>
      </c>
      <c r="L25" s="5" t="n">
        <v>102637.29</v>
      </c>
    </row>
    <row r="26">
      <c r="A26" t="inlineStr">
        <is>
          <t>AYACUCHO</t>
        </is>
      </c>
      <c r="B26" t="inlineStr">
        <is>
          <t>HUAMANGA</t>
        </is>
      </c>
      <c r="C26" t="inlineStr">
        <is>
          <t>AYACUCHO</t>
        </is>
      </c>
      <c r="D26" t="inlineStr">
        <is>
          <t>050101</t>
        </is>
      </c>
      <c r="E26" t="inlineStr">
        <is>
          <t>—</t>
        </is>
      </c>
      <c r="F26" s="11" t="n">
        <v>146186.96</v>
      </c>
      <c r="G26" s="6">
        <f>IF($F$217=0,0,F26/$F$217)</f>
        <v/>
      </c>
      <c r="H26" s="5" t="n">
        <v>33859.9</v>
      </c>
      <c r="I26" t="n">
        <v>4</v>
      </c>
      <c r="J26" t="n">
        <v>3</v>
      </c>
      <c r="K26" t="n">
        <v>4</v>
      </c>
      <c r="L26" s="5" t="n">
        <v>124152.97</v>
      </c>
    </row>
    <row r="27">
      <c r="A27" t="inlineStr">
        <is>
          <t>LA LIBERTAD</t>
        </is>
      </c>
      <c r="B27" t="inlineStr">
        <is>
          <t>TRUJILLO</t>
        </is>
      </c>
      <c r="C27" t="inlineStr">
        <is>
          <t>EL PORVENIR</t>
        </is>
      </c>
      <c r="D27" t="inlineStr">
        <is>
          <t>130102</t>
        </is>
      </c>
      <c r="E27" t="inlineStr">
        <is>
          <t>—</t>
        </is>
      </c>
      <c r="F27" s="11" t="n">
        <v>143670.1333</v>
      </c>
      <c r="G27" s="6">
        <f>IF($F$217=0,0,F27/$F$217)</f>
        <v/>
      </c>
      <c r="H27" s="5" t="n">
        <v>33276.95</v>
      </c>
      <c r="I27" t="n">
        <v>5</v>
      </c>
      <c r="J27" t="n">
        <v>4</v>
      </c>
      <c r="L27" s="5" t="n">
        <v>149746.29</v>
      </c>
    </row>
    <row r="28">
      <c r="A28" t="inlineStr">
        <is>
          <t>CAJAMARCA</t>
        </is>
      </c>
      <c r="B28" t="inlineStr">
        <is>
          <t>JAEN</t>
        </is>
      </c>
      <c r="C28" t="inlineStr">
        <is>
          <t>JAEN</t>
        </is>
      </c>
      <c r="D28" t="inlineStr">
        <is>
          <t>060801</t>
        </is>
      </c>
      <c r="E28" t="inlineStr">
        <is>
          <t>—</t>
        </is>
      </c>
      <c r="F28" s="11" t="n">
        <v>138172.2033</v>
      </c>
      <c r="G28" s="6">
        <f>IF($F$217=0,0,F28/$F$217)</f>
        <v/>
      </c>
      <c r="H28" s="5" t="n">
        <v>32003.52</v>
      </c>
      <c r="I28" t="n">
        <v>4</v>
      </c>
      <c r="J28" t="n">
        <v>3</v>
      </c>
      <c r="K28" t="n">
        <v>2</v>
      </c>
      <c r="L28" s="5" t="n">
        <v>96010.56</v>
      </c>
    </row>
    <row r="29">
      <c r="A29" t="inlineStr">
        <is>
          <t>UCAYALI</t>
        </is>
      </c>
      <c r="B29" t="inlineStr">
        <is>
          <t>CORONEL PORTILLO</t>
        </is>
      </c>
      <c r="C29" t="inlineStr">
        <is>
          <t>CALLERIA</t>
        </is>
      </c>
      <c r="D29" t="inlineStr">
        <is>
          <t>250101</t>
        </is>
      </c>
      <c r="E29" t="inlineStr">
        <is>
          <t>—</t>
        </is>
      </c>
      <c r="F29" s="11" t="n">
        <v>121430.9289</v>
      </c>
      <c r="G29" s="6">
        <f>IF($F$217=0,0,F29/$F$217)</f>
        <v/>
      </c>
      <c r="H29" s="5" t="n">
        <v>28125.9</v>
      </c>
      <c r="I29" t="n">
        <v>4</v>
      </c>
      <c r="J29" t="n">
        <v>4</v>
      </c>
      <c r="K29" t="n">
        <v>2</v>
      </c>
      <c r="L29" s="5" t="n">
        <v>93752.99000000001</v>
      </c>
    </row>
    <row r="30">
      <c r="A30" t="inlineStr">
        <is>
          <t>LAMBAYEQUE</t>
        </is>
      </c>
      <c r="B30" t="inlineStr">
        <is>
          <t>CHICLAYO</t>
        </is>
      </c>
      <c r="C30" t="inlineStr">
        <is>
          <t>JOSE LEONARDO ORTIZ</t>
        </is>
      </c>
      <c r="D30" t="inlineStr">
        <is>
          <t>140105</t>
        </is>
      </c>
      <c r="E30" t="inlineStr">
        <is>
          <t>—</t>
        </is>
      </c>
      <c r="F30" s="11" t="n">
        <v>119088.7013</v>
      </c>
      <c r="G30" s="6">
        <f>IF($F$217=0,0,F30/$F$217)</f>
        <v/>
      </c>
      <c r="H30" s="5" t="n">
        <v>27583.39</v>
      </c>
      <c r="I30" t="n">
        <v>1</v>
      </c>
      <c r="J30" t="n">
        <v>4</v>
      </c>
      <c r="L30" s="5" t="n">
        <v>68958.47</v>
      </c>
    </row>
    <row r="31">
      <c r="A31" t="inlineStr">
        <is>
          <t>LIMA</t>
        </is>
      </c>
      <c r="B31" t="inlineStr">
        <is>
          <t>LIMA</t>
        </is>
      </c>
      <c r="C31" t="inlineStr">
        <is>
          <t>PACHACAMAC</t>
        </is>
      </c>
      <c r="D31" t="inlineStr">
        <is>
          <t>150123</t>
        </is>
      </c>
      <c r="E31" t="inlineStr">
        <is>
          <t>—</t>
        </is>
      </c>
      <c r="F31" s="11" t="n">
        <v>119076.8314</v>
      </c>
      <c r="G31" s="6">
        <f>IF($F$217=0,0,F31/$F$217)</f>
        <v/>
      </c>
      <c r="H31" s="5" t="n">
        <v>27580.64</v>
      </c>
      <c r="I31" t="n">
        <v>4</v>
      </c>
      <c r="J31" t="n">
        <v>2</v>
      </c>
      <c r="L31" s="5" t="n">
        <v>82741.92</v>
      </c>
    </row>
    <row r="32">
      <c r="A32" t="inlineStr">
        <is>
          <t>LIMA</t>
        </is>
      </c>
      <c r="B32" t="inlineStr">
        <is>
          <t>LIMA</t>
        </is>
      </c>
      <c r="C32" t="inlineStr">
        <is>
          <t>SAN MARTIN DE PORRES</t>
        </is>
      </c>
      <c r="D32" t="inlineStr">
        <is>
          <t>150135</t>
        </is>
      </c>
      <c r="E32" t="inlineStr">
        <is>
          <t>—</t>
        </is>
      </c>
      <c r="F32" s="11" t="n">
        <v>116449.2153</v>
      </c>
      <c r="G32" s="6">
        <f>IF($F$217=0,0,F32/$F$217)</f>
        <v/>
      </c>
      <c r="H32" s="5" t="n">
        <v>26972.03</v>
      </c>
      <c r="I32" t="n">
        <v>2</v>
      </c>
      <c r="J32" t="n">
        <v>5</v>
      </c>
      <c r="L32" s="5" t="n">
        <v>94402.10000000001</v>
      </c>
    </row>
    <row r="33">
      <c r="A33" t="inlineStr">
        <is>
          <t>CALLAO</t>
        </is>
      </c>
      <c r="B33" t="inlineStr">
        <is>
          <t>CALLAO</t>
        </is>
      </c>
      <c r="C33" t="inlineStr">
        <is>
          <t>CALLAO</t>
        </is>
      </c>
      <c r="D33" t="inlineStr">
        <is>
          <t>070101</t>
        </is>
      </c>
      <c r="E33" t="inlineStr">
        <is>
          <t>—</t>
        </is>
      </c>
      <c r="F33" s="11" t="n">
        <v>115799.1127</v>
      </c>
      <c r="G33" s="6">
        <f>IF($F$217=0,0,F33/$F$217)</f>
        <v/>
      </c>
      <c r="H33" s="5" t="n">
        <v>26821.45</v>
      </c>
      <c r="I33" t="n">
        <v>1</v>
      </c>
      <c r="J33" t="n">
        <v>5</v>
      </c>
      <c r="L33" s="5" t="n">
        <v>80464.36</v>
      </c>
    </row>
    <row r="34">
      <c r="A34" t="inlineStr">
        <is>
          <t>LIMA</t>
        </is>
      </c>
      <c r="B34" t="inlineStr">
        <is>
          <t>LIMA</t>
        </is>
      </c>
      <c r="C34" t="inlineStr">
        <is>
          <t>COMAS</t>
        </is>
      </c>
      <c r="D34" t="inlineStr">
        <is>
          <t>150110</t>
        </is>
      </c>
      <c r="E34" t="inlineStr">
        <is>
          <t>—</t>
        </is>
      </c>
      <c r="F34" s="11" t="n">
        <v>115129.2707</v>
      </c>
      <c r="G34" s="6">
        <f>IF($F$217=0,0,F34/$F$217)</f>
        <v/>
      </c>
      <c r="H34" s="5" t="n">
        <v>26666.3</v>
      </c>
      <c r="I34" t="n">
        <v>3</v>
      </c>
      <c r="J34" t="n">
        <v>3</v>
      </c>
      <c r="L34" s="5" t="n">
        <v>79998.91</v>
      </c>
    </row>
    <row r="35">
      <c r="A35" t="inlineStr">
        <is>
          <t>LA LIBERTAD</t>
        </is>
      </c>
      <c r="B35" t="inlineStr">
        <is>
          <t>SANCHEZ CARRION</t>
        </is>
      </c>
      <c r="C35" t="inlineStr">
        <is>
          <t>HUAMACHUCO</t>
        </is>
      </c>
      <c r="D35" t="inlineStr">
        <is>
          <t>130901</t>
        </is>
      </c>
      <c r="E35" t="inlineStr">
        <is>
          <t>—</t>
        </is>
      </c>
      <c r="F35" s="11" t="n">
        <v>114401.1879</v>
      </c>
      <c r="G35" s="6">
        <f>IF($F$217=0,0,F35/$F$217)</f>
        <v/>
      </c>
      <c r="H35" s="5" t="n">
        <v>26497.66</v>
      </c>
      <c r="I35" t="n">
        <v>4</v>
      </c>
      <c r="J35" t="n">
        <v>4</v>
      </c>
      <c r="K35" t="n">
        <v>3</v>
      </c>
      <c r="L35" s="5" t="n">
        <v>97158.10000000001</v>
      </c>
    </row>
    <row r="36">
      <c r="A36" t="inlineStr">
        <is>
          <t>HUANUCO</t>
        </is>
      </c>
      <c r="B36" t="inlineStr">
        <is>
          <t>HUANUCO</t>
        </is>
      </c>
      <c r="C36" t="inlineStr">
        <is>
          <t>HUANUCO</t>
        </is>
      </c>
      <c r="D36" t="inlineStr">
        <is>
          <t>100101</t>
        </is>
      </c>
      <c r="E36" t="inlineStr">
        <is>
          <t>—</t>
        </is>
      </c>
      <c r="F36" s="11" t="n">
        <v>106593.315</v>
      </c>
      <c r="G36" s="6">
        <f>IF($F$217=0,0,F36/$F$217)</f>
        <v/>
      </c>
      <c r="H36" s="5" t="n">
        <v>24689.2</v>
      </c>
      <c r="I36" t="n">
        <v>4</v>
      </c>
      <c r="J36" t="n">
        <v>3</v>
      </c>
      <c r="K36" t="n">
        <v>4</v>
      </c>
      <c r="L36" s="5" t="n">
        <v>90527.07000000001</v>
      </c>
    </row>
    <row r="37">
      <c r="A37" t="inlineStr">
        <is>
          <t>PIURA</t>
        </is>
      </c>
      <c r="B37" t="inlineStr">
        <is>
          <t>SULLANA</t>
        </is>
      </c>
      <c r="C37" t="inlineStr">
        <is>
          <t>SULLANA</t>
        </is>
      </c>
      <c r="D37" t="inlineStr">
        <is>
          <t>200601</t>
        </is>
      </c>
      <c r="E37" t="inlineStr">
        <is>
          <t>—</t>
        </is>
      </c>
      <c r="F37" s="11" t="n">
        <v>104458.1318</v>
      </c>
      <c r="G37" s="6">
        <f>IF($F$217=0,0,F37/$F$217)</f>
        <v/>
      </c>
      <c r="H37" s="5" t="n">
        <v>24194.65</v>
      </c>
      <c r="I37" t="n">
        <v>2</v>
      </c>
      <c r="J37" t="n">
        <v>5</v>
      </c>
      <c r="K37" t="n">
        <v>2</v>
      </c>
      <c r="L37" s="5" t="n">
        <v>72583.94</v>
      </c>
    </row>
    <row r="38">
      <c r="A38" t="inlineStr">
        <is>
          <t>LAMBAYEQUE</t>
        </is>
      </c>
      <c r="B38" t="inlineStr">
        <is>
          <t>LAMBAYEQUE</t>
        </is>
      </c>
      <c r="C38" t="inlineStr">
        <is>
          <t>OLMOS</t>
        </is>
      </c>
      <c r="D38" t="inlineStr">
        <is>
          <t>140308</t>
        </is>
      </c>
      <c r="E38" t="inlineStr">
        <is>
          <t>—</t>
        </is>
      </c>
      <c r="F38" s="11" t="n">
        <v>101592.3445</v>
      </c>
      <c r="G38" s="6">
        <f>IF($F$217=0,0,F38/$F$217)</f>
        <v/>
      </c>
      <c r="H38" s="5" t="n">
        <v>23530.87</v>
      </c>
      <c r="I38" t="n">
        <v>3</v>
      </c>
      <c r="J38" t="n">
        <v>5</v>
      </c>
      <c r="K38" t="n">
        <v>3</v>
      </c>
      <c r="L38" s="5" t="n">
        <v>86279.87</v>
      </c>
    </row>
    <row r="39">
      <c r="A39" t="inlineStr">
        <is>
          <t>LA LIBERTAD</t>
        </is>
      </c>
      <c r="B39" t="inlineStr">
        <is>
          <t>TRUJILLO</t>
        </is>
      </c>
      <c r="C39" t="inlineStr">
        <is>
          <t>LA ESPERANZA</t>
        </is>
      </c>
      <c r="D39" t="inlineStr">
        <is>
          <t>130105</t>
        </is>
      </c>
      <c r="E39" t="inlineStr">
        <is>
          <t>—</t>
        </is>
      </c>
      <c r="F39" s="11" t="n">
        <v>98164.77069999999</v>
      </c>
      <c r="G39" s="6">
        <f>IF($F$217=0,0,F39/$F$217)</f>
        <v/>
      </c>
      <c r="H39" s="5" t="n">
        <v>22736.98</v>
      </c>
      <c r="I39" t="n">
        <v>1</v>
      </c>
      <c r="J39" t="n">
        <v>4</v>
      </c>
      <c r="L39" s="5" t="n">
        <v>56842.44</v>
      </c>
    </row>
    <row r="40">
      <c r="A40" t="inlineStr">
        <is>
          <t>ANCASH</t>
        </is>
      </c>
      <c r="B40" t="inlineStr">
        <is>
          <t>SANTA</t>
        </is>
      </c>
      <c r="C40" t="inlineStr">
        <is>
          <t>CHIMBOTE</t>
        </is>
      </c>
      <c r="D40" t="inlineStr">
        <is>
          <t>021801</t>
        </is>
      </c>
      <c r="E40" t="inlineStr">
        <is>
          <t>—</t>
        </is>
      </c>
      <c r="F40" s="11" t="n">
        <v>98051.66650000001</v>
      </c>
      <c r="G40" s="6">
        <f>IF($F$217=0,0,F40/$F$217)</f>
        <v/>
      </c>
      <c r="H40" s="5" t="n">
        <v>22710.78</v>
      </c>
      <c r="I40" t="n">
        <v>5</v>
      </c>
      <c r="J40" t="n">
        <v>4</v>
      </c>
      <c r="K40" t="n">
        <v>3</v>
      </c>
      <c r="L40" s="5" t="n">
        <v>90843.12</v>
      </c>
    </row>
    <row r="41">
      <c r="A41" t="inlineStr">
        <is>
          <t>AREQUIPA</t>
        </is>
      </c>
      <c r="B41" t="inlineStr">
        <is>
          <t>AREQUIPA</t>
        </is>
      </c>
      <c r="C41" t="inlineStr">
        <is>
          <t>PAUCARPATA</t>
        </is>
      </c>
      <c r="D41" t="inlineStr">
        <is>
          <t>040112</t>
        </is>
      </c>
      <c r="E41" t="inlineStr">
        <is>
          <t>—</t>
        </is>
      </c>
      <c r="F41" s="11" t="n">
        <v>97378.1464</v>
      </c>
      <c r="G41" s="6">
        <f>IF($F$217=0,0,F41/$F$217)</f>
        <v/>
      </c>
      <c r="H41" s="5" t="n">
        <v>22554.78</v>
      </c>
      <c r="I41" t="n">
        <v>5</v>
      </c>
      <c r="J41" t="n">
        <v>4</v>
      </c>
      <c r="K41" t="n">
        <v>2</v>
      </c>
      <c r="L41" s="5" t="n">
        <v>82700.85000000001</v>
      </c>
    </row>
    <row r="42">
      <c r="A42" t="inlineStr">
        <is>
          <t>LA LIBERTAD</t>
        </is>
      </c>
      <c r="B42" t="inlineStr">
        <is>
          <t>CHEPEN</t>
        </is>
      </c>
      <c r="C42" t="inlineStr">
        <is>
          <t>CHEPEN</t>
        </is>
      </c>
      <c r="D42" t="inlineStr">
        <is>
          <t>130401</t>
        </is>
      </c>
      <c r="E42" t="inlineStr">
        <is>
          <t>—</t>
        </is>
      </c>
      <c r="F42" s="11" t="n">
        <v>96052.1694</v>
      </c>
      <c r="G42" s="6">
        <f>IF($F$217=0,0,F42/$F$217)</f>
        <v/>
      </c>
      <c r="H42" s="5" t="n">
        <v>22247.65</v>
      </c>
      <c r="I42" t="n">
        <v>5</v>
      </c>
      <c r="J42" t="n">
        <v>4</v>
      </c>
      <c r="L42" s="5" t="n">
        <v>100114.45</v>
      </c>
    </row>
    <row r="43">
      <c r="A43" t="inlineStr">
        <is>
          <t>LIMA</t>
        </is>
      </c>
      <c r="B43" t="inlineStr">
        <is>
          <t>LIMA</t>
        </is>
      </c>
      <c r="C43" t="inlineStr">
        <is>
          <t>RIMAC</t>
        </is>
      </c>
      <c r="D43" t="inlineStr">
        <is>
          <t>150128</t>
        </is>
      </c>
      <c r="E43" t="inlineStr">
        <is>
          <t>—</t>
        </is>
      </c>
      <c r="F43" s="11" t="n">
        <v>94677.43339999999</v>
      </c>
      <c r="G43" s="6">
        <f>IF($F$217=0,0,F43/$F$217)</f>
        <v/>
      </c>
      <c r="H43" s="5" t="n">
        <v>21929.24</v>
      </c>
      <c r="I43" t="n">
        <v>3</v>
      </c>
      <c r="J43" t="n">
        <v>3</v>
      </c>
      <c r="L43" s="5" t="n">
        <v>65787.71000000001</v>
      </c>
    </row>
    <row r="44">
      <c r="A44" t="inlineStr">
        <is>
          <t>JUNIN</t>
        </is>
      </c>
      <c r="B44" t="inlineStr">
        <is>
          <t>HUANCAYO</t>
        </is>
      </c>
      <c r="C44" t="inlineStr">
        <is>
          <t>EL TAMBO</t>
        </is>
      </c>
      <c r="D44" t="inlineStr">
        <is>
          <t>120114</t>
        </is>
      </c>
      <c r="E44" t="inlineStr">
        <is>
          <t>—</t>
        </is>
      </c>
      <c r="F44" s="11" t="n">
        <v>94638.1501</v>
      </c>
      <c r="G44" s="6">
        <f>IF($F$217=0,0,F44/$F$217)</f>
        <v/>
      </c>
      <c r="H44" s="5" t="n">
        <v>21920.14</v>
      </c>
      <c r="I44" t="n">
        <v>4</v>
      </c>
      <c r="J44" t="n">
        <v>2</v>
      </c>
      <c r="K44" t="n">
        <v>3</v>
      </c>
      <c r="L44" s="5" t="n">
        <v>65760.42</v>
      </c>
    </row>
    <row r="45">
      <c r="A45" t="inlineStr">
        <is>
          <t>MOQUEGUA</t>
        </is>
      </c>
      <c r="B45" t="inlineStr">
        <is>
          <t>ILO</t>
        </is>
      </c>
      <c r="C45" t="inlineStr">
        <is>
          <t>ILO</t>
        </is>
      </c>
      <c r="D45" t="inlineStr">
        <is>
          <t>180301</t>
        </is>
      </c>
      <c r="E45" t="inlineStr">
        <is>
          <t>—</t>
        </is>
      </c>
      <c r="F45" s="11" t="n">
        <v>93735.32180000001</v>
      </c>
      <c r="G45" s="6">
        <f>IF($F$217=0,0,F45/$F$217)</f>
        <v/>
      </c>
      <c r="H45" s="5" t="n">
        <v>21711.03</v>
      </c>
      <c r="I45" t="n">
        <v>4</v>
      </c>
      <c r="J45" t="n">
        <v>2</v>
      </c>
      <c r="L45" s="5" t="n">
        <v>65133.08</v>
      </c>
    </row>
    <row r="46">
      <c r="A46" t="inlineStr">
        <is>
          <t>PIURA</t>
        </is>
      </c>
      <c r="B46" t="inlineStr">
        <is>
          <t>PIURA</t>
        </is>
      </c>
      <c r="C46" t="inlineStr">
        <is>
          <t>CASTILLA</t>
        </is>
      </c>
      <c r="D46" t="inlineStr">
        <is>
          <t>200104</t>
        </is>
      </c>
      <c r="E46" t="inlineStr">
        <is>
          <t>—</t>
        </is>
      </c>
      <c r="F46" s="11" t="n">
        <v>92918.5353</v>
      </c>
      <c r="G46" s="6">
        <f>IF($F$217=0,0,F46/$F$217)</f>
        <v/>
      </c>
      <c r="H46" s="5" t="n">
        <v>21521.84</v>
      </c>
      <c r="I46" t="n">
        <v>2</v>
      </c>
      <c r="J46" t="n">
        <v>5</v>
      </c>
      <c r="L46" s="5" t="n">
        <v>75326.44</v>
      </c>
    </row>
    <row r="47">
      <c r="A47" t="inlineStr">
        <is>
          <t>CAJAMARCA</t>
        </is>
      </c>
      <c r="B47" t="inlineStr">
        <is>
          <t>CHOTA</t>
        </is>
      </c>
      <c r="C47" t="inlineStr">
        <is>
          <t>CHOTA</t>
        </is>
      </c>
      <c r="D47" t="inlineStr">
        <is>
          <t>060401</t>
        </is>
      </c>
      <c r="E47" t="inlineStr">
        <is>
          <t>—</t>
        </is>
      </c>
      <c r="F47" s="11" t="n">
        <v>92800.6302</v>
      </c>
      <c r="G47" s="6">
        <f>IF($F$217=0,0,F47/$F$217)</f>
        <v/>
      </c>
      <c r="H47" s="5" t="n">
        <v>21494.53</v>
      </c>
      <c r="I47" t="n">
        <v>4</v>
      </c>
      <c r="J47" t="n">
        <v>3</v>
      </c>
      <c r="K47" t="n">
        <v>3</v>
      </c>
      <c r="L47" s="5" t="n">
        <v>71648.44</v>
      </c>
    </row>
    <row r="48">
      <c r="A48" t="inlineStr">
        <is>
          <t>AREQUIPA</t>
        </is>
      </c>
      <c r="B48" t="inlineStr">
        <is>
          <t>AREQUIPA</t>
        </is>
      </c>
      <c r="C48" t="inlineStr">
        <is>
          <t>JOSE LUIS BUSTAMANTE Y RIVERO</t>
        </is>
      </c>
      <c r="D48" t="inlineStr">
        <is>
          <t>040129</t>
        </is>
      </c>
      <c r="E48" t="inlineStr">
        <is>
          <t>—</t>
        </is>
      </c>
      <c r="F48" s="11" t="n">
        <v>91389.2237</v>
      </c>
      <c r="G48" s="6">
        <f>IF($F$217=0,0,F48/$F$217)</f>
        <v/>
      </c>
      <c r="H48" s="5" t="n">
        <v>21167.62</v>
      </c>
      <c r="I48" t="n">
        <v>2</v>
      </c>
      <c r="J48" t="n">
        <v>5</v>
      </c>
      <c r="L48" s="5" t="n">
        <v>74086.67</v>
      </c>
    </row>
    <row r="49">
      <c r="A49" t="inlineStr">
        <is>
          <t>JUNIN</t>
        </is>
      </c>
      <c r="B49" t="inlineStr">
        <is>
          <t>HUANCAYO</t>
        </is>
      </c>
      <c r="C49" t="inlineStr">
        <is>
          <t>HUANCAYO</t>
        </is>
      </c>
      <c r="D49" t="inlineStr">
        <is>
          <t>120101</t>
        </is>
      </c>
      <c r="E49" t="inlineStr">
        <is>
          <t>—</t>
        </is>
      </c>
      <c r="F49" s="11" t="n">
        <v>90188.8181</v>
      </c>
      <c r="G49" s="6">
        <f>IF($F$217=0,0,F49/$F$217)</f>
        <v/>
      </c>
      <c r="H49" s="5" t="n">
        <v>20889.58</v>
      </c>
      <c r="I49" t="n">
        <v>4</v>
      </c>
      <c r="J49" t="n">
        <v>2</v>
      </c>
      <c r="K49" t="n">
        <v>3</v>
      </c>
      <c r="L49" s="5" t="n">
        <v>62668.75</v>
      </c>
    </row>
    <row r="50">
      <c r="A50" t="inlineStr">
        <is>
          <t>AREQUIPA</t>
        </is>
      </c>
      <c r="B50" t="inlineStr">
        <is>
          <t>AREQUIPA</t>
        </is>
      </c>
      <c r="C50" t="inlineStr">
        <is>
          <t>AREQUIPA</t>
        </is>
      </c>
      <c r="D50" t="inlineStr">
        <is>
          <t>040101</t>
        </is>
      </c>
      <c r="E50" t="inlineStr">
        <is>
          <t>—</t>
        </is>
      </c>
      <c r="F50" s="11" t="n">
        <v>85866.16959999999</v>
      </c>
      <c r="G50" s="6">
        <f>IF($F$217=0,0,F50/$F$217)</f>
        <v/>
      </c>
      <c r="H50" s="5" t="n">
        <v>19888.37</v>
      </c>
      <c r="I50" t="n">
        <v>2</v>
      </c>
      <c r="J50" t="n">
        <v>5</v>
      </c>
      <c r="L50" s="5" t="n">
        <v>69609.28999999999</v>
      </c>
    </row>
    <row r="51">
      <c r="A51" t="inlineStr">
        <is>
          <t>AREQUIPA</t>
        </is>
      </c>
      <c r="B51" t="inlineStr">
        <is>
          <t>AREQUIPA</t>
        </is>
      </c>
      <c r="C51" t="inlineStr">
        <is>
          <t>LA JOYA</t>
        </is>
      </c>
      <c r="D51" t="inlineStr">
        <is>
          <t>040108</t>
        </is>
      </c>
      <c r="E51" t="inlineStr">
        <is>
          <t>—</t>
        </is>
      </c>
      <c r="F51" s="11" t="n">
        <v>85244.3904</v>
      </c>
      <c r="G51" s="6">
        <f>IF($F$217=0,0,F51/$F$217)</f>
        <v/>
      </c>
      <c r="H51" s="5" t="n">
        <v>19744.35</v>
      </c>
      <c r="I51" t="n">
        <v>4</v>
      </c>
      <c r="J51" t="n">
        <v>4</v>
      </c>
      <c r="L51" s="5" t="n">
        <v>78977.39999999999</v>
      </c>
    </row>
    <row r="52">
      <c r="A52" t="inlineStr">
        <is>
          <t>CUSCO</t>
        </is>
      </c>
      <c r="B52" t="inlineStr">
        <is>
          <t>CUSCO</t>
        </is>
      </c>
      <c r="C52" t="inlineStr">
        <is>
          <t>WANCHAQ</t>
        </is>
      </c>
      <c r="D52" t="inlineStr">
        <is>
          <t>080108</t>
        </is>
      </c>
      <c r="E52" t="inlineStr">
        <is>
          <t>—</t>
        </is>
      </c>
      <c r="F52" s="11" t="n">
        <v>84801.6964</v>
      </c>
      <c r="G52" s="6">
        <f>IF($F$217=0,0,F52/$F$217)</f>
        <v/>
      </c>
      <c r="H52" s="5" t="n">
        <v>19641.81</v>
      </c>
      <c r="I52" t="n">
        <v>3</v>
      </c>
      <c r="J52" t="n">
        <v>4</v>
      </c>
      <c r="K52" t="n">
        <v>4</v>
      </c>
      <c r="L52" s="5" t="n">
        <v>72019.98</v>
      </c>
    </row>
    <row r="53">
      <c r="A53" t="inlineStr">
        <is>
          <t>LAMBAYEQUE</t>
        </is>
      </c>
      <c r="B53" t="inlineStr">
        <is>
          <t>LAMBAYEQUE</t>
        </is>
      </c>
      <c r="C53" t="inlineStr">
        <is>
          <t>MOCHUMI</t>
        </is>
      </c>
      <c r="D53" t="inlineStr">
        <is>
          <t>140305</t>
        </is>
      </c>
      <c r="E53" t="inlineStr">
        <is>
          <t>—</t>
        </is>
      </c>
      <c r="F53" s="11" t="n">
        <v>84782.27340000001</v>
      </c>
      <c r="G53" s="6">
        <f>IF($F$217=0,0,F53/$F$217)</f>
        <v/>
      </c>
      <c r="H53" s="5" t="n">
        <v>19637.32</v>
      </c>
      <c r="I53" t="n">
        <v>1</v>
      </c>
      <c r="J53" t="n">
        <v>4</v>
      </c>
      <c r="L53" s="5" t="n">
        <v>49093.29</v>
      </c>
    </row>
    <row r="54">
      <c r="A54" t="inlineStr">
        <is>
          <t>TUMBES</t>
        </is>
      </c>
      <c r="B54" t="inlineStr">
        <is>
          <t>TUMBES</t>
        </is>
      </c>
      <c r="C54" t="inlineStr">
        <is>
          <t>TUMBES</t>
        </is>
      </c>
      <c r="D54" t="inlineStr">
        <is>
          <t>240101</t>
        </is>
      </c>
      <c r="E54" t="inlineStr">
        <is>
          <t>—</t>
        </is>
      </c>
      <c r="F54" s="11" t="n">
        <v>83545.93180000001</v>
      </c>
      <c r="G54" s="6">
        <f>IF($F$217=0,0,F54/$F$217)</f>
        <v/>
      </c>
      <c r="H54" s="5" t="n">
        <v>19350.95</v>
      </c>
      <c r="I54" t="n">
        <v>3</v>
      </c>
      <c r="J54" t="n">
        <v>5</v>
      </c>
      <c r="K54" t="n">
        <v>4</v>
      </c>
      <c r="L54" s="5" t="n">
        <v>77403.81</v>
      </c>
    </row>
    <row r="55">
      <c r="A55" t="inlineStr">
        <is>
          <t>ICA</t>
        </is>
      </c>
      <c r="B55" t="inlineStr">
        <is>
          <t>PISCO</t>
        </is>
      </c>
      <c r="C55" t="inlineStr">
        <is>
          <t>PISCO</t>
        </is>
      </c>
      <c r="D55" t="inlineStr">
        <is>
          <t>110501</t>
        </is>
      </c>
      <c r="E55" t="inlineStr">
        <is>
          <t>—</t>
        </is>
      </c>
      <c r="F55" s="11" t="n">
        <v>83275.6205</v>
      </c>
      <c r="G55" s="6">
        <f>IF($F$217=0,0,F55/$F$217)</f>
        <v/>
      </c>
      <c r="H55" s="5" t="n">
        <v>19288.34</v>
      </c>
      <c r="I55" t="n">
        <v>3</v>
      </c>
      <c r="J55" t="n">
        <v>5</v>
      </c>
      <c r="L55" s="5" t="n">
        <v>77153.37</v>
      </c>
    </row>
    <row r="56">
      <c r="A56" t="inlineStr">
        <is>
          <t>LIMA</t>
        </is>
      </c>
      <c r="B56" t="inlineStr">
        <is>
          <t>LIMA</t>
        </is>
      </c>
      <c r="C56" t="inlineStr">
        <is>
          <t>INDEPENDENCIA</t>
        </is>
      </c>
      <c r="D56" t="inlineStr">
        <is>
          <t>150112</t>
        </is>
      </c>
      <c r="E56" t="inlineStr">
        <is>
          <t>—</t>
        </is>
      </c>
      <c r="F56" s="11" t="n">
        <v>81576.9529</v>
      </c>
      <c r="G56" s="6">
        <f>IF($F$217=0,0,F56/$F$217)</f>
        <v/>
      </c>
      <c r="H56" s="5" t="n">
        <v>18894.9</v>
      </c>
      <c r="I56" t="n">
        <v>5</v>
      </c>
      <c r="J56" t="n">
        <v>2</v>
      </c>
      <c r="L56" s="5" t="n">
        <v>66132.14</v>
      </c>
    </row>
    <row r="57">
      <c r="A57" t="inlineStr">
        <is>
          <t>LIMA</t>
        </is>
      </c>
      <c r="B57" t="inlineStr">
        <is>
          <t>LIMA</t>
        </is>
      </c>
      <c r="C57" t="inlineStr">
        <is>
          <t>LURIGANCHO</t>
        </is>
      </c>
      <c r="D57" t="inlineStr">
        <is>
          <t>150118</t>
        </is>
      </c>
      <c r="E57" t="inlineStr">
        <is>
          <t>—</t>
        </is>
      </c>
      <c r="F57" s="11" t="n">
        <v>81415.799</v>
      </c>
      <c r="G57" s="6">
        <f>IF($F$217=0,0,F57/$F$217)</f>
        <v/>
      </c>
      <c r="H57" s="5" t="n">
        <v>18857.57</v>
      </c>
      <c r="I57" t="n">
        <v>5</v>
      </c>
      <c r="J57" t="n">
        <v>4</v>
      </c>
      <c r="L57" s="5" t="n">
        <v>84859.07000000001</v>
      </c>
    </row>
    <row r="58">
      <c r="A58" t="inlineStr">
        <is>
          <t>AREQUIPA</t>
        </is>
      </c>
      <c r="B58" t="inlineStr">
        <is>
          <t>AREQUIPA</t>
        </is>
      </c>
      <c r="C58" t="inlineStr">
        <is>
          <t>MIRAFLORES</t>
        </is>
      </c>
      <c r="D58" t="inlineStr">
        <is>
          <t>040110</t>
        </is>
      </c>
      <c r="E58" t="inlineStr">
        <is>
          <t>—</t>
        </is>
      </c>
      <c r="F58" s="11" t="n">
        <v>80173.4466</v>
      </c>
      <c r="G58" s="6">
        <f>IF($F$217=0,0,F58/$F$217)</f>
        <v/>
      </c>
      <c r="H58" s="5" t="n">
        <v>18569.82</v>
      </c>
      <c r="I58" t="n">
        <v>5</v>
      </c>
      <c r="J58" t="n">
        <v>3</v>
      </c>
      <c r="K58" t="n">
        <v>2</v>
      </c>
      <c r="L58" s="5" t="n">
        <v>61899.39</v>
      </c>
    </row>
    <row r="59">
      <c r="A59" t="inlineStr">
        <is>
          <t>LIMA</t>
        </is>
      </c>
      <c r="B59" t="inlineStr">
        <is>
          <t>LIMA</t>
        </is>
      </c>
      <c r="C59" t="inlineStr">
        <is>
          <t>LURIN</t>
        </is>
      </c>
      <c r="D59" t="inlineStr">
        <is>
          <t>150119</t>
        </is>
      </c>
      <c r="E59" t="inlineStr">
        <is>
          <t>—</t>
        </is>
      </c>
      <c r="F59" s="11" t="n">
        <v>79785.9725</v>
      </c>
      <c r="G59" s="6">
        <f>IF($F$217=0,0,F59/$F$217)</f>
        <v/>
      </c>
      <c r="H59" s="5" t="n">
        <v>18480.07</v>
      </c>
      <c r="I59" t="n">
        <v>3</v>
      </c>
      <c r="J59" t="n">
        <v>3</v>
      </c>
      <c r="L59" s="5" t="n">
        <v>55440.21</v>
      </c>
    </row>
    <row r="60">
      <c r="A60" t="inlineStr">
        <is>
          <t>AREQUIPA</t>
        </is>
      </c>
      <c r="B60" t="inlineStr">
        <is>
          <t>CAYLLOMA</t>
        </is>
      </c>
      <c r="C60" t="inlineStr">
        <is>
          <t>MAJES</t>
        </is>
      </c>
      <c r="D60" t="inlineStr">
        <is>
          <t>040520</t>
        </is>
      </c>
      <c r="E60" t="inlineStr">
        <is>
          <t>—</t>
        </is>
      </c>
      <c r="F60" s="11" t="n">
        <v>79638.71950000001</v>
      </c>
      <c r="G60" s="6">
        <f>IF($F$217=0,0,F60/$F$217)</f>
        <v/>
      </c>
      <c r="H60" s="5" t="n">
        <v>18445.96</v>
      </c>
      <c r="I60" t="n">
        <v>4</v>
      </c>
      <c r="J60" t="n">
        <v>4</v>
      </c>
      <c r="L60" s="5" t="n">
        <v>73783.85000000001</v>
      </c>
    </row>
    <row r="61">
      <c r="A61" t="inlineStr">
        <is>
          <t>JUNIN</t>
        </is>
      </c>
      <c r="B61" t="inlineStr">
        <is>
          <t>CHUPACA</t>
        </is>
      </c>
      <c r="C61" t="inlineStr">
        <is>
          <t>CHUPACA</t>
        </is>
      </c>
      <c r="D61" t="inlineStr">
        <is>
          <t>120901</t>
        </is>
      </c>
      <c r="E61" t="inlineStr">
        <is>
          <t>—</t>
        </is>
      </c>
      <c r="F61" s="11" t="n">
        <v>78161.5102</v>
      </c>
      <c r="G61" s="6">
        <f>IF($F$217=0,0,F61/$F$217)</f>
        <v/>
      </c>
      <c r="H61" s="5" t="n">
        <v>18103.81</v>
      </c>
      <c r="I61" t="n">
        <v>1</v>
      </c>
      <c r="J61" t="n">
        <v>5</v>
      </c>
      <c r="K61" t="n">
        <v>3</v>
      </c>
      <c r="L61" s="5" t="n">
        <v>54311.43</v>
      </c>
    </row>
    <row r="62">
      <c r="A62" t="inlineStr">
        <is>
          <t>ICA</t>
        </is>
      </c>
      <c r="B62" t="inlineStr">
        <is>
          <t>ICA</t>
        </is>
      </c>
      <c r="C62" t="inlineStr">
        <is>
          <t>ICA</t>
        </is>
      </c>
      <c r="D62" t="inlineStr">
        <is>
          <t>110101</t>
        </is>
      </c>
      <c r="E62" t="inlineStr">
        <is>
          <t>—</t>
        </is>
      </c>
      <c r="F62" s="11" t="n">
        <v>76633.2432</v>
      </c>
      <c r="G62" s="6">
        <f>IF($F$217=0,0,F62/$F$217)</f>
        <v/>
      </c>
      <c r="H62" s="5" t="n">
        <v>17749.83</v>
      </c>
      <c r="I62" t="n">
        <v>1</v>
      </c>
      <c r="J62" t="n">
        <v>5</v>
      </c>
      <c r="L62" s="5" t="n">
        <v>53249.5</v>
      </c>
    </row>
    <row r="63">
      <c r="A63" t="inlineStr">
        <is>
          <t>LAMBAYEQUE</t>
        </is>
      </c>
      <c r="B63" t="inlineStr">
        <is>
          <t>LAMBAYEQUE</t>
        </is>
      </c>
      <c r="C63" t="inlineStr">
        <is>
          <t>MORROPE</t>
        </is>
      </c>
      <c r="D63" t="inlineStr">
        <is>
          <t>140306</t>
        </is>
      </c>
      <c r="E63" t="inlineStr">
        <is>
          <t>—</t>
        </is>
      </c>
      <c r="F63" s="11" t="n">
        <v>76081.9578</v>
      </c>
      <c r="G63" s="6">
        <f>IF($F$217=0,0,F63/$F$217)</f>
        <v/>
      </c>
      <c r="H63" s="5" t="n">
        <v>17622.14</v>
      </c>
      <c r="I63" t="n">
        <v>2</v>
      </c>
      <c r="J63" t="n">
        <v>5</v>
      </c>
      <c r="L63" s="5" t="n">
        <v>61677.5</v>
      </c>
    </row>
    <row r="64">
      <c r="A64" t="inlineStr">
        <is>
          <t>MOQUEGUA</t>
        </is>
      </c>
      <c r="B64" t="inlineStr">
        <is>
          <t>MARISCAL NIETO</t>
        </is>
      </c>
      <c r="C64" t="inlineStr">
        <is>
          <t>MOQUEGUA</t>
        </is>
      </c>
      <c r="D64" t="inlineStr">
        <is>
          <t>180101</t>
        </is>
      </c>
      <c r="E64" t="inlineStr">
        <is>
          <t>—</t>
        </is>
      </c>
      <c r="F64" s="11" t="n">
        <v>76021.2548</v>
      </c>
      <c r="G64" s="6">
        <f>IF($F$217=0,0,F64/$F$217)</f>
        <v/>
      </c>
      <c r="H64" s="5" t="n">
        <v>17608.08</v>
      </c>
      <c r="I64" t="n">
        <v>4</v>
      </c>
      <c r="J64" t="n">
        <v>4</v>
      </c>
      <c r="L64" s="5" t="n">
        <v>70432.33</v>
      </c>
    </row>
    <row r="65">
      <c r="A65" t="inlineStr">
        <is>
          <t>LA LIBERTAD</t>
        </is>
      </c>
      <c r="B65" t="inlineStr">
        <is>
          <t>OTUZCO</t>
        </is>
      </c>
      <c r="C65" t="inlineStr">
        <is>
          <t>OTUZCO</t>
        </is>
      </c>
      <c r="D65" t="inlineStr">
        <is>
          <t>130601</t>
        </is>
      </c>
      <c r="E65" t="inlineStr">
        <is>
          <t>—</t>
        </is>
      </c>
      <c r="F65" s="11" t="n">
        <v>75366.3823</v>
      </c>
      <c r="G65" s="6">
        <f>IF($F$217=0,0,F65/$F$217)</f>
        <v/>
      </c>
      <c r="H65" s="5" t="n">
        <v>17456.4</v>
      </c>
      <c r="I65" t="n">
        <v>5</v>
      </c>
      <c r="J65" t="n">
        <v>2</v>
      </c>
      <c r="K65" t="n">
        <v>3</v>
      </c>
      <c r="L65" s="5" t="n">
        <v>58188</v>
      </c>
    </row>
    <row r="66">
      <c r="A66" t="inlineStr">
        <is>
          <t>CAJAMARCA</t>
        </is>
      </c>
      <c r="B66" t="inlineStr">
        <is>
          <t>HUALGAYOC</t>
        </is>
      </c>
      <c r="C66" t="inlineStr">
        <is>
          <t>BAMBAMARCA</t>
        </is>
      </c>
      <c r="D66" t="inlineStr">
        <is>
          <t>060701</t>
        </is>
      </c>
      <c r="E66" t="inlineStr">
        <is>
          <t>—</t>
        </is>
      </c>
      <c r="F66" s="11" t="n">
        <v>74684.4327</v>
      </c>
      <c r="G66" s="6">
        <f>IF($F$217=0,0,F66/$F$217)</f>
        <v/>
      </c>
      <c r="H66" s="5" t="n">
        <v>17298.45</v>
      </c>
      <c r="I66" t="n">
        <v>4</v>
      </c>
      <c r="J66" t="n">
        <v>2</v>
      </c>
      <c r="K66" t="n">
        <v>3</v>
      </c>
      <c r="L66" s="5" t="n">
        <v>51895.34</v>
      </c>
    </row>
    <row r="67">
      <c r="A67" t="inlineStr">
        <is>
          <t>PIURA</t>
        </is>
      </c>
      <c r="B67" t="inlineStr">
        <is>
          <t>MORROPON</t>
        </is>
      </c>
      <c r="C67" t="inlineStr">
        <is>
          <t>CHULUCANAS</t>
        </is>
      </c>
      <c r="D67" t="inlineStr">
        <is>
          <t>200401</t>
        </is>
      </c>
      <c r="E67" t="inlineStr">
        <is>
          <t>—</t>
        </is>
      </c>
      <c r="F67" s="11" t="n">
        <v>72132.0098</v>
      </c>
      <c r="G67" s="6">
        <f>IF($F$217=0,0,F67/$F$217)</f>
        <v/>
      </c>
      <c r="H67" s="5" t="n">
        <v>16707.25</v>
      </c>
      <c r="I67" t="n">
        <v>2</v>
      </c>
      <c r="J67" t="n">
        <v>5</v>
      </c>
      <c r="K67" t="n">
        <v>2</v>
      </c>
      <c r="L67" s="5" t="n">
        <v>50121.76</v>
      </c>
    </row>
    <row r="68">
      <c r="A68" t="inlineStr">
        <is>
          <t>AREQUIPA</t>
        </is>
      </c>
      <c r="B68" t="inlineStr">
        <is>
          <t>AREQUIPA</t>
        </is>
      </c>
      <c r="C68" t="inlineStr">
        <is>
          <t>JACOBO HUNTER</t>
        </is>
      </c>
      <c r="D68" t="inlineStr">
        <is>
          <t>040107</t>
        </is>
      </c>
      <c r="E68" t="inlineStr">
        <is>
          <t>—</t>
        </is>
      </c>
      <c r="F68" s="11" t="n">
        <v>71845.04519999999</v>
      </c>
      <c r="G68" s="6">
        <f>IF($F$217=0,0,F68/$F$217)</f>
        <v/>
      </c>
      <c r="H68" s="5" t="n">
        <v>16640.79</v>
      </c>
      <c r="I68" t="n">
        <v>4</v>
      </c>
      <c r="J68" t="n">
        <v>4</v>
      </c>
      <c r="L68" s="5" t="n">
        <v>66563.14999999999</v>
      </c>
    </row>
    <row r="69">
      <c r="A69" t="inlineStr">
        <is>
          <t>LIMA</t>
        </is>
      </c>
      <c r="B69" t="inlineStr">
        <is>
          <t>HUAROCHIRI</t>
        </is>
      </c>
      <c r="C69" t="inlineStr">
        <is>
          <t>SAN ANTONIO</t>
        </is>
      </c>
      <c r="D69" t="inlineStr">
        <is>
          <t>150716</t>
        </is>
      </c>
      <c r="E69" t="inlineStr">
        <is>
          <t>—</t>
        </is>
      </c>
      <c r="F69" s="11" t="n">
        <v>71702.1591</v>
      </c>
      <c r="G69" s="6">
        <f>IF($F$217=0,0,F69/$F$217)</f>
        <v/>
      </c>
      <c r="H69" s="5" t="n">
        <v>16607.69</v>
      </c>
      <c r="I69" t="n">
        <v>4</v>
      </c>
      <c r="J69" t="n">
        <v>1</v>
      </c>
      <c r="K69" t="n">
        <v>4</v>
      </c>
      <c r="L69" s="5" t="n">
        <v>49823.08</v>
      </c>
    </row>
    <row r="70">
      <c r="A70" t="inlineStr">
        <is>
          <t>JUNIN</t>
        </is>
      </c>
      <c r="B70" t="inlineStr">
        <is>
          <t>HUANCAYO</t>
        </is>
      </c>
      <c r="C70" t="inlineStr">
        <is>
          <t>CHILCA</t>
        </is>
      </c>
      <c r="D70" t="inlineStr">
        <is>
          <t>120107</t>
        </is>
      </c>
      <c r="E70" t="inlineStr">
        <is>
          <t>—</t>
        </is>
      </c>
      <c r="F70" s="11" t="n">
        <v>70918.63770000001</v>
      </c>
      <c r="G70" s="6">
        <f>IF($F$217=0,0,F70/$F$217)</f>
        <v/>
      </c>
      <c r="H70" s="5" t="n">
        <v>16426.21</v>
      </c>
      <c r="I70" t="n">
        <v>4</v>
      </c>
      <c r="J70" t="n">
        <v>2</v>
      </c>
      <c r="K70" t="n">
        <v>3</v>
      </c>
      <c r="L70" s="5" t="n">
        <v>49278.64</v>
      </c>
    </row>
    <row r="71">
      <c r="A71" t="inlineStr">
        <is>
          <t>LORETO</t>
        </is>
      </c>
      <c r="B71" t="inlineStr">
        <is>
          <t>MAYNAS</t>
        </is>
      </c>
      <c r="C71" t="inlineStr">
        <is>
          <t>IQUITOS</t>
        </is>
      </c>
      <c r="D71" t="inlineStr">
        <is>
          <t>160101</t>
        </is>
      </c>
      <c r="E71" t="inlineStr">
        <is>
          <t>—</t>
        </is>
      </c>
      <c r="F71" s="11" t="n">
        <v>70703.6966</v>
      </c>
      <c r="G71" s="6">
        <f>IF($F$217=0,0,F71/$F$217)</f>
        <v/>
      </c>
      <c r="H71" s="5" t="n">
        <v>16376.43</v>
      </c>
      <c r="I71" t="n">
        <v>3</v>
      </c>
      <c r="J71" t="n">
        <v>4</v>
      </c>
      <c r="K71" t="n">
        <v>2</v>
      </c>
      <c r="L71" s="5" t="n">
        <v>49129.28</v>
      </c>
    </row>
    <row r="72">
      <c r="A72" t="inlineStr">
        <is>
          <t>ANCASH</t>
        </is>
      </c>
      <c r="B72" t="inlineStr">
        <is>
          <t>SANTA</t>
        </is>
      </c>
      <c r="C72" t="inlineStr">
        <is>
          <t>NUEVO CHIMBOTE</t>
        </is>
      </c>
      <c r="D72" t="inlineStr">
        <is>
          <t>021809</t>
        </is>
      </c>
      <c r="E72" t="inlineStr">
        <is>
          <t>—</t>
        </is>
      </c>
      <c r="F72" s="11" t="n">
        <v>66747.2708</v>
      </c>
      <c r="G72" s="6">
        <f>IF($F$217=0,0,F72/$F$217)</f>
        <v/>
      </c>
      <c r="H72" s="5" t="n">
        <v>15460.04</v>
      </c>
      <c r="I72" t="n">
        <v>2</v>
      </c>
      <c r="J72" t="n">
        <v>3</v>
      </c>
      <c r="L72" s="5" t="n">
        <v>38650.1</v>
      </c>
    </row>
    <row r="73">
      <c r="A73" t="inlineStr">
        <is>
          <t>LAMBAYEQUE</t>
        </is>
      </c>
      <c r="B73" t="inlineStr">
        <is>
          <t>CHICLAYO</t>
        </is>
      </c>
      <c r="C73" t="inlineStr">
        <is>
          <t>LA VICTORIA</t>
        </is>
      </c>
      <c r="D73" t="inlineStr">
        <is>
          <t>140106</t>
        </is>
      </c>
      <c r="E73" t="inlineStr">
        <is>
          <t>—</t>
        </is>
      </c>
      <c r="F73" s="11" t="n">
        <v>66111.3821</v>
      </c>
      <c r="G73" s="6">
        <f>IF($F$217=0,0,F73/$F$217)</f>
        <v/>
      </c>
      <c r="H73" s="5" t="n">
        <v>15312.75</v>
      </c>
      <c r="I73" t="n">
        <v>1</v>
      </c>
      <c r="J73" t="n">
        <v>4</v>
      </c>
      <c r="L73" s="5" t="n">
        <v>38281.88</v>
      </c>
    </row>
    <row r="74">
      <c r="A74" t="inlineStr">
        <is>
          <t>LA LIBERTAD</t>
        </is>
      </c>
      <c r="B74" t="inlineStr">
        <is>
          <t>VIRU</t>
        </is>
      </c>
      <c r="C74" t="inlineStr">
        <is>
          <t>VIRU</t>
        </is>
      </c>
      <c r="D74" t="inlineStr">
        <is>
          <t>131201</t>
        </is>
      </c>
      <c r="E74" t="inlineStr">
        <is>
          <t>—</t>
        </is>
      </c>
      <c r="F74" s="11" t="n">
        <v>65173.5881</v>
      </c>
      <c r="G74" s="6">
        <f>IF($F$217=0,0,F74/$F$217)</f>
        <v/>
      </c>
      <c r="H74" s="5" t="n">
        <v>15095.54</v>
      </c>
      <c r="I74" t="n">
        <v>5</v>
      </c>
      <c r="J74" t="n">
        <v>4</v>
      </c>
      <c r="K74" t="n">
        <v>3</v>
      </c>
      <c r="L74" s="5" t="n">
        <v>60382.16</v>
      </c>
    </row>
    <row r="75">
      <c r="A75" t="inlineStr">
        <is>
          <t>LIMA</t>
        </is>
      </c>
      <c r="B75" t="inlineStr">
        <is>
          <t>LIMA</t>
        </is>
      </c>
      <c r="C75" t="inlineStr">
        <is>
          <t>CARABAYLLO</t>
        </is>
      </c>
      <c r="D75" t="inlineStr">
        <is>
          <t>150106</t>
        </is>
      </c>
      <c r="E75" t="inlineStr">
        <is>
          <t>—</t>
        </is>
      </c>
      <c r="F75" s="11" t="n">
        <v>64746.4938</v>
      </c>
      <c r="G75" s="6">
        <f>IF($F$217=0,0,F75/$F$217)</f>
        <v/>
      </c>
      <c r="H75" s="5" t="n">
        <v>14996.62</v>
      </c>
      <c r="I75" t="n">
        <v>5</v>
      </c>
      <c r="J75" t="n">
        <v>3</v>
      </c>
      <c r="L75" s="5" t="n">
        <v>59986.47</v>
      </c>
    </row>
    <row r="76">
      <c r="A76" t="inlineStr">
        <is>
          <t>CUSCO</t>
        </is>
      </c>
      <c r="B76" t="inlineStr">
        <is>
          <t>CUSCO</t>
        </is>
      </c>
      <c r="C76" t="inlineStr">
        <is>
          <t>SAN SEBASTIAN</t>
        </is>
      </c>
      <c r="D76" t="inlineStr">
        <is>
          <t>080105</t>
        </is>
      </c>
      <c r="E76" t="inlineStr">
        <is>
          <t>—</t>
        </is>
      </c>
      <c r="F76" s="11" t="n">
        <v>63279.0629</v>
      </c>
      <c r="G76" s="6">
        <f>IF($F$217=0,0,F76/$F$217)</f>
        <v/>
      </c>
      <c r="H76" s="5" t="n">
        <v>14656.73</v>
      </c>
      <c r="I76" t="n">
        <v>4</v>
      </c>
      <c r="J76" t="n">
        <v>2</v>
      </c>
      <c r="K76" t="n">
        <v>3</v>
      </c>
      <c r="L76" s="5" t="n">
        <v>43970.19</v>
      </c>
    </row>
    <row r="77">
      <c r="A77" t="inlineStr">
        <is>
          <t>LIMA</t>
        </is>
      </c>
      <c r="B77" t="inlineStr">
        <is>
          <t>CAÑETE</t>
        </is>
      </c>
      <c r="C77" t="inlineStr">
        <is>
          <t>SAN VICENTE DE CAÑETE</t>
        </is>
      </c>
      <c r="D77" t="inlineStr">
        <is>
          <t>150501</t>
        </is>
      </c>
      <c r="E77" t="inlineStr">
        <is>
          <t>—</t>
        </is>
      </c>
      <c r="F77" s="11" t="n">
        <v>62396.4575</v>
      </c>
      <c r="G77" s="6">
        <f>IF($F$217=0,0,F77/$F$217)</f>
        <v/>
      </c>
      <c r="H77" s="5" t="n">
        <v>14452.3</v>
      </c>
      <c r="I77" t="n">
        <v>3</v>
      </c>
      <c r="J77" t="n">
        <v>5</v>
      </c>
      <c r="L77" s="5" t="n">
        <v>57809.2</v>
      </c>
    </row>
    <row r="78">
      <c r="A78" t="inlineStr">
        <is>
          <t>APURIMAC</t>
        </is>
      </c>
      <c r="B78" t="inlineStr">
        <is>
          <t>ANDAHUAYLAS</t>
        </is>
      </c>
      <c r="C78" t="inlineStr">
        <is>
          <t>ANDAHUAYLAS</t>
        </is>
      </c>
      <c r="D78" t="inlineStr">
        <is>
          <t>030201</t>
        </is>
      </c>
      <c r="E78" t="inlineStr">
        <is>
          <t>—</t>
        </is>
      </c>
      <c r="F78" s="11" t="n">
        <v>58600.2383</v>
      </c>
      <c r="G78" s="6">
        <f>IF($F$217=0,0,F78/$F$217)</f>
        <v/>
      </c>
      <c r="H78" s="5" t="n">
        <v>13573.02</v>
      </c>
      <c r="I78" t="n">
        <v>3</v>
      </c>
      <c r="J78" t="n">
        <v>3</v>
      </c>
      <c r="K78" t="n">
        <v>3</v>
      </c>
      <c r="L78" s="5" t="n">
        <v>40719.05</v>
      </c>
    </row>
    <row r="79">
      <c r="A79" t="inlineStr">
        <is>
          <t>LIMA</t>
        </is>
      </c>
      <c r="B79" t="inlineStr">
        <is>
          <t>HUAURA</t>
        </is>
      </c>
      <c r="C79" t="inlineStr">
        <is>
          <t>HUACHO</t>
        </is>
      </c>
      <c r="D79" t="inlineStr">
        <is>
          <t>150801</t>
        </is>
      </c>
      <c r="E79" t="inlineStr">
        <is>
          <t>—</t>
        </is>
      </c>
      <c r="F79" s="11" t="n">
        <v>58583.499</v>
      </c>
      <c r="G79" s="6">
        <f>IF($F$217=0,0,F79/$F$217)</f>
        <v/>
      </c>
      <c r="H79" s="5" t="n">
        <v>13569.14</v>
      </c>
      <c r="I79" t="n">
        <v>3</v>
      </c>
      <c r="J79" t="n">
        <v>3</v>
      </c>
      <c r="L79" s="5" t="n">
        <v>40707.42</v>
      </c>
    </row>
    <row r="80">
      <c r="A80" t="inlineStr">
        <is>
          <t>CUSCO</t>
        </is>
      </c>
      <c r="B80" t="inlineStr">
        <is>
          <t>LA CONVENCION</t>
        </is>
      </c>
      <c r="C80" t="inlineStr">
        <is>
          <t>SANTA ANA</t>
        </is>
      </c>
      <c r="D80" t="inlineStr">
        <is>
          <t>080901</t>
        </is>
      </c>
      <c r="E80" t="inlineStr">
        <is>
          <t>—</t>
        </is>
      </c>
      <c r="F80" s="11" t="n">
        <v>58494.9741</v>
      </c>
      <c r="G80" s="6">
        <f>IF($F$217=0,0,F80/$F$217)</f>
        <v/>
      </c>
      <c r="H80" s="5" t="n">
        <v>13548.64</v>
      </c>
      <c r="I80" t="n">
        <v>4</v>
      </c>
      <c r="J80" t="n">
        <v>2</v>
      </c>
      <c r="K80" t="n">
        <v>2</v>
      </c>
      <c r="L80" s="5" t="n">
        <v>36129.7</v>
      </c>
    </row>
    <row r="81">
      <c r="A81" t="inlineStr">
        <is>
          <t>JUNIN</t>
        </is>
      </c>
      <c r="B81" t="inlineStr">
        <is>
          <t>TARMA</t>
        </is>
      </c>
      <c r="C81" t="inlineStr">
        <is>
          <t>TARMA</t>
        </is>
      </c>
      <c r="D81" t="inlineStr">
        <is>
          <t>120701</t>
        </is>
      </c>
      <c r="E81" t="inlineStr">
        <is>
          <t>—</t>
        </is>
      </c>
      <c r="F81" s="11" t="n">
        <v>58196.9786</v>
      </c>
      <c r="G81" s="6">
        <f>IF($F$217=0,0,F81/$F$217)</f>
        <v/>
      </c>
      <c r="H81" s="5" t="n">
        <v>13479.62</v>
      </c>
      <c r="I81" t="n">
        <v>5</v>
      </c>
      <c r="J81" t="n">
        <v>2</v>
      </c>
      <c r="K81" t="n">
        <v>5</v>
      </c>
      <c r="L81" s="5" t="n">
        <v>53918.46</v>
      </c>
    </row>
    <row r="82">
      <c r="A82" t="inlineStr">
        <is>
          <t>LIMA</t>
        </is>
      </c>
      <c r="B82" t="inlineStr">
        <is>
          <t>LIMA</t>
        </is>
      </c>
      <c r="C82" t="inlineStr">
        <is>
          <t>EL AGUSTINO</t>
        </is>
      </c>
      <c r="D82" t="inlineStr">
        <is>
          <t>150111</t>
        </is>
      </c>
      <c r="E82" t="inlineStr">
        <is>
          <t>—</t>
        </is>
      </c>
      <c r="F82" s="11" t="n">
        <v>56408.7148</v>
      </c>
      <c r="G82" s="6">
        <f>IF($F$217=0,0,F82/$F$217)</f>
        <v/>
      </c>
      <c r="H82" s="5" t="n">
        <v>13065.42</v>
      </c>
      <c r="I82" t="n">
        <v>2</v>
      </c>
      <c r="J82" t="n">
        <v>4</v>
      </c>
      <c r="L82" s="5" t="n">
        <v>39196.25</v>
      </c>
    </row>
    <row r="83">
      <c r="A83" t="inlineStr">
        <is>
          <t>PIURA</t>
        </is>
      </c>
      <c r="B83" t="inlineStr">
        <is>
          <t>PIURA</t>
        </is>
      </c>
      <c r="C83" t="inlineStr">
        <is>
          <t>TAMBO GRANDE</t>
        </is>
      </c>
      <c r="D83" t="inlineStr">
        <is>
          <t>200114</t>
        </is>
      </c>
      <c r="E83" t="inlineStr">
        <is>
          <t>—</t>
        </is>
      </c>
      <c r="F83" s="11" t="n">
        <v>56138.9064</v>
      </c>
      <c r="G83" s="6">
        <f>IF($F$217=0,0,F83/$F$217)</f>
        <v/>
      </c>
      <c r="H83" s="5" t="n">
        <v>13002.92</v>
      </c>
      <c r="I83" t="n">
        <v>4</v>
      </c>
      <c r="J83" t="n">
        <v>4</v>
      </c>
      <c r="K83" t="n">
        <v>2</v>
      </c>
      <c r="L83" s="5" t="n">
        <v>43343.08</v>
      </c>
    </row>
    <row r="84">
      <c r="A84" t="inlineStr">
        <is>
          <t>LIMA</t>
        </is>
      </c>
      <c r="B84" t="inlineStr">
        <is>
          <t>LIMA</t>
        </is>
      </c>
      <c r="C84" t="inlineStr">
        <is>
          <t>MIRAFLORES</t>
        </is>
      </c>
      <c r="D84" t="inlineStr">
        <is>
          <t>150122</t>
        </is>
      </c>
      <c r="E84" t="inlineStr">
        <is>
          <t>—</t>
        </is>
      </c>
      <c r="F84" s="11" t="n">
        <v>55401.8562</v>
      </c>
      <c r="G84" s="6">
        <f>IF($F$217=0,0,F84/$F$217)</f>
        <v/>
      </c>
      <c r="H84" s="5" t="n">
        <v>12832.21</v>
      </c>
      <c r="I84" t="n">
        <v>2</v>
      </c>
      <c r="J84" t="n">
        <v>4</v>
      </c>
      <c r="L84" s="5" t="n">
        <v>38496.62</v>
      </c>
    </row>
    <row r="85">
      <c r="A85" t="inlineStr">
        <is>
          <t>ANCASH</t>
        </is>
      </c>
      <c r="B85" t="inlineStr">
        <is>
          <t>CARHUAZ</t>
        </is>
      </c>
      <c r="C85" t="inlineStr">
        <is>
          <t>CARHUAZ</t>
        </is>
      </c>
      <c r="D85" t="inlineStr">
        <is>
          <t>020601</t>
        </is>
      </c>
      <c r="E85" t="inlineStr">
        <is>
          <t>—</t>
        </is>
      </c>
      <c r="F85" s="11" t="n">
        <v>54215.7483</v>
      </c>
      <c r="G85" s="6">
        <f>IF($F$217=0,0,F85/$F$217)</f>
        <v/>
      </c>
      <c r="H85" s="5" t="n">
        <v>12557.48</v>
      </c>
      <c r="I85" t="n">
        <v>4</v>
      </c>
      <c r="J85" t="n">
        <v>3</v>
      </c>
      <c r="K85" t="n">
        <v>3</v>
      </c>
      <c r="L85" s="5" t="n">
        <v>41858.27</v>
      </c>
    </row>
    <row r="86">
      <c r="A86" t="inlineStr">
        <is>
          <t>SAN MARTIN</t>
        </is>
      </c>
      <c r="B86" t="inlineStr">
        <is>
          <t>MOYOBAMBA</t>
        </is>
      </c>
      <c r="C86" t="inlineStr">
        <is>
          <t>MOYOBAMBA</t>
        </is>
      </c>
      <c r="D86" t="inlineStr">
        <is>
          <t>220101</t>
        </is>
      </c>
      <c r="E86" t="inlineStr">
        <is>
          <t>—</t>
        </is>
      </c>
      <c r="F86" s="11" t="n">
        <v>52127.1803</v>
      </c>
      <c r="G86" s="6">
        <f>IF($F$217=0,0,F86/$F$217)</f>
        <v/>
      </c>
      <c r="H86" s="5" t="n">
        <v>12073.73</v>
      </c>
      <c r="I86" t="n">
        <v>4</v>
      </c>
      <c r="J86" t="n">
        <v>4</v>
      </c>
      <c r="K86" t="n">
        <v>2</v>
      </c>
      <c r="L86" s="5" t="n">
        <v>40245.75</v>
      </c>
    </row>
    <row r="87">
      <c r="A87" t="inlineStr">
        <is>
          <t>CUSCO</t>
        </is>
      </c>
      <c r="B87" t="inlineStr">
        <is>
          <t>CUSCO</t>
        </is>
      </c>
      <c r="C87" t="inlineStr">
        <is>
          <t>SANTIAGO</t>
        </is>
      </c>
      <c r="D87" t="inlineStr">
        <is>
          <t>080106</t>
        </is>
      </c>
      <c r="E87" t="inlineStr">
        <is>
          <t>—</t>
        </is>
      </c>
      <c r="F87" s="11" t="n">
        <v>52035.7242</v>
      </c>
      <c r="G87" s="6">
        <f>IF($F$217=0,0,F87/$F$217)</f>
        <v/>
      </c>
      <c r="H87" s="5" t="n">
        <v>12052.54</v>
      </c>
      <c r="I87" t="n">
        <v>4</v>
      </c>
      <c r="J87" t="n">
        <v>2</v>
      </c>
      <c r="K87" t="n">
        <v>3</v>
      </c>
      <c r="L87" s="5" t="n">
        <v>36157.63</v>
      </c>
    </row>
    <row r="88">
      <c r="A88" t="inlineStr">
        <is>
          <t>AMAZONAS</t>
        </is>
      </c>
      <c r="B88" t="inlineStr">
        <is>
          <t>CHACHAPOYAS</t>
        </is>
      </c>
      <c r="C88" t="inlineStr">
        <is>
          <t>CHACHAPOYAS</t>
        </is>
      </c>
      <c r="D88" t="inlineStr">
        <is>
          <t>010101</t>
        </is>
      </c>
      <c r="E88" t="inlineStr">
        <is>
          <t>—</t>
        </is>
      </c>
      <c r="F88" s="11" t="n">
        <v>51937.4116</v>
      </c>
      <c r="G88" s="6">
        <f>IF($F$217=0,0,F88/$F$217)</f>
        <v/>
      </c>
      <c r="H88" s="5" t="n">
        <v>12029.77</v>
      </c>
      <c r="I88" t="n">
        <v>4</v>
      </c>
      <c r="J88" t="n">
        <v>1</v>
      </c>
      <c r="K88" t="n">
        <v>2</v>
      </c>
      <c r="L88" s="5" t="n">
        <v>28069.47</v>
      </c>
    </row>
    <row r="89">
      <c r="A89" t="inlineStr">
        <is>
          <t>SAN MARTIN</t>
        </is>
      </c>
      <c r="B89" t="inlineStr">
        <is>
          <t>RIOJA</t>
        </is>
      </c>
      <c r="C89" t="inlineStr">
        <is>
          <t>NUEVA CAJAMARCA</t>
        </is>
      </c>
      <c r="D89" t="inlineStr">
        <is>
          <t>220804</t>
        </is>
      </c>
      <c r="E89" t="inlineStr">
        <is>
          <t>—</t>
        </is>
      </c>
      <c r="F89" s="11" t="n">
        <v>51702.3264</v>
      </c>
      <c r="G89" s="6">
        <f>IF($F$217=0,0,F89/$F$217)</f>
        <v/>
      </c>
      <c r="H89" s="5" t="n">
        <v>11975.32</v>
      </c>
      <c r="I89" t="n">
        <v>4</v>
      </c>
      <c r="J89" t="n">
        <v>4</v>
      </c>
      <c r="K89" t="n">
        <v>2</v>
      </c>
      <c r="L89" s="5" t="n">
        <v>39917.73</v>
      </c>
    </row>
    <row r="90">
      <c r="A90" t="inlineStr">
        <is>
          <t>LAMBAYEQUE</t>
        </is>
      </c>
      <c r="B90" t="inlineStr">
        <is>
          <t>LAMBAYEQUE</t>
        </is>
      </c>
      <c r="C90" t="inlineStr">
        <is>
          <t>LAMBAYEQUE</t>
        </is>
      </c>
      <c r="D90" t="inlineStr">
        <is>
          <t>140301</t>
        </is>
      </c>
      <c r="E90" t="inlineStr">
        <is>
          <t>—</t>
        </is>
      </c>
      <c r="F90" s="11" t="n">
        <v>51645.0386</v>
      </c>
      <c r="G90" s="6">
        <f>IF($F$217=0,0,F90/$F$217)</f>
        <v/>
      </c>
      <c r="H90" s="5" t="n">
        <v>11962.05</v>
      </c>
      <c r="I90" t="n">
        <v>1</v>
      </c>
      <c r="J90" t="n">
        <v>4</v>
      </c>
      <c r="L90" s="5" t="n">
        <v>29905.13</v>
      </c>
    </row>
    <row r="91">
      <c r="A91" t="inlineStr">
        <is>
          <t>CUSCO</t>
        </is>
      </c>
      <c r="B91" t="inlineStr">
        <is>
          <t>CUSCO</t>
        </is>
      </c>
      <c r="C91" t="inlineStr">
        <is>
          <t>SAN JERONIMO</t>
        </is>
      </c>
      <c r="D91" t="inlineStr">
        <is>
          <t>080104</t>
        </is>
      </c>
      <c r="E91" t="inlineStr">
        <is>
          <t>—</t>
        </is>
      </c>
      <c r="F91" s="11" t="n">
        <v>50713.5683</v>
      </c>
      <c r="G91" s="6">
        <f>IF($F$217=0,0,F91/$F$217)</f>
        <v/>
      </c>
      <c r="H91" s="5" t="n">
        <v>11746.3</v>
      </c>
      <c r="I91" t="n">
        <v>4</v>
      </c>
      <c r="J91" t="n">
        <v>2</v>
      </c>
      <c r="K91" t="n">
        <v>3</v>
      </c>
      <c r="L91" s="5" t="n">
        <v>35238.91</v>
      </c>
    </row>
    <row r="92">
      <c r="A92" t="inlineStr">
        <is>
          <t>AREQUIPA</t>
        </is>
      </c>
      <c r="B92" t="inlineStr">
        <is>
          <t>ISLAY</t>
        </is>
      </c>
      <c r="C92" t="inlineStr">
        <is>
          <t>MOLLENDO</t>
        </is>
      </c>
      <c r="D92" t="inlineStr">
        <is>
          <t>040701</t>
        </is>
      </c>
      <c r="E92" t="inlineStr">
        <is>
          <t>—</t>
        </is>
      </c>
      <c r="F92" s="11" t="n">
        <v>50383.92</v>
      </c>
      <c r="G92" s="6">
        <f>IF($F$217=0,0,F92/$F$217)</f>
        <v/>
      </c>
      <c r="H92" s="5" t="n">
        <v>11669.95</v>
      </c>
      <c r="I92" t="n">
        <v>2</v>
      </c>
      <c r="J92" t="n">
        <v>4</v>
      </c>
      <c r="L92" s="5" t="n">
        <v>35009.85</v>
      </c>
    </row>
    <row r="93">
      <c r="A93" t="inlineStr">
        <is>
          <t>ANCASH</t>
        </is>
      </c>
      <c r="B93" t="inlineStr">
        <is>
          <t>SANTA</t>
        </is>
      </c>
      <c r="C93" t="inlineStr">
        <is>
          <t>SANTA</t>
        </is>
      </c>
      <c r="D93" t="inlineStr">
        <is>
          <t>021808</t>
        </is>
      </c>
      <c r="E93" t="inlineStr">
        <is>
          <t>—</t>
        </is>
      </c>
      <c r="F93" s="11" t="n">
        <v>49754.8467</v>
      </c>
      <c r="G93" s="6">
        <f>IF($F$217=0,0,F93/$F$217)</f>
        <v/>
      </c>
      <c r="H93" s="5" t="n">
        <v>11524.24</v>
      </c>
      <c r="I93" t="n">
        <v>1</v>
      </c>
      <c r="J93" t="n">
        <v>4</v>
      </c>
      <c r="L93" s="5" t="n">
        <v>28810.61</v>
      </c>
    </row>
    <row r="94">
      <c r="A94" t="inlineStr">
        <is>
          <t>AREQUIPA</t>
        </is>
      </c>
      <c r="B94" t="inlineStr">
        <is>
          <t>AREQUIPA</t>
        </is>
      </c>
      <c r="C94" t="inlineStr">
        <is>
          <t>SOCABAYA</t>
        </is>
      </c>
      <c r="D94" t="inlineStr">
        <is>
          <t>040122</t>
        </is>
      </c>
      <c r="E94" t="inlineStr">
        <is>
          <t>—</t>
        </is>
      </c>
      <c r="F94" s="11" t="n">
        <v>49745.2634</v>
      </c>
      <c r="G94" s="6">
        <f>IF($F$217=0,0,F94/$F$217)</f>
        <v/>
      </c>
      <c r="H94" s="5" t="n">
        <v>11522.02</v>
      </c>
      <c r="I94" t="n">
        <v>3</v>
      </c>
      <c r="J94" t="n">
        <v>5</v>
      </c>
      <c r="L94" s="5" t="n">
        <v>46088.1</v>
      </c>
    </row>
    <row r="95">
      <c r="A95" t="inlineStr">
        <is>
          <t>AREQUIPA</t>
        </is>
      </c>
      <c r="B95" t="inlineStr">
        <is>
          <t>CAMANA</t>
        </is>
      </c>
      <c r="C95" t="inlineStr">
        <is>
          <t>CAMANA</t>
        </is>
      </c>
      <c r="D95" t="inlineStr">
        <is>
          <t>040201</t>
        </is>
      </c>
      <c r="E95" t="inlineStr">
        <is>
          <t>—</t>
        </is>
      </c>
      <c r="F95" s="11" t="n">
        <v>49491.007</v>
      </c>
      <c r="G95" s="6">
        <f>IF($F$217=0,0,F95/$F$217)</f>
        <v/>
      </c>
      <c r="H95" s="5" t="n">
        <v>11463.13</v>
      </c>
      <c r="I95" t="n">
        <v>4</v>
      </c>
      <c r="J95" t="n">
        <v>4</v>
      </c>
      <c r="L95" s="5" t="n">
        <v>45852.53</v>
      </c>
    </row>
    <row r="96">
      <c r="A96" t="inlineStr">
        <is>
          <t>ICA</t>
        </is>
      </c>
      <c r="B96" t="inlineStr">
        <is>
          <t>CHINCHA</t>
        </is>
      </c>
      <c r="C96" t="inlineStr">
        <is>
          <t>CHINCHA ALTA</t>
        </is>
      </c>
      <c r="D96" t="inlineStr">
        <is>
          <t>110201</t>
        </is>
      </c>
      <c r="E96" t="inlineStr">
        <is>
          <t>—</t>
        </is>
      </c>
      <c r="F96" s="11" t="n">
        <v>48632.997</v>
      </c>
      <c r="G96" s="6">
        <f>IF($F$217=0,0,F96/$F$217)</f>
        <v/>
      </c>
      <c r="H96" s="5" t="n">
        <v>11264.4</v>
      </c>
      <c r="I96" t="n">
        <v>4</v>
      </c>
      <c r="J96" t="n">
        <v>4</v>
      </c>
      <c r="L96" s="5" t="n">
        <v>45057.6</v>
      </c>
    </row>
    <row r="97">
      <c r="A97" t="inlineStr">
        <is>
          <t>JUNIN</t>
        </is>
      </c>
      <c r="B97" t="inlineStr">
        <is>
          <t>CHANCHAMAYO</t>
        </is>
      </c>
      <c r="C97" t="inlineStr">
        <is>
          <t>CHANCHAMAYO</t>
        </is>
      </c>
      <c r="D97" t="inlineStr">
        <is>
          <t>120301</t>
        </is>
      </c>
      <c r="E97" t="inlineStr">
        <is>
          <t>—</t>
        </is>
      </c>
      <c r="F97" s="11" t="n">
        <v>48131.6289</v>
      </c>
      <c r="G97" s="6">
        <f>IF($F$217=0,0,F97/$F$217)</f>
        <v/>
      </c>
      <c r="H97" s="5" t="n">
        <v>11148.27</v>
      </c>
      <c r="I97" t="n">
        <v>5</v>
      </c>
      <c r="J97" t="n">
        <v>2</v>
      </c>
      <c r="K97" t="n">
        <v>3</v>
      </c>
      <c r="L97" s="5" t="n">
        <v>37160.91</v>
      </c>
    </row>
    <row r="98">
      <c r="A98" t="inlineStr">
        <is>
          <t>PUNO</t>
        </is>
      </c>
      <c r="B98" t="inlineStr">
        <is>
          <t>EL COLLAO</t>
        </is>
      </c>
      <c r="C98" t="inlineStr">
        <is>
          <t>ILAVE</t>
        </is>
      </c>
      <c r="D98" t="inlineStr">
        <is>
          <t>210501</t>
        </is>
      </c>
      <c r="E98" t="inlineStr">
        <is>
          <t>—</t>
        </is>
      </c>
      <c r="F98" s="11" t="n">
        <v>47930.8283</v>
      </c>
      <c r="G98" s="6">
        <f>IF($F$217=0,0,F98/$F$217)</f>
        <v/>
      </c>
      <c r="H98" s="5" t="n">
        <v>11101.76</v>
      </c>
      <c r="I98" t="n">
        <v>3</v>
      </c>
      <c r="J98" t="n">
        <v>3</v>
      </c>
      <c r="K98" t="n">
        <v>4</v>
      </c>
      <c r="L98" s="5" t="n">
        <v>37005.88</v>
      </c>
    </row>
    <row r="99">
      <c r="A99" t="inlineStr">
        <is>
          <t>CAJAMARCA</t>
        </is>
      </c>
      <c r="B99" t="inlineStr">
        <is>
          <t>CAJABAMBA</t>
        </is>
      </c>
      <c r="C99" t="inlineStr">
        <is>
          <t>CAJABAMBA</t>
        </is>
      </c>
      <c r="D99" t="inlineStr">
        <is>
          <t>060201</t>
        </is>
      </c>
      <c r="E99" t="inlineStr">
        <is>
          <t>—</t>
        </is>
      </c>
      <c r="F99" s="11" t="n">
        <v>47802.2515</v>
      </c>
      <c r="G99" s="6">
        <f>IF($F$217=0,0,F99/$F$217)</f>
        <v/>
      </c>
      <c r="H99" s="5" t="n">
        <v>11071.98</v>
      </c>
      <c r="I99" t="n">
        <v>4</v>
      </c>
      <c r="J99" t="n">
        <v>3</v>
      </c>
      <c r="K99" t="n">
        <v>2</v>
      </c>
      <c r="L99" s="5" t="n">
        <v>33215.95</v>
      </c>
    </row>
    <row r="100">
      <c r="A100" t="inlineStr">
        <is>
          <t>CUSCO</t>
        </is>
      </c>
      <c r="B100" t="inlineStr">
        <is>
          <t>CUSCO</t>
        </is>
      </c>
      <c r="C100" t="inlineStr">
        <is>
          <t>CUSCO</t>
        </is>
      </c>
      <c r="D100" t="inlineStr">
        <is>
          <t>080101</t>
        </is>
      </c>
      <c r="E100" t="inlineStr">
        <is>
          <t>—</t>
        </is>
      </c>
      <c r="F100" s="11" t="n">
        <v>47344.2461</v>
      </c>
      <c r="G100" s="6">
        <f>IF($F$217=0,0,F100/$F$217)</f>
        <v/>
      </c>
      <c r="H100" s="5" t="n">
        <v>10965.9</v>
      </c>
      <c r="I100" t="n">
        <v>4</v>
      </c>
      <c r="J100" t="n">
        <v>2</v>
      </c>
      <c r="K100" t="n">
        <v>3</v>
      </c>
      <c r="L100" s="5" t="n">
        <v>32897.7</v>
      </c>
    </row>
    <row r="101">
      <c r="A101" t="inlineStr">
        <is>
          <t>AYACUCHO</t>
        </is>
      </c>
      <c r="B101" t="inlineStr">
        <is>
          <t>HUANTA</t>
        </is>
      </c>
      <c r="C101" t="inlineStr">
        <is>
          <t>HUANTA</t>
        </is>
      </c>
      <c r="D101" t="inlineStr">
        <is>
          <t>050401</t>
        </is>
      </c>
      <c r="E101" t="inlineStr">
        <is>
          <t>—</t>
        </is>
      </c>
      <c r="F101" s="11" t="n">
        <v>47235.2123</v>
      </c>
      <c r="G101" s="6">
        <f>IF($F$217=0,0,F101/$F$217)</f>
        <v/>
      </c>
      <c r="H101" s="5" t="n">
        <v>10940.64</v>
      </c>
      <c r="I101" t="n">
        <v>4</v>
      </c>
      <c r="J101" t="n">
        <v>3</v>
      </c>
      <c r="K101" t="n">
        <v>3</v>
      </c>
      <c r="L101" s="5" t="n">
        <v>36468.82</v>
      </c>
    </row>
    <row r="102">
      <c r="A102" t="inlineStr">
        <is>
          <t>CAJAMARCA</t>
        </is>
      </c>
      <c r="B102" t="inlineStr">
        <is>
          <t>CUTERVO</t>
        </is>
      </c>
      <c r="C102" t="inlineStr">
        <is>
          <t>CUTERVO</t>
        </is>
      </c>
      <c r="D102" t="inlineStr">
        <is>
          <t>060601</t>
        </is>
      </c>
      <c r="E102" t="inlineStr">
        <is>
          <t>—</t>
        </is>
      </c>
      <c r="F102" s="11" t="n">
        <v>46756.4454</v>
      </c>
      <c r="G102" s="6">
        <f>IF($F$217=0,0,F102/$F$217)</f>
        <v/>
      </c>
      <c r="H102" s="5" t="n">
        <v>10829.75</v>
      </c>
      <c r="I102" t="n">
        <v>4</v>
      </c>
      <c r="J102" t="n">
        <v>2</v>
      </c>
      <c r="K102" t="n">
        <v>3</v>
      </c>
      <c r="L102" s="5" t="n">
        <v>32489.26</v>
      </c>
    </row>
    <row r="103">
      <c r="A103" t="inlineStr">
        <is>
          <t>ANCASH</t>
        </is>
      </c>
      <c r="B103" t="inlineStr">
        <is>
          <t>HUAYLAS</t>
        </is>
      </c>
      <c r="C103" t="inlineStr">
        <is>
          <t>CARAZ</t>
        </is>
      </c>
      <c r="D103" t="inlineStr">
        <is>
          <t>021201</t>
        </is>
      </c>
      <c r="E103" t="inlineStr">
        <is>
          <t>—</t>
        </is>
      </c>
      <c r="F103" s="11" t="n">
        <v>46563.4397</v>
      </c>
      <c r="G103" s="6">
        <f>IF($F$217=0,0,F103/$F$217)</f>
        <v/>
      </c>
      <c r="H103" s="5" t="n">
        <v>10785.05</v>
      </c>
      <c r="I103" t="n">
        <v>4</v>
      </c>
      <c r="J103" t="n">
        <v>3</v>
      </c>
      <c r="K103" t="n">
        <v>4</v>
      </c>
      <c r="L103" s="5" t="n">
        <v>39545.18</v>
      </c>
    </row>
    <row r="104">
      <c r="A104" t="inlineStr">
        <is>
          <t>LA LIBERTAD</t>
        </is>
      </c>
      <c r="B104" t="inlineStr">
        <is>
          <t>ASCOPE</t>
        </is>
      </c>
      <c r="C104" t="inlineStr">
        <is>
          <t>CHOCOPE</t>
        </is>
      </c>
      <c r="D104" t="inlineStr">
        <is>
          <t>130203</t>
        </is>
      </c>
      <c r="E104" t="inlineStr">
        <is>
          <t>—</t>
        </is>
      </c>
      <c r="F104" s="11" t="n">
        <v>45621.7607</v>
      </c>
      <c r="G104" s="6">
        <f>IF($F$217=0,0,F104/$F$217)</f>
        <v/>
      </c>
      <c r="H104" s="5" t="n">
        <v>10566.94</v>
      </c>
      <c r="I104" t="n">
        <v>1</v>
      </c>
      <c r="J104" t="n">
        <v>5</v>
      </c>
      <c r="L104" s="5" t="n">
        <v>31700.81</v>
      </c>
    </row>
    <row r="105">
      <c r="A105" t="inlineStr">
        <is>
          <t>PIURA</t>
        </is>
      </c>
      <c r="B105" t="inlineStr">
        <is>
          <t>PUIRA</t>
        </is>
      </c>
      <c r="C105" t="inlineStr">
        <is>
          <t>LA UNION</t>
        </is>
      </c>
      <c r="D105" t="inlineStr">
        <is>
          <t>200110</t>
        </is>
      </c>
      <c r="E105" t="inlineStr">
        <is>
          <t>—</t>
        </is>
      </c>
      <c r="F105" s="11" t="n">
        <v>45433.977</v>
      </c>
      <c r="G105" s="6">
        <f>IF($F$217=0,0,F105/$F$217)</f>
        <v/>
      </c>
      <c r="H105" s="5" t="n">
        <v>10523.44</v>
      </c>
      <c r="I105" t="n">
        <v>2</v>
      </c>
      <c r="J105" t="n">
        <v>5</v>
      </c>
      <c r="L105" s="5" t="n">
        <v>36832.05</v>
      </c>
    </row>
    <row r="106">
      <c r="A106" t="inlineStr">
        <is>
          <t>LIMA</t>
        </is>
      </c>
      <c r="B106" t="inlineStr">
        <is>
          <t>BARRANCA</t>
        </is>
      </c>
      <c r="C106" t="inlineStr">
        <is>
          <t>BARRANCA</t>
        </is>
      </c>
      <c r="D106" t="inlineStr">
        <is>
          <t>150201</t>
        </is>
      </c>
      <c r="E106" t="inlineStr">
        <is>
          <t>—</t>
        </is>
      </c>
      <c r="F106" s="11" t="n">
        <v>45348.0179</v>
      </c>
      <c r="G106" s="6">
        <f>IF($F$217=0,0,F106/$F$217)</f>
        <v/>
      </c>
      <c r="H106" s="5" t="n">
        <v>10503.53</v>
      </c>
      <c r="I106" t="n">
        <v>3</v>
      </c>
      <c r="J106" t="n">
        <v>4</v>
      </c>
      <c r="L106" s="5" t="n">
        <v>36762.36</v>
      </c>
    </row>
    <row r="107">
      <c r="A107" t="inlineStr">
        <is>
          <t>APURIMAC</t>
        </is>
      </c>
      <c r="B107" t="inlineStr">
        <is>
          <t>ABANCAY</t>
        </is>
      </c>
      <c r="C107" t="inlineStr">
        <is>
          <t>ABANCAY</t>
        </is>
      </c>
      <c r="D107" t="inlineStr">
        <is>
          <t>030101</t>
        </is>
      </c>
      <c r="E107" t="inlineStr">
        <is>
          <t>—</t>
        </is>
      </c>
      <c r="F107" s="11" t="n">
        <v>44604.1717</v>
      </c>
      <c r="G107" s="6">
        <f>IF($F$217=0,0,F107/$F$217)</f>
        <v/>
      </c>
      <c r="H107" s="5" t="n">
        <v>10331.24</v>
      </c>
      <c r="I107" t="n">
        <v>4</v>
      </c>
      <c r="J107" t="n">
        <v>2</v>
      </c>
      <c r="K107" t="n">
        <v>3</v>
      </c>
      <c r="L107" s="5" t="n">
        <v>30993.73</v>
      </c>
    </row>
    <row r="108">
      <c r="A108" t="inlineStr">
        <is>
          <t>CUSCO</t>
        </is>
      </c>
      <c r="B108" t="inlineStr">
        <is>
          <t>CANCHIS</t>
        </is>
      </c>
      <c r="C108" t="inlineStr">
        <is>
          <t>SICUANI</t>
        </is>
      </c>
      <c r="D108" t="inlineStr">
        <is>
          <t>080601</t>
        </is>
      </c>
      <c r="E108" t="inlineStr">
        <is>
          <t>—</t>
        </is>
      </c>
      <c r="F108" s="11" t="n">
        <v>44535.4086</v>
      </c>
      <c r="G108" s="6">
        <f>IF($F$217=0,0,F108/$F$217)</f>
        <v/>
      </c>
      <c r="H108" s="5" t="n">
        <v>10315.31</v>
      </c>
      <c r="I108" t="n">
        <v>4</v>
      </c>
      <c r="J108" t="n">
        <v>3</v>
      </c>
      <c r="K108" t="n">
        <v>3</v>
      </c>
      <c r="L108" s="5" t="n">
        <v>34384.38</v>
      </c>
    </row>
    <row r="109">
      <c r="A109" t="inlineStr">
        <is>
          <t>TACNA</t>
        </is>
      </c>
      <c r="B109" t="inlineStr">
        <is>
          <t>TACNA</t>
        </is>
      </c>
      <c r="C109" t="inlineStr">
        <is>
          <t>CIUDAD NUEVA</t>
        </is>
      </c>
      <c r="D109" t="inlineStr">
        <is>
          <t>230104</t>
        </is>
      </c>
      <c r="E109" t="inlineStr">
        <is>
          <t>—</t>
        </is>
      </c>
      <c r="F109" s="11" t="n">
        <v>44463.5701</v>
      </c>
      <c r="G109" s="6">
        <f>IF($F$217=0,0,F109/$F$217)</f>
        <v/>
      </c>
      <c r="H109" s="5" t="n">
        <v>10298.68</v>
      </c>
      <c r="I109" t="n">
        <v>4</v>
      </c>
      <c r="J109" t="n">
        <v>3</v>
      </c>
      <c r="L109" s="5" t="n">
        <v>36045.36</v>
      </c>
    </row>
    <row r="110">
      <c r="A110" t="inlineStr">
        <is>
          <t>LIMA</t>
        </is>
      </c>
      <c r="B110" t="inlineStr">
        <is>
          <t>LIMA</t>
        </is>
      </c>
      <c r="C110" t="inlineStr">
        <is>
          <t>SAN LUIS</t>
        </is>
      </c>
      <c r="D110" t="inlineStr">
        <is>
          <t>150134</t>
        </is>
      </c>
      <c r="E110" t="inlineStr">
        <is>
          <t>—</t>
        </is>
      </c>
      <c r="F110" s="11" t="n">
        <v>44157.1373</v>
      </c>
      <c r="G110" s="6">
        <f>IF($F$217=0,0,F110/$F$217)</f>
        <v/>
      </c>
      <c r="H110" s="5" t="n">
        <v>10227.7</v>
      </c>
      <c r="I110" t="n">
        <v>1</v>
      </c>
      <c r="J110" t="n">
        <v>3</v>
      </c>
      <c r="L110" s="5" t="n">
        <v>20455.4</v>
      </c>
    </row>
    <row r="111">
      <c r="A111" t="inlineStr">
        <is>
          <t>PIURA</t>
        </is>
      </c>
      <c r="B111" t="inlineStr">
        <is>
          <t>SECHURA</t>
        </is>
      </c>
      <c r="C111" t="inlineStr">
        <is>
          <t>SECHURA</t>
        </is>
      </c>
      <c r="D111" t="inlineStr">
        <is>
          <t>200801</t>
        </is>
      </c>
      <c r="E111" t="inlineStr">
        <is>
          <t>—</t>
        </is>
      </c>
      <c r="F111" s="11" t="n">
        <v>43915.2183</v>
      </c>
      <c r="G111" s="6">
        <f>IF($F$217=0,0,F111/$F$217)</f>
        <v/>
      </c>
      <c r="H111" s="5" t="n">
        <v>10171.67</v>
      </c>
      <c r="I111" t="n">
        <v>2</v>
      </c>
      <c r="J111" t="n">
        <v>5</v>
      </c>
      <c r="L111" s="5" t="n">
        <v>35600.83</v>
      </c>
    </row>
    <row r="112">
      <c r="A112" t="inlineStr">
        <is>
          <t>PASCO</t>
        </is>
      </c>
      <c r="B112" t="inlineStr">
        <is>
          <t>OXAPAMPA</t>
        </is>
      </c>
      <c r="C112" t="inlineStr">
        <is>
          <t>OXAPAMPA</t>
        </is>
      </c>
      <c r="D112" t="inlineStr">
        <is>
          <t>190301</t>
        </is>
      </c>
      <c r="E112" t="inlineStr">
        <is>
          <t>—</t>
        </is>
      </c>
      <c r="F112" s="11" t="n">
        <v>43816.4852</v>
      </c>
      <c r="G112" s="6">
        <f>IF($F$217=0,0,F112/$F$217)</f>
        <v/>
      </c>
      <c r="H112" s="5" t="n">
        <v>10148.8</v>
      </c>
      <c r="I112" t="n">
        <v>4</v>
      </c>
      <c r="J112" t="n">
        <v>3</v>
      </c>
      <c r="K112" t="n">
        <v>2</v>
      </c>
      <c r="L112" s="5" t="n">
        <v>30446.39</v>
      </c>
    </row>
    <row r="113">
      <c r="A113" t="inlineStr">
        <is>
          <t>JUNIN</t>
        </is>
      </c>
      <c r="B113" t="inlineStr">
        <is>
          <t>CHANCHAMAYO</t>
        </is>
      </c>
      <c r="C113" t="inlineStr">
        <is>
          <t>PICHANAQUI</t>
        </is>
      </c>
      <c r="D113" t="inlineStr">
        <is>
          <t>120303</t>
        </is>
      </c>
      <c r="E113" t="inlineStr">
        <is>
          <t>—</t>
        </is>
      </c>
      <c r="F113" s="11" t="n">
        <v>43146.4927</v>
      </c>
      <c r="G113" s="6">
        <f>IF($F$217=0,0,F113/$F$217)</f>
        <v/>
      </c>
      <c r="H113" s="5" t="n">
        <v>9993.610000000001</v>
      </c>
      <c r="I113" t="n">
        <v>4</v>
      </c>
      <c r="J113" t="n">
        <v>2</v>
      </c>
      <c r="K113" t="n">
        <v>2</v>
      </c>
      <c r="L113" s="5" t="n">
        <v>26649.64</v>
      </c>
    </row>
    <row r="114">
      <c r="A114" t="inlineStr">
        <is>
          <t>MADRE DE DIOS</t>
        </is>
      </c>
      <c r="B114" t="inlineStr">
        <is>
          <t>TAMBOPATA</t>
        </is>
      </c>
      <c r="C114" t="inlineStr">
        <is>
          <t>TAMBOPATA</t>
        </is>
      </c>
      <c r="D114" t="inlineStr">
        <is>
          <t>170101</t>
        </is>
      </c>
      <c r="E114" t="inlineStr">
        <is>
          <t>—</t>
        </is>
      </c>
      <c r="F114" s="11" t="n">
        <v>42799.6939</v>
      </c>
      <c r="G114" s="6">
        <f>IF($F$217=0,0,F114/$F$217)</f>
        <v/>
      </c>
      <c r="H114" s="5" t="n">
        <v>9913.290000000001</v>
      </c>
      <c r="I114" t="n">
        <v>3</v>
      </c>
      <c r="J114" t="n">
        <v>2</v>
      </c>
      <c r="K114" t="n">
        <v>2</v>
      </c>
      <c r="L114" s="5" t="n">
        <v>23131</v>
      </c>
    </row>
    <row r="115">
      <c r="A115" t="inlineStr">
        <is>
          <t>HUANUCO</t>
        </is>
      </c>
      <c r="B115" t="inlineStr">
        <is>
          <t>LEONCIO PRADO</t>
        </is>
      </c>
      <c r="C115" t="inlineStr">
        <is>
          <t>RUPA-RUPA</t>
        </is>
      </c>
      <c r="D115" t="inlineStr">
        <is>
          <t>100601</t>
        </is>
      </c>
      <c r="E115" t="inlineStr">
        <is>
          <t>—</t>
        </is>
      </c>
      <c r="F115" s="11" t="n">
        <v>42449.9007</v>
      </c>
      <c r="G115" s="6">
        <f>IF($F$217=0,0,F115/$F$217)</f>
        <v/>
      </c>
      <c r="H115" s="5" t="n">
        <v>9832.27</v>
      </c>
      <c r="I115" t="n">
        <v>4</v>
      </c>
      <c r="J115" t="n">
        <v>3</v>
      </c>
      <c r="K115" t="n">
        <v>2</v>
      </c>
      <c r="L115" s="5" t="n">
        <v>29496.81</v>
      </c>
    </row>
    <row r="116">
      <c r="A116" t="inlineStr">
        <is>
          <t>LA LIBERTAD</t>
        </is>
      </c>
      <c r="B116" t="inlineStr">
        <is>
          <t>TRUJILLO</t>
        </is>
      </c>
      <c r="C116" t="inlineStr">
        <is>
          <t>HUANCHACO</t>
        </is>
      </c>
      <c r="D116" t="inlineStr">
        <is>
          <t>130104</t>
        </is>
      </c>
      <c r="E116" t="inlineStr">
        <is>
          <t>—</t>
        </is>
      </c>
      <c r="F116" s="11" t="n">
        <v>41755.9586</v>
      </c>
      <c r="G116" s="6">
        <f>IF($F$217=0,0,F116/$F$217)</f>
        <v/>
      </c>
      <c r="H116" s="5" t="n">
        <v>9671.540000000001</v>
      </c>
      <c r="I116" t="n">
        <v>2</v>
      </c>
      <c r="J116" t="n">
        <v>4</v>
      </c>
      <c r="L116" s="5" t="n">
        <v>29014.61</v>
      </c>
    </row>
    <row r="117">
      <c r="A117" t="inlineStr">
        <is>
          <t>LAMBAYEQUE</t>
        </is>
      </c>
      <c r="B117" t="inlineStr">
        <is>
          <t>FERREÑAFE</t>
        </is>
      </c>
      <c r="C117" t="inlineStr">
        <is>
          <t>FERREÑAFE</t>
        </is>
      </c>
      <c r="D117" t="inlineStr">
        <is>
          <t>140201</t>
        </is>
      </c>
      <c r="E117" t="inlineStr">
        <is>
          <t>—</t>
        </is>
      </c>
      <c r="F117" s="11" t="n">
        <v>41474.3347</v>
      </c>
      <c r="G117" s="6">
        <f>IF($F$217=0,0,F117/$F$217)</f>
        <v/>
      </c>
      <c r="H117" s="5" t="n">
        <v>9606.309999999999</v>
      </c>
      <c r="I117" t="n">
        <v>1</v>
      </c>
      <c r="J117" t="n">
        <v>4</v>
      </c>
      <c r="L117" s="5" t="n">
        <v>24015.77</v>
      </c>
    </row>
    <row r="118">
      <c r="A118" t="inlineStr">
        <is>
          <t>LIMA</t>
        </is>
      </c>
      <c r="B118" t="inlineStr">
        <is>
          <t>LIMA</t>
        </is>
      </c>
      <c r="C118" t="inlineStr">
        <is>
          <t>SANTIAGO DE SURCO</t>
        </is>
      </c>
      <c r="D118" t="inlineStr">
        <is>
          <t>150140</t>
        </is>
      </c>
      <c r="E118" t="inlineStr">
        <is>
          <t>—</t>
        </is>
      </c>
      <c r="F118" s="11" t="n">
        <v>40294.715</v>
      </c>
      <c r="G118" s="6">
        <f>IF($F$217=0,0,F118/$F$217)</f>
        <v/>
      </c>
      <c r="H118" s="5" t="n">
        <v>9333.08</v>
      </c>
      <c r="I118" t="n">
        <v>1</v>
      </c>
      <c r="J118" t="n">
        <v>3</v>
      </c>
      <c r="L118" s="5" t="n">
        <v>18666.17</v>
      </c>
    </row>
    <row r="119">
      <c r="A119" t="inlineStr">
        <is>
          <t>PUNO</t>
        </is>
      </c>
      <c r="B119" t="inlineStr">
        <is>
          <t>YUNGUYO</t>
        </is>
      </c>
      <c r="C119" t="inlineStr">
        <is>
          <t>YUNGUYO</t>
        </is>
      </c>
      <c r="D119" t="inlineStr">
        <is>
          <t>211301</t>
        </is>
      </c>
      <c r="E119" t="inlineStr">
        <is>
          <t>—</t>
        </is>
      </c>
      <c r="F119" s="11" t="n">
        <v>39630.9101</v>
      </c>
      <c r="G119" s="6">
        <f>IF($F$217=0,0,F119/$F$217)</f>
        <v/>
      </c>
      <c r="H119" s="5" t="n">
        <v>9179.33</v>
      </c>
      <c r="I119" t="n">
        <v>1</v>
      </c>
      <c r="J119" t="n">
        <v>2</v>
      </c>
      <c r="K119" t="n">
        <v>3</v>
      </c>
      <c r="L119" s="5" t="n">
        <v>18358.66</v>
      </c>
    </row>
    <row r="120">
      <c r="A120" t="inlineStr">
        <is>
          <t>AMAZONAS</t>
        </is>
      </c>
      <c r="B120" t="inlineStr">
        <is>
          <t>UTCUBAMBA</t>
        </is>
      </c>
      <c r="C120" t="inlineStr">
        <is>
          <t>BAGUA GRANDE</t>
        </is>
      </c>
      <c r="D120" t="inlineStr">
        <is>
          <t>010701</t>
        </is>
      </c>
      <c r="E120" t="inlineStr">
        <is>
          <t>—</t>
        </is>
      </c>
      <c r="F120" s="11" t="n">
        <v>39125.9198</v>
      </c>
      <c r="G120" s="6">
        <f>IF($F$217=0,0,F120/$F$217)</f>
        <v/>
      </c>
      <c r="H120" s="5" t="n">
        <v>9062.370000000001</v>
      </c>
      <c r="I120" t="n">
        <v>5</v>
      </c>
      <c r="J120" t="n">
        <v>3</v>
      </c>
      <c r="K120" t="n">
        <v>3</v>
      </c>
      <c r="L120" s="5" t="n">
        <v>33228.68</v>
      </c>
    </row>
    <row r="121">
      <c r="A121" t="inlineStr">
        <is>
          <t>PIURA</t>
        </is>
      </c>
      <c r="B121" t="inlineStr">
        <is>
          <t>PIURA</t>
        </is>
      </c>
      <c r="C121" t="inlineStr">
        <is>
          <t>CATACAOS</t>
        </is>
      </c>
      <c r="D121" t="inlineStr">
        <is>
          <t>200105</t>
        </is>
      </c>
      <c r="E121" t="inlineStr">
        <is>
          <t>—</t>
        </is>
      </c>
      <c r="F121" s="11" t="n">
        <v>38733.6923</v>
      </c>
      <c r="G121" s="6">
        <f>IF($F$217=0,0,F121/$F$217)</f>
        <v/>
      </c>
      <c r="H121" s="5" t="n">
        <v>8971.52</v>
      </c>
      <c r="I121" t="n">
        <v>2</v>
      </c>
      <c r="J121" t="n">
        <v>4</v>
      </c>
      <c r="L121" s="5" t="n">
        <v>26914.56</v>
      </c>
    </row>
    <row r="122">
      <c r="A122" t="inlineStr">
        <is>
          <t>SAN MARTIN</t>
        </is>
      </c>
      <c r="B122" t="inlineStr">
        <is>
          <t>MARISCAL CACERES</t>
        </is>
      </c>
      <c r="C122" t="inlineStr">
        <is>
          <t>JUANJUI</t>
        </is>
      </c>
      <c r="D122" t="inlineStr">
        <is>
          <t>220601</t>
        </is>
      </c>
      <c r="E122" t="inlineStr">
        <is>
          <t>—</t>
        </is>
      </c>
      <c r="F122" s="11" t="n">
        <v>37763.8028</v>
      </c>
      <c r="G122" s="6">
        <f>IF($F$217=0,0,F122/$F$217)</f>
        <v/>
      </c>
      <c r="H122" s="5" t="n">
        <v>8746.870000000001</v>
      </c>
      <c r="I122" t="n">
        <v>4</v>
      </c>
      <c r="J122" t="n">
        <v>4</v>
      </c>
      <c r="K122" t="n">
        <v>2</v>
      </c>
      <c r="L122" s="5" t="n">
        <v>29156.24</v>
      </c>
    </row>
    <row r="123">
      <c r="A123" t="inlineStr">
        <is>
          <t>AREQUIPA</t>
        </is>
      </c>
      <c r="B123" t="inlineStr">
        <is>
          <t>AREQUIPA</t>
        </is>
      </c>
      <c r="C123" t="inlineStr">
        <is>
          <t>ALTO SELVA ALEGRE</t>
        </is>
      </c>
      <c r="D123" t="inlineStr">
        <is>
          <t>040102</t>
        </is>
      </c>
      <c r="E123" t="inlineStr">
        <is>
          <t>—</t>
        </is>
      </c>
      <c r="F123" s="11" t="n">
        <v>37470.4345</v>
      </c>
      <c r="G123" s="6">
        <f>IF($F$217=0,0,F123/$F$217)</f>
        <v/>
      </c>
      <c r="H123" s="5" t="n">
        <v>8678.92</v>
      </c>
      <c r="I123" t="n">
        <v>5</v>
      </c>
      <c r="J123" t="n">
        <v>3</v>
      </c>
      <c r="K123" t="n">
        <v>4</v>
      </c>
      <c r="L123" s="5" t="n">
        <v>34715.69</v>
      </c>
    </row>
    <row r="124">
      <c r="A124" t="inlineStr">
        <is>
          <t>ICA</t>
        </is>
      </c>
      <c r="B124" t="inlineStr">
        <is>
          <t>ICA</t>
        </is>
      </c>
      <c r="C124" t="inlineStr">
        <is>
          <t>PARCONA</t>
        </is>
      </c>
      <c r="D124" t="inlineStr">
        <is>
          <t>110106</t>
        </is>
      </c>
      <c r="E124" t="inlineStr">
        <is>
          <t>—</t>
        </is>
      </c>
      <c r="F124" s="11" t="n">
        <v>36475.6964</v>
      </c>
      <c r="G124" s="6">
        <f>IF($F$217=0,0,F124/$F$217)</f>
        <v/>
      </c>
      <c r="H124" s="5" t="n">
        <v>8448.52</v>
      </c>
      <c r="I124" t="n">
        <v>4</v>
      </c>
      <c r="J124" t="n">
        <v>5</v>
      </c>
      <c r="L124" s="5" t="n">
        <v>38018.34</v>
      </c>
    </row>
    <row r="125">
      <c r="A125" t="inlineStr">
        <is>
          <t>ANCASH</t>
        </is>
      </c>
      <c r="B125" t="inlineStr">
        <is>
          <t>YUNGAY</t>
        </is>
      </c>
      <c r="C125" t="inlineStr">
        <is>
          <t>YUNGAY</t>
        </is>
      </c>
      <c r="D125" t="inlineStr">
        <is>
          <t>022001</t>
        </is>
      </c>
      <c r="E125" t="inlineStr">
        <is>
          <t>—</t>
        </is>
      </c>
      <c r="F125" s="11" t="n">
        <v>36066.9369</v>
      </c>
      <c r="G125" s="6">
        <f>IF($F$217=0,0,F125/$F$217)</f>
        <v/>
      </c>
      <c r="H125" s="5" t="n">
        <v>8353.84</v>
      </c>
      <c r="I125" t="n">
        <v>5</v>
      </c>
      <c r="J125" t="n">
        <v>3</v>
      </c>
      <c r="K125" t="n">
        <v>3</v>
      </c>
      <c r="L125" s="5" t="n">
        <v>30630.76</v>
      </c>
    </row>
    <row r="126">
      <c r="A126" t="inlineStr">
        <is>
          <t>CAJAMARCA</t>
        </is>
      </c>
      <c r="B126" t="inlineStr">
        <is>
          <t>CELENDIN</t>
        </is>
      </c>
      <c r="C126" t="inlineStr">
        <is>
          <t>CELENDIN</t>
        </is>
      </c>
      <c r="D126" t="inlineStr">
        <is>
          <t>060301</t>
        </is>
      </c>
      <c r="E126" t="inlineStr">
        <is>
          <t>—</t>
        </is>
      </c>
      <c r="F126" s="11" t="n">
        <v>35458.7901</v>
      </c>
      <c r="G126" s="6">
        <f>IF($F$217=0,0,F126/$F$217)</f>
        <v/>
      </c>
      <c r="H126" s="5" t="n">
        <v>8212.98</v>
      </c>
      <c r="I126" t="n">
        <v>5</v>
      </c>
      <c r="J126" t="n">
        <v>3</v>
      </c>
      <c r="K126" t="n">
        <v>3</v>
      </c>
      <c r="L126" s="5" t="n">
        <v>30114.27</v>
      </c>
    </row>
    <row r="127">
      <c r="A127" t="inlineStr">
        <is>
          <t>LIMA</t>
        </is>
      </c>
      <c r="B127" t="inlineStr">
        <is>
          <t>LIMA</t>
        </is>
      </c>
      <c r="C127" t="inlineStr">
        <is>
          <t>SURQUILLO</t>
        </is>
      </c>
      <c r="D127" t="inlineStr">
        <is>
          <t>150141</t>
        </is>
      </c>
      <c r="E127" t="inlineStr">
        <is>
          <t>—</t>
        </is>
      </c>
      <c r="F127" s="11" t="n">
        <v>35290.5592</v>
      </c>
      <c r="G127" s="6">
        <f>IF($F$217=0,0,F127/$F$217)</f>
        <v/>
      </c>
      <c r="H127" s="5" t="n">
        <v>8174.02</v>
      </c>
      <c r="I127" t="n">
        <v>1</v>
      </c>
      <c r="J127" t="n">
        <v>4</v>
      </c>
      <c r="L127" s="5" t="n">
        <v>20435.05</v>
      </c>
    </row>
    <row r="128">
      <c r="A128" t="inlineStr">
        <is>
          <t>ANCASH</t>
        </is>
      </c>
      <c r="B128" t="inlineStr">
        <is>
          <t>CASMA</t>
        </is>
      </c>
      <c r="C128" t="inlineStr">
        <is>
          <t>CASMA</t>
        </is>
      </c>
      <c r="D128" t="inlineStr">
        <is>
          <t>020801</t>
        </is>
      </c>
      <c r="E128" t="inlineStr">
        <is>
          <t>—</t>
        </is>
      </c>
      <c r="F128" s="11" t="n">
        <v>34857.003</v>
      </c>
      <c r="G128" s="6">
        <f>IF($F$217=0,0,F128/$F$217)</f>
        <v/>
      </c>
      <c r="H128" s="5" t="n">
        <v>8073.6</v>
      </c>
      <c r="I128" t="n">
        <v>3</v>
      </c>
      <c r="J128" t="n">
        <v>4</v>
      </c>
      <c r="L128" s="5" t="n">
        <v>28257.59</v>
      </c>
    </row>
    <row r="129">
      <c r="A129" t="inlineStr">
        <is>
          <t>AREQUIPA</t>
        </is>
      </c>
      <c r="B129" t="inlineStr">
        <is>
          <t>AREQUIPA</t>
        </is>
      </c>
      <c r="C129" t="inlineStr">
        <is>
          <t>CAYMA</t>
        </is>
      </c>
      <c r="D129" t="inlineStr">
        <is>
          <t>040103</t>
        </is>
      </c>
      <c r="E129" t="inlineStr">
        <is>
          <t>—</t>
        </is>
      </c>
      <c r="F129" s="11" t="n">
        <v>34541.5928</v>
      </c>
      <c r="G129" s="6">
        <f>IF($F$217=0,0,F129/$F$217)</f>
        <v/>
      </c>
      <c r="H129" s="5" t="n">
        <v>8000.54</v>
      </c>
      <c r="I129" t="n">
        <v>4</v>
      </c>
      <c r="J129" t="n">
        <v>3</v>
      </c>
      <c r="K129" t="n">
        <v>4</v>
      </c>
      <c r="L129" s="5" t="n">
        <v>29335.32</v>
      </c>
    </row>
    <row r="130">
      <c r="A130" t="inlineStr">
        <is>
          <t>SAN MARTIN</t>
        </is>
      </c>
      <c r="B130" t="inlineStr">
        <is>
          <t>TOCACHE</t>
        </is>
      </c>
      <c r="C130" t="inlineStr">
        <is>
          <t>TOCACHE</t>
        </is>
      </c>
      <c r="D130" t="inlineStr">
        <is>
          <t>221001</t>
        </is>
      </c>
      <c r="E130" t="inlineStr">
        <is>
          <t>—</t>
        </is>
      </c>
      <c r="F130" s="11" t="n">
        <v>34281.8561</v>
      </c>
      <c r="G130" s="6">
        <f>IF($F$217=0,0,F130/$F$217)</f>
        <v/>
      </c>
      <c r="H130" s="5" t="n">
        <v>7940.38</v>
      </c>
      <c r="I130" t="n">
        <v>4</v>
      </c>
      <c r="J130" t="n">
        <v>3</v>
      </c>
      <c r="K130" t="n">
        <v>1</v>
      </c>
      <c r="L130" s="5" t="n">
        <v>21174.35</v>
      </c>
    </row>
    <row r="131">
      <c r="A131" t="inlineStr">
        <is>
          <t>AMAZONAS</t>
        </is>
      </c>
      <c r="B131" t="inlineStr">
        <is>
          <t>BAGUA</t>
        </is>
      </c>
      <c r="C131" t="inlineStr">
        <is>
          <t>BAGUA</t>
        </is>
      </c>
      <c r="D131" t="inlineStr">
        <is>
          <t>010201</t>
        </is>
      </c>
      <c r="E131" t="inlineStr">
        <is>
          <t>—</t>
        </is>
      </c>
      <c r="F131" s="11" t="n">
        <v>34142.0329</v>
      </c>
      <c r="G131" s="6">
        <f>IF($F$217=0,0,F131/$F$217)</f>
        <v/>
      </c>
      <c r="H131" s="5" t="n">
        <v>7908</v>
      </c>
      <c r="I131" t="n">
        <v>4</v>
      </c>
      <c r="J131" t="n">
        <v>4</v>
      </c>
      <c r="K131" t="n">
        <v>3</v>
      </c>
      <c r="L131" s="5" t="n">
        <v>28995.98</v>
      </c>
    </row>
    <row r="132">
      <c r="A132" t="inlineStr">
        <is>
          <t>JUNIN</t>
        </is>
      </c>
      <c r="B132" t="inlineStr">
        <is>
          <t>CONCEPCION</t>
        </is>
      </c>
      <c r="C132" t="inlineStr">
        <is>
          <t>CONCEPCION</t>
        </is>
      </c>
      <c r="D132" t="inlineStr">
        <is>
          <t>120201</t>
        </is>
      </c>
      <c r="E132" t="inlineStr">
        <is>
          <t>—</t>
        </is>
      </c>
      <c r="F132" s="11" t="n">
        <v>34094.7064</v>
      </c>
      <c r="G132" s="6">
        <f>IF($F$217=0,0,F132/$F$217)</f>
        <v/>
      </c>
      <c r="H132" s="5" t="n">
        <v>7897.03</v>
      </c>
      <c r="I132" t="n">
        <v>3</v>
      </c>
      <c r="J132" t="n">
        <v>4</v>
      </c>
      <c r="K132" t="n">
        <v>4</v>
      </c>
      <c r="L132" s="5" t="n">
        <v>28955.79</v>
      </c>
    </row>
    <row r="133">
      <c r="A133" t="inlineStr">
        <is>
          <t>PASCO</t>
        </is>
      </c>
      <c r="B133" t="inlineStr">
        <is>
          <t>OXAPAMPA</t>
        </is>
      </c>
      <c r="C133" t="inlineStr">
        <is>
          <t>VILLA RICA</t>
        </is>
      </c>
      <c r="D133" t="inlineStr">
        <is>
          <t>190307</t>
        </is>
      </c>
      <c r="E133" t="inlineStr">
        <is>
          <t>—</t>
        </is>
      </c>
      <c r="F133" s="11" t="n">
        <v>33549.3158</v>
      </c>
      <c r="G133" s="6">
        <f>IF($F$217=0,0,F133/$F$217)</f>
        <v/>
      </c>
      <c r="H133" s="5" t="n">
        <v>7770.71</v>
      </c>
      <c r="I133" t="n">
        <v>3</v>
      </c>
      <c r="J133" t="n">
        <v>2</v>
      </c>
      <c r="K133" t="n">
        <v>2</v>
      </c>
      <c r="L133" s="5" t="n">
        <v>18131.66</v>
      </c>
    </row>
    <row r="134">
      <c r="A134" t="inlineStr">
        <is>
          <t>AREQUIPA</t>
        </is>
      </c>
      <c r="B134" t="inlineStr">
        <is>
          <t>ISLAY</t>
        </is>
      </c>
      <c r="C134" t="inlineStr">
        <is>
          <t>COCACHACRA</t>
        </is>
      </c>
      <c r="D134" t="inlineStr">
        <is>
          <t>040702</t>
        </is>
      </c>
      <c r="E134" t="inlineStr">
        <is>
          <t>—</t>
        </is>
      </c>
      <c r="F134" s="11" t="n">
        <v>32948.1795</v>
      </c>
      <c r="G134" s="6">
        <f>IF($F$217=0,0,F134/$F$217)</f>
        <v/>
      </c>
      <c r="H134" s="5" t="n">
        <v>7631.47</v>
      </c>
      <c r="I134" t="n">
        <v>4</v>
      </c>
      <c r="J134" t="n">
        <v>4</v>
      </c>
      <c r="L134" s="5" t="n">
        <v>30525.9</v>
      </c>
    </row>
    <row r="135">
      <c r="A135" t="inlineStr">
        <is>
          <t>JUNIN</t>
        </is>
      </c>
      <c r="B135" t="inlineStr">
        <is>
          <t>SATIPO</t>
        </is>
      </c>
      <c r="C135" t="inlineStr">
        <is>
          <t>SATIPO</t>
        </is>
      </c>
      <c r="D135" t="inlineStr">
        <is>
          <t>120601</t>
        </is>
      </c>
      <c r="E135" t="inlineStr">
        <is>
          <t>—</t>
        </is>
      </c>
      <c r="F135" s="11" t="n">
        <v>32920.7211</v>
      </c>
      <c r="G135" s="6">
        <f>IF($F$217=0,0,F135/$F$217)</f>
        <v/>
      </c>
      <c r="H135" s="5" t="n">
        <v>7625.11</v>
      </c>
      <c r="I135" t="n">
        <v>4</v>
      </c>
      <c r="J135" t="n">
        <v>3</v>
      </c>
      <c r="K135" t="n">
        <v>2</v>
      </c>
      <c r="L135" s="5" t="n">
        <v>22875.34</v>
      </c>
    </row>
    <row r="136">
      <c r="A136" t="inlineStr">
        <is>
          <t>PIURA</t>
        </is>
      </c>
      <c r="B136" t="inlineStr">
        <is>
          <t>MORROPON</t>
        </is>
      </c>
      <c r="C136" t="inlineStr">
        <is>
          <t>MORROPON</t>
        </is>
      </c>
      <c r="D136" t="inlineStr">
        <is>
          <t>200405</t>
        </is>
      </c>
      <c r="E136" t="inlineStr">
        <is>
          <t>—</t>
        </is>
      </c>
      <c r="F136" s="11" t="n">
        <v>32916.6037</v>
      </c>
      <c r="G136" s="6">
        <f>IF($F$217=0,0,F136/$F$217)</f>
        <v/>
      </c>
      <c r="H136" s="5" t="n">
        <v>7624.16</v>
      </c>
      <c r="I136" t="n">
        <v>4</v>
      </c>
      <c r="J136" t="n">
        <v>4</v>
      </c>
      <c r="K136" t="n">
        <v>4</v>
      </c>
      <c r="L136" s="5" t="n">
        <v>30496.64</v>
      </c>
    </row>
    <row r="137">
      <c r="A137" t="inlineStr">
        <is>
          <t>JUNIN</t>
        </is>
      </c>
      <c r="B137" t="inlineStr">
        <is>
          <t>JAUJA</t>
        </is>
      </c>
      <c r="C137" t="inlineStr">
        <is>
          <t>JAUJA</t>
        </is>
      </c>
      <c r="D137" t="inlineStr">
        <is>
          <t>120401</t>
        </is>
      </c>
      <c r="E137" t="inlineStr">
        <is>
          <t>—</t>
        </is>
      </c>
      <c r="F137" s="11" t="n">
        <v>31716.8633</v>
      </c>
      <c r="G137" s="6">
        <f>IF($F$217=0,0,F137/$F$217)</f>
        <v/>
      </c>
      <c r="H137" s="5" t="n">
        <v>7346.28</v>
      </c>
      <c r="I137" t="n">
        <v>3</v>
      </c>
      <c r="J137" t="n">
        <v>1</v>
      </c>
      <c r="K137" t="n">
        <v>4</v>
      </c>
      <c r="L137" s="5" t="n">
        <v>19590.07</v>
      </c>
    </row>
    <row r="138">
      <c r="A138" t="inlineStr">
        <is>
          <t>CUSCO</t>
        </is>
      </c>
      <c r="B138" t="inlineStr">
        <is>
          <t>ANTA</t>
        </is>
      </c>
      <c r="C138" t="inlineStr">
        <is>
          <t>ANTA</t>
        </is>
      </c>
      <c r="D138" t="inlineStr">
        <is>
          <t>080301</t>
        </is>
      </c>
      <c r="E138" t="inlineStr">
        <is>
          <t>—</t>
        </is>
      </c>
      <c r="F138" s="11" t="n">
        <v>31600.5783</v>
      </c>
      <c r="G138" s="6">
        <f>IF($F$217=0,0,F138/$F$217)</f>
        <v/>
      </c>
      <c r="H138" s="5" t="n">
        <v>7319.34</v>
      </c>
      <c r="I138" t="n">
        <v>4</v>
      </c>
      <c r="J138" t="n">
        <v>2</v>
      </c>
      <c r="K138" t="n">
        <v>3</v>
      </c>
      <c r="L138" s="5" t="n">
        <v>21958.03</v>
      </c>
    </row>
    <row r="139">
      <c r="A139" t="inlineStr">
        <is>
          <t>ICA</t>
        </is>
      </c>
      <c r="B139" t="inlineStr">
        <is>
          <t>NAZCA</t>
        </is>
      </c>
      <c r="C139" t="inlineStr">
        <is>
          <t>NAZCA</t>
        </is>
      </c>
      <c r="D139" t="inlineStr">
        <is>
          <t>110301</t>
        </is>
      </c>
      <c r="E139" t="inlineStr">
        <is>
          <t>—</t>
        </is>
      </c>
      <c r="F139" s="11" t="n">
        <v>31218.7492</v>
      </c>
      <c r="G139" s="6">
        <f>IF($F$217=0,0,F139/$F$217)</f>
        <v/>
      </c>
      <c r="H139" s="5" t="n">
        <v>7230.9</v>
      </c>
      <c r="I139" t="n">
        <v>3</v>
      </c>
      <c r="J139" t="n">
        <v>5</v>
      </c>
      <c r="L139" s="5" t="n">
        <v>28923.61</v>
      </c>
    </row>
    <row r="140">
      <c r="A140" t="inlineStr">
        <is>
          <t>CAJAMARCA</t>
        </is>
      </c>
      <c r="B140" t="inlineStr">
        <is>
          <t>SAN IGNACIO</t>
        </is>
      </c>
      <c r="C140" t="inlineStr">
        <is>
          <t>SAN IGNACIO</t>
        </is>
      </c>
      <c r="D140" t="inlineStr">
        <is>
          <t>060901</t>
        </is>
      </c>
      <c r="E140" t="inlineStr">
        <is>
          <t>—</t>
        </is>
      </c>
      <c r="F140" s="11" t="n">
        <v>30965.4238</v>
      </c>
      <c r="G140" s="6">
        <f>IF($F$217=0,0,F140/$F$217)</f>
        <v/>
      </c>
      <c r="H140" s="5" t="n">
        <v>7172.23</v>
      </c>
      <c r="I140" t="n">
        <v>4</v>
      </c>
      <c r="J140" t="n">
        <v>2</v>
      </c>
      <c r="K140" t="n">
        <v>2</v>
      </c>
      <c r="L140" s="5" t="n">
        <v>19125.94</v>
      </c>
    </row>
    <row r="141">
      <c r="A141" t="inlineStr">
        <is>
          <t>LIMA</t>
        </is>
      </c>
      <c r="B141" t="inlineStr">
        <is>
          <t>LIMA</t>
        </is>
      </c>
      <c r="C141" t="inlineStr">
        <is>
          <t>ANCON</t>
        </is>
      </c>
      <c r="D141" t="inlineStr">
        <is>
          <t>150102</t>
        </is>
      </c>
      <c r="E141" t="inlineStr">
        <is>
          <t>—</t>
        </is>
      </c>
      <c r="F141" s="11" t="n">
        <v>30932.4893</v>
      </c>
      <c r="G141" s="6">
        <f>IF($F$217=0,0,F141/$F$217)</f>
        <v/>
      </c>
      <c r="H141" s="5" t="n">
        <v>7164.6</v>
      </c>
      <c r="I141" t="n">
        <v>4</v>
      </c>
      <c r="J141" t="n">
        <v>2</v>
      </c>
      <c r="L141" s="5" t="n">
        <v>21493.8</v>
      </c>
    </row>
    <row r="142">
      <c r="A142" t="inlineStr">
        <is>
          <t>LIMA</t>
        </is>
      </c>
      <c r="B142" t="inlineStr">
        <is>
          <t>CAÑETE</t>
        </is>
      </c>
      <c r="C142" t="inlineStr">
        <is>
          <t>CHILCA</t>
        </is>
      </c>
      <c r="D142" t="inlineStr">
        <is>
          <t>150505</t>
        </is>
      </c>
      <c r="E142" t="inlineStr">
        <is>
          <t>—</t>
        </is>
      </c>
      <c r="F142" s="11" t="n">
        <v>30186.2058</v>
      </c>
      <c r="G142" s="6">
        <f>IF($F$217=0,0,F142/$F$217)</f>
        <v/>
      </c>
      <c r="H142" s="5" t="n">
        <v>6991.75</v>
      </c>
      <c r="I142" t="n">
        <v>4</v>
      </c>
      <c r="J142" t="n">
        <v>3</v>
      </c>
      <c r="L142" s="5" t="n">
        <v>24471.11</v>
      </c>
    </row>
    <row r="143">
      <c r="A143" t="inlineStr">
        <is>
          <t>LAMBAYEQUE</t>
        </is>
      </c>
      <c r="B143" t="inlineStr">
        <is>
          <t>CHICLAYO</t>
        </is>
      </c>
      <c r="C143" t="inlineStr">
        <is>
          <t>CAYALTI</t>
        </is>
      </c>
      <c r="D143" t="inlineStr">
        <is>
          <t>140116</t>
        </is>
      </c>
      <c r="E143" t="inlineStr">
        <is>
          <t>—</t>
        </is>
      </c>
      <c r="F143" s="11" t="n">
        <v>28806.346</v>
      </c>
      <c r="G143" s="6">
        <f>IF($F$217=0,0,F143/$F$217)</f>
        <v/>
      </c>
      <c r="H143" s="5" t="n">
        <v>6672.14</v>
      </c>
      <c r="I143" t="n">
        <v>2</v>
      </c>
      <c r="J143" t="n">
        <v>4</v>
      </c>
      <c r="L143" s="5" t="n">
        <v>20016.42</v>
      </c>
    </row>
    <row r="144">
      <c r="A144" t="inlineStr">
        <is>
          <t>PUNO</t>
        </is>
      </c>
      <c r="B144" t="inlineStr">
        <is>
          <t>CHUCUITO</t>
        </is>
      </c>
      <c r="C144" t="inlineStr">
        <is>
          <t>DESAGUADERO</t>
        </is>
      </c>
      <c r="D144" t="inlineStr">
        <is>
          <t>210402</t>
        </is>
      </c>
      <c r="E144" t="inlineStr">
        <is>
          <t>—</t>
        </is>
      </c>
      <c r="F144" s="11" t="n">
        <v>27745.7981</v>
      </c>
      <c r="G144" s="6">
        <f>IF($F$217=0,0,F144/$F$217)</f>
        <v/>
      </c>
      <c r="H144" s="5" t="n">
        <v>6426.5</v>
      </c>
      <c r="I144" t="n">
        <v>1</v>
      </c>
      <c r="J144" t="n">
        <v>1</v>
      </c>
      <c r="K144" t="n">
        <v>4</v>
      </c>
      <c r="L144" s="5" t="n">
        <v>12852.99</v>
      </c>
    </row>
    <row r="145">
      <c r="A145" t="inlineStr">
        <is>
          <t>PUNO</t>
        </is>
      </c>
      <c r="B145" t="inlineStr">
        <is>
          <t>CARABAYA</t>
        </is>
      </c>
      <c r="C145" t="inlineStr">
        <is>
          <t>MACUSANI</t>
        </is>
      </c>
      <c r="D145" t="inlineStr">
        <is>
          <t>210301</t>
        </is>
      </c>
      <c r="E145" t="inlineStr">
        <is>
          <t>—</t>
        </is>
      </c>
      <c r="F145" s="11" t="n">
        <v>27538.7515</v>
      </c>
      <c r="G145" s="6">
        <f>IF($F$217=0,0,F145/$F$217)</f>
        <v/>
      </c>
      <c r="H145" s="5" t="n">
        <v>6378.54</v>
      </c>
      <c r="I145" t="n">
        <v>4</v>
      </c>
      <c r="J145" t="n">
        <v>2</v>
      </c>
      <c r="K145" t="n">
        <v>2</v>
      </c>
      <c r="L145" s="5" t="n">
        <v>17009.44</v>
      </c>
    </row>
    <row r="146">
      <c r="A146" t="inlineStr">
        <is>
          <t>LIMA</t>
        </is>
      </c>
      <c r="B146" t="inlineStr">
        <is>
          <t>HUARAL</t>
        </is>
      </c>
      <c r="C146" t="inlineStr">
        <is>
          <t>HUARAL</t>
        </is>
      </c>
      <c r="D146" t="inlineStr">
        <is>
          <t>150601</t>
        </is>
      </c>
      <c r="E146" t="inlineStr">
        <is>
          <t>—</t>
        </is>
      </c>
      <c r="F146" s="11" t="n">
        <v>27194.3144</v>
      </c>
      <c r="G146" s="6">
        <f>IF($F$217=0,0,F146/$F$217)</f>
        <v/>
      </c>
      <c r="H146" s="5" t="n">
        <v>6298.76</v>
      </c>
      <c r="I146" t="n">
        <v>4</v>
      </c>
      <c r="J146" t="n">
        <v>4</v>
      </c>
      <c r="L146" s="5" t="n">
        <v>25195.05</v>
      </c>
    </row>
    <row r="147">
      <c r="A147" t="inlineStr">
        <is>
          <t>JUNIN</t>
        </is>
      </c>
      <c r="B147" t="inlineStr">
        <is>
          <t>SATIPO</t>
        </is>
      </c>
      <c r="C147" t="inlineStr">
        <is>
          <t>PANGOA</t>
        </is>
      </c>
      <c r="D147" t="inlineStr">
        <is>
          <t>120606</t>
        </is>
      </c>
      <c r="E147" t="inlineStr">
        <is>
          <t>—</t>
        </is>
      </c>
      <c r="F147" s="11" t="n">
        <v>26945.3671</v>
      </c>
      <c r="G147" s="6">
        <f>IF($F$217=0,0,F147/$F$217)</f>
        <v/>
      </c>
      <c r="H147" s="5" t="n">
        <v>6241.1</v>
      </c>
      <c r="I147" t="n">
        <v>3</v>
      </c>
      <c r="J147" t="n">
        <v>2</v>
      </c>
      <c r="L147" s="5" t="n">
        <v>15602.75</v>
      </c>
    </row>
    <row r="148">
      <c r="A148" t="inlineStr">
        <is>
          <t>LIMA</t>
        </is>
      </c>
      <c r="B148" t="inlineStr">
        <is>
          <t>CAÑETE</t>
        </is>
      </c>
      <c r="C148" t="inlineStr">
        <is>
          <t>MALA</t>
        </is>
      </c>
      <c r="D148" t="inlineStr">
        <is>
          <t>150509</t>
        </is>
      </c>
      <c r="E148" t="inlineStr">
        <is>
          <t>—</t>
        </is>
      </c>
      <c r="F148" s="11" t="n">
        <v>26464.9348</v>
      </c>
      <c r="G148" s="6">
        <f>IF($F$217=0,0,F148/$F$217)</f>
        <v/>
      </c>
      <c r="H148" s="5" t="n">
        <v>6129.82</v>
      </c>
      <c r="I148" t="n">
        <v>3</v>
      </c>
      <c r="J148" t="n">
        <v>3</v>
      </c>
      <c r="L148" s="5" t="n">
        <v>18389.47</v>
      </c>
    </row>
    <row r="149">
      <c r="A149" t="inlineStr">
        <is>
          <t>ANCASH</t>
        </is>
      </c>
      <c r="B149" t="inlineStr">
        <is>
          <t>HUARI</t>
        </is>
      </c>
      <c r="C149" t="inlineStr">
        <is>
          <t>HUARI</t>
        </is>
      </c>
      <c r="D149" t="inlineStr">
        <is>
          <t>021001</t>
        </is>
      </c>
      <c r="E149" t="inlineStr">
        <is>
          <t>—</t>
        </is>
      </c>
      <c r="F149" s="11" t="n">
        <v>26450.3218</v>
      </c>
      <c r="G149" s="6">
        <f>IF($F$217=0,0,F149/$F$217)</f>
        <v/>
      </c>
      <c r="H149" s="5" t="n">
        <v>6126.44</v>
      </c>
      <c r="I149" t="n">
        <v>5</v>
      </c>
      <c r="J149" t="n">
        <v>3</v>
      </c>
      <c r="K149" t="n">
        <v>3</v>
      </c>
      <c r="L149" s="5" t="n">
        <v>22463.6</v>
      </c>
    </row>
    <row r="150">
      <c r="A150" t="inlineStr">
        <is>
          <t>PASCO</t>
        </is>
      </c>
      <c r="B150" t="inlineStr">
        <is>
          <t>PASCO</t>
        </is>
      </c>
      <c r="C150" t="inlineStr">
        <is>
          <t>YANACANCHA</t>
        </is>
      </c>
      <c r="D150" t="inlineStr">
        <is>
          <t>190113</t>
        </is>
      </c>
      <c r="E150" t="inlineStr">
        <is>
          <t>—</t>
        </is>
      </c>
      <c r="F150" s="11" t="n">
        <v>26124.2493</v>
      </c>
      <c r="G150" s="6">
        <f>IF($F$217=0,0,F150/$F$217)</f>
        <v/>
      </c>
      <c r="H150" s="5" t="n">
        <v>6050.91</v>
      </c>
      <c r="I150" t="n">
        <v>4</v>
      </c>
      <c r="J150" t="n">
        <v>2</v>
      </c>
      <c r="K150" t="n">
        <v>3</v>
      </c>
      <c r="L150" s="5" t="n">
        <v>18152.74</v>
      </c>
    </row>
    <row r="151">
      <c r="A151" t="inlineStr">
        <is>
          <t>HUANCAVELICA</t>
        </is>
      </c>
      <c r="B151" t="inlineStr">
        <is>
          <t>TAYACAJA</t>
        </is>
      </c>
      <c r="C151" t="inlineStr">
        <is>
          <t>PAMPAS</t>
        </is>
      </c>
      <c r="D151" t="inlineStr">
        <is>
          <t>090701</t>
        </is>
      </c>
      <c r="E151" t="inlineStr">
        <is>
          <t>—</t>
        </is>
      </c>
      <c r="F151" s="11" t="n">
        <v>25844.6485</v>
      </c>
      <c r="G151" s="6">
        <f>IF($F$217=0,0,F151/$F$217)</f>
        <v/>
      </c>
      <c r="H151" s="5" t="n">
        <v>5986.15</v>
      </c>
      <c r="I151" t="n">
        <v>4</v>
      </c>
      <c r="J151" t="n">
        <v>1</v>
      </c>
      <c r="K151" t="n">
        <v>4</v>
      </c>
      <c r="L151" s="5" t="n">
        <v>17958.45</v>
      </c>
    </row>
    <row r="152">
      <c r="A152" t="inlineStr">
        <is>
          <t>HUANUCO</t>
        </is>
      </c>
      <c r="B152" t="inlineStr">
        <is>
          <t>PACHITEA</t>
        </is>
      </c>
      <c r="C152" t="inlineStr">
        <is>
          <t>PANAO</t>
        </is>
      </c>
      <c r="D152" t="inlineStr">
        <is>
          <t>100801</t>
        </is>
      </c>
      <c r="E152" t="inlineStr">
        <is>
          <t>—</t>
        </is>
      </c>
      <c r="F152" s="11" t="n">
        <v>25409.4918</v>
      </c>
      <c r="G152" s="6">
        <f>IF($F$217=0,0,F152/$F$217)</f>
        <v/>
      </c>
      <c r="H152" s="5" t="n">
        <v>5885.36</v>
      </c>
      <c r="I152" t="n">
        <v>4</v>
      </c>
      <c r="J152" t="n">
        <v>2</v>
      </c>
      <c r="K152" t="n">
        <v>3</v>
      </c>
      <c r="L152" s="5" t="n">
        <v>17656.08</v>
      </c>
    </row>
    <row r="153">
      <c r="A153" t="inlineStr">
        <is>
          <t>PIURA</t>
        </is>
      </c>
      <c r="B153" t="inlineStr">
        <is>
          <t>PIURA</t>
        </is>
      </c>
      <c r="C153" t="inlineStr">
        <is>
          <t>LAS LOMAS</t>
        </is>
      </c>
      <c r="D153" t="inlineStr">
        <is>
          <t>200111</t>
        </is>
      </c>
      <c r="E153" t="inlineStr">
        <is>
          <t>—</t>
        </is>
      </c>
      <c r="F153" s="11" t="n">
        <v>25122.4777</v>
      </c>
      <c r="G153" s="6">
        <f>IF($F$217=0,0,F153/$F$217)</f>
        <v/>
      </c>
      <c r="H153" s="5" t="n">
        <v>5818.88</v>
      </c>
      <c r="I153" t="n">
        <v>4</v>
      </c>
      <c r="J153" t="n">
        <v>3</v>
      </c>
      <c r="K153" t="n">
        <v>4</v>
      </c>
      <c r="L153" s="5" t="n">
        <v>21335.9</v>
      </c>
    </row>
    <row r="154">
      <c r="A154" t="inlineStr">
        <is>
          <t>LAMBAYEQUE</t>
        </is>
      </c>
      <c r="B154" t="inlineStr">
        <is>
          <t>CHICLAYO</t>
        </is>
      </c>
      <c r="C154" t="inlineStr">
        <is>
          <t>PIMENTEL</t>
        </is>
      </c>
      <c r="D154" t="inlineStr">
        <is>
          <t>140112</t>
        </is>
      </c>
      <c r="E154" t="inlineStr">
        <is>
          <t>—</t>
        </is>
      </c>
      <c r="F154" s="11" t="n">
        <v>25096.1729</v>
      </c>
      <c r="G154" s="6">
        <f>IF($F$217=0,0,F154/$F$217)</f>
        <v/>
      </c>
      <c r="H154" s="5" t="n">
        <v>5812.79</v>
      </c>
      <c r="I154" t="n">
        <v>1</v>
      </c>
      <c r="J154" t="n">
        <v>4</v>
      </c>
      <c r="L154" s="5" t="n">
        <v>14531.97</v>
      </c>
    </row>
    <row r="155">
      <c r="A155" t="inlineStr">
        <is>
          <t>CUSCO</t>
        </is>
      </c>
      <c r="B155" t="inlineStr">
        <is>
          <t>QUISPICANCHI</t>
        </is>
      </c>
      <c r="C155" t="inlineStr">
        <is>
          <t>URCOS</t>
        </is>
      </c>
      <c r="D155" t="inlineStr">
        <is>
          <t>081201</t>
        </is>
      </c>
      <c r="E155" t="inlineStr">
        <is>
          <t>—</t>
        </is>
      </c>
      <c r="F155" s="11" t="n">
        <v>24750.8889</v>
      </c>
      <c r="G155" s="6">
        <f>IF($F$217=0,0,F155/$F$217)</f>
        <v/>
      </c>
      <c r="H155" s="5" t="n">
        <v>5732.81</v>
      </c>
      <c r="I155" t="n">
        <v>4</v>
      </c>
      <c r="J155" t="n">
        <v>3</v>
      </c>
      <c r="K155" t="n">
        <v>4</v>
      </c>
      <c r="L155" s="5" t="n">
        <v>21020.32</v>
      </c>
    </row>
    <row r="156">
      <c r="A156" t="inlineStr">
        <is>
          <t>PIURA</t>
        </is>
      </c>
      <c r="B156" t="inlineStr">
        <is>
          <t>PAITA</t>
        </is>
      </c>
      <c r="C156" t="inlineStr">
        <is>
          <t>PAITA</t>
        </is>
      </c>
      <c r="D156" t="inlineStr">
        <is>
          <t>200501</t>
        </is>
      </c>
      <c r="E156" t="inlineStr">
        <is>
          <t>—</t>
        </is>
      </c>
      <c r="F156" s="11" t="n">
        <v>24733.0166</v>
      </c>
      <c r="G156" s="6">
        <f>IF($F$217=0,0,F156/$F$217)</f>
        <v/>
      </c>
      <c r="H156" s="5" t="n">
        <v>5728.67</v>
      </c>
      <c r="I156" t="n">
        <v>2</v>
      </c>
      <c r="J156" t="n">
        <v>4</v>
      </c>
      <c r="L156" s="5" t="n">
        <v>17186.02</v>
      </c>
    </row>
    <row r="157">
      <c r="A157" t="inlineStr">
        <is>
          <t>PUNO</t>
        </is>
      </c>
      <c r="B157" t="inlineStr">
        <is>
          <t>MELGAR</t>
        </is>
      </c>
      <c r="C157" t="inlineStr">
        <is>
          <t>AYAVIRI</t>
        </is>
      </c>
      <c r="D157" t="inlineStr">
        <is>
          <t>210801</t>
        </is>
      </c>
      <c r="E157" t="inlineStr">
        <is>
          <t>—</t>
        </is>
      </c>
      <c r="F157" s="11" t="n">
        <v>24417.8864</v>
      </c>
      <c r="G157" s="6">
        <f>IF($F$217=0,0,F157/$F$217)</f>
        <v/>
      </c>
      <c r="H157" s="5" t="n">
        <v>5655.68</v>
      </c>
      <c r="I157" t="n">
        <v>4</v>
      </c>
      <c r="J157" t="n">
        <v>3</v>
      </c>
      <c r="K157" t="n">
        <v>3</v>
      </c>
      <c r="L157" s="5" t="n">
        <v>18852.28</v>
      </c>
    </row>
    <row r="158">
      <c r="A158" t="inlineStr">
        <is>
          <t>PIURA</t>
        </is>
      </c>
      <c r="B158" t="inlineStr">
        <is>
          <t>HUANCABAMBA</t>
        </is>
      </c>
      <c r="C158" t="inlineStr">
        <is>
          <t>HUANCABAMBA</t>
        </is>
      </c>
      <c r="D158" t="inlineStr">
        <is>
          <t>200301</t>
        </is>
      </c>
      <c r="E158" t="inlineStr">
        <is>
          <t>—</t>
        </is>
      </c>
      <c r="F158" s="11" t="n">
        <v>22746.3313</v>
      </c>
      <c r="G158" s="6">
        <f>IF($F$217=0,0,F158/$F$217)</f>
        <v/>
      </c>
      <c r="H158" s="5" t="n">
        <v>5268.52</v>
      </c>
      <c r="I158" t="n">
        <v>5</v>
      </c>
      <c r="J158" t="n">
        <v>2</v>
      </c>
      <c r="K158" t="n">
        <v>4</v>
      </c>
      <c r="L158" s="5" t="n">
        <v>19317.9</v>
      </c>
    </row>
    <row r="159">
      <c r="A159" t="inlineStr">
        <is>
          <t>AREQUIPA</t>
        </is>
      </c>
      <c r="B159" t="inlineStr">
        <is>
          <t>AREQUIPA</t>
        </is>
      </c>
      <c r="C159" t="inlineStr">
        <is>
          <t>YURA</t>
        </is>
      </c>
      <c r="D159" t="inlineStr">
        <is>
          <t>040128</t>
        </is>
      </c>
      <c r="E159" t="inlineStr">
        <is>
          <t>—</t>
        </is>
      </c>
      <c r="F159" s="11" t="n">
        <v>22679.3064</v>
      </c>
      <c r="G159" s="6">
        <f>IF($F$217=0,0,F159/$F$217)</f>
        <v/>
      </c>
      <c r="H159" s="5" t="n">
        <v>5252.99</v>
      </c>
      <c r="I159" t="n">
        <v>5</v>
      </c>
      <c r="J159" t="n">
        <v>3</v>
      </c>
      <c r="K159" t="n">
        <v>4</v>
      </c>
      <c r="L159" s="5" t="n">
        <v>21011.97</v>
      </c>
    </row>
    <row r="160">
      <c r="A160" t="inlineStr">
        <is>
          <t>HUANCAVELICA</t>
        </is>
      </c>
      <c r="B160" t="inlineStr">
        <is>
          <t>HUANCAVELICA</t>
        </is>
      </c>
      <c r="C160" t="inlineStr">
        <is>
          <t>HUANCAVELICA</t>
        </is>
      </c>
      <c r="D160" t="inlineStr">
        <is>
          <t>090101</t>
        </is>
      </c>
      <c r="E160" t="inlineStr">
        <is>
          <t>—</t>
        </is>
      </c>
      <c r="F160" s="11" t="n">
        <v>22660.7401</v>
      </c>
      <c r="G160" s="6">
        <f>IF($F$217=0,0,F160/$F$217)</f>
        <v/>
      </c>
      <c r="H160" s="5" t="n">
        <v>5248.69</v>
      </c>
      <c r="I160" t="n">
        <v>4</v>
      </c>
      <c r="J160" t="n">
        <v>3</v>
      </c>
      <c r="K160" t="n">
        <v>3</v>
      </c>
      <c r="L160" s="5" t="n">
        <v>17495.64</v>
      </c>
    </row>
    <row r="161">
      <c r="A161" t="inlineStr">
        <is>
          <t>PUNO</t>
        </is>
      </c>
      <c r="B161" t="inlineStr">
        <is>
          <t>CHUCUITO</t>
        </is>
      </c>
      <c r="C161" t="inlineStr">
        <is>
          <t>JULI</t>
        </is>
      </c>
      <c r="D161" t="inlineStr">
        <is>
          <t>210401</t>
        </is>
      </c>
      <c r="E161" t="inlineStr">
        <is>
          <t>—</t>
        </is>
      </c>
      <c r="F161" s="11" t="n">
        <v>22581.9027</v>
      </c>
      <c r="G161" s="6">
        <f>IF($F$217=0,0,F161/$F$217)</f>
        <v/>
      </c>
      <c r="H161" s="5" t="n">
        <v>5230.43</v>
      </c>
      <c r="I161" t="n">
        <v>3</v>
      </c>
      <c r="J161" t="n">
        <v>2</v>
      </c>
      <c r="K161" t="n">
        <v>3</v>
      </c>
      <c r="L161" s="5" t="n">
        <v>13947.82</v>
      </c>
    </row>
    <row r="162">
      <c r="A162" t="inlineStr">
        <is>
          <t>HUANUCO</t>
        </is>
      </c>
      <c r="B162" t="inlineStr">
        <is>
          <t>LEONCIO PRADO</t>
        </is>
      </c>
      <c r="C162" t="inlineStr">
        <is>
          <t>JOSE CRESPO Y CASTILLO</t>
        </is>
      </c>
      <c r="D162" t="inlineStr">
        <is>
          <t>100604</t>
        </is>
      </c>
      <c r="E162" t="inlineStr">
        <is>
          <t>—</t>
        </is>
      </c>
      <c r="F162" s="11" t="n">
        <v>22367.5066</v>
      </c>
      <c r="G162" s="6">
        <f>IF($F$217=0,0,F162/$F$217)</f>
        <v/>
      </c>
      <c r="H162" s="5" t="n">
        <v>5180.77</v>
      </c>
      <c r="I162" t="n">
        <v>4</v>
      </c>
      <c r="J162" t="n">
        <v>4</v>
      </c>
      <c r="K162" t="n">
        <v>2</v>
      </c>
      <c r="L162" s="5" t="n">
        <v>17269.25</v>
      </c>
    </row>
    <row r="163">
      <c r="A163" t="inlineStr">
        <is>
          <t>CUSCO</t>
        </is>
      </c>
      <c r="B163" t="inlineStr">
        <is>
          <t>CANCHIS</t>
        </is>
      </c>
      <c r="C163" t="inlineStr">
        <is>
          <t>COMBAPATA</t>
        </is>
      </c>
      <c r="D163" t="inlineStr">
        <is>
          <t>080603</t>
        </is>
      </c>
      <c r="E163" t="inlineStr">
        <is>
          <t>—</t>
        </is>
      </c>
      <c r="F163" s="11" t="n">
        <v>22142.5426</v>
      </c>
      <c r="G163" s="6">
        <f>IF($F$217=0,0,F163/$F$217)</f>
        <v/>
      </c>
      <c r="H163" s="5" t="n">
        <v>5128.67</v>
      </c>
      <c r="I163" t="n">
        <v>4</v>
      </c>
      <c r="J163" t="n">
        <v>3</v>
      </c>
      <c r="K163" t="n">
        <v>3</v>
      </c>
      <c r="L163" s="5" t="n">
        <v>17095.56</v>
      </c>
    </row>
    <row r="164">
      <c r="A164" t="inlineStr">
        <is>
          <t>CUSCO</t>
        </is>
      </c>
      <c r="B164" t="inlineStr">
        <is>
          <t>ESPINAR</t>
        </is>
      </c>
      <c r="C164" t="inlineStr">
        <is>
          <t>ESPINAR</t>
        </is>
      </c>
      <c r="D164" t="inlineStr">
        <is>
          <t>080801</t>
        </is>
      </c>
      <c r="E164" t="inlineStr">
        <is>
          <t>—</t>
        </is>
      </c>
      <c r="F164" s="11" t="n">
        <v>21488.4514</v>
      </c>
      <c r="G164" s="6">
        <f>IF($F$217=0,0,F164/$F$217)</f>
        <v/>
      </c>
      <c r="H164" s="5" t="n">
        <v>4977.17</v>
      </c>
      <c r="I164" t="n">
        <v>3</v>
      </c>
      <c r="J164" t="n">
        <v>3</v>
      </c>
      <c r="K164" t="n">
        <v>3</v>
      </c>
      <c r="L164" s="5" t="n">
        <v>14931.5</v>
      </c>
    </row>
    <row r="165">
      <c r="A165" t="inlineStr">
        <is>
          <t>PUNO</t>
        </is>
      </c>
      <c r="B165" t="inlineStr">
        <is>
          <t>PUNO</t>
        </is>
      </c>
      <c r="C165" t="inlineStr">
        <is>
          <t>MAÑAZO</t>
        </is>
      </c>
      <c r="D165" t="inlineStr">
        <is>
          <t>210109</t>
        </is>
      </c>
      <c r="E165" t="inlineStr">
        <is>
          <t>—</t>
        </is>
      </c>
      <c r="F165" s="11" t="n">
        <v>20966.2941</v>
      </c>
      <c r="G165" s="6">
        <f>IF($F$217=0,0,F165/$F$217)</f>
        <v/>
      </c>
      <c r="H165" s="5" t="n">
        <v>4856.22</v>
      </c>
      <c r="I165" t="n">
        <v>4</v>
      </c>
      <c r="J165" t="n">
        <v>3</v>
      </c>
      <c r="K165" t="n">
        <v>3</v>
      </c>
      <c r="L165" s="5" t="n">
        <v>16187.41</v>
      </c>
    </row>
    <row r="166">
      <c r="A166" t="inlineStr">
        <is>
          <t>HUANUCO</t>
        </is>
      </c>
      <c r="B166" t="inlineStr">
        <is>
          <t>DOS DE MAYO</t>
        </is>
      </c>
      <c r="C166" t="inlineStr">
        <is>
          <t>LA UNION</t>
        </is>
      </c>
      <c r="D166" t="inlineStr">
        <is>
          <t>100301</t>
        </is>
      </c>
      <c r="E166" t="inlineStr">
        <is>
          <t>—</t>
        </is>
      </c>
      <c r="F166" s="11" t="n">
        <v>20812.4862</v>
      </c>
      <c r="G166" s="6">
        <f>IF($F$217=0,0,F166/$F$217)</f>
        <v/>
      </c>
      <c r="H166" s="5" t="n">
        <v>4820.6</v>
      </c>
      <c r="I166" t="n">
        <v>4</v>
      </c>
      <c r="J166" t="n">
        <v>3</v>
      </c>
      <c r="K166" t="n">
        <v>3</v>
      </c>
      <c r="L166" s="5" t="n">
        <v>16068.66</v>
      </c>
    </row>
    <row r="167">
      <c r="A167" t="inlineStr">
        <is>
          <t>ANCASH</t>
        </is>
      </c>
      <c r="B167" t="inlineStr">
        <is>
          <t>SANTA</t>
        </is>
      </c>
      <c r="C167" t="inlineStr">
        <is>
          <t>NEPEÑA</t>
        </is>
      </c>
      <c r="D167" t="inlineStr">
        <is>
          <t>021806</t>
        </is>
      </c>
      <c r="E167" t="inlineStr">
        <is>
          <t>—</t>
        </is>
      </c>
      <c r="F167" s="11" t="n">
        <v>20483.601</v>
      </c>
      <c r="G167" s="6">
        <f>IF($F$217=0,0,F167/$F$217)</f>
        <v/>
      </c>
      <c r="H167" s="5" t="n">
        <v>4744.42</v>
      </c>
      <c r="I167" t="n">
        <v>2</v>
      </c>
      <c r="J167" t="n">
        <v>4</v>
      </c>
      <c r="L167" s="5" t="n">
        <v>14233.27</v>
      </c>
    </row>
    <row r="168">
      <c r="A168" t="inlineStr">
        <is>
          <t>PIURA</t>
        </is>
      </c>
      <c r="B168" t="inlineStr">
        <is>
          <t>TALARA</t>
        </is>
      </c>
      <c r="C168" t="inlineStr">
        <is>
          <t>LOS ORGANOS</t>
        </is>
      </c>
      <c r="D168" t="inlineStr">
        <is>
          <t>200705</t>
        </is>
      </c>
      <c r="E168" t="inlineStr">
        <is>
          <t>—</t>
        </is>
      </c>
      <c r="F168" s="11" t="n">
        <v>20116.0395</v>
      </c>
      <c r="G168" s="6">
        <f>IF($F$217=0,0,F168/$F$217)</f>
        <v/>
      </c>
      <c r="H168" s="5" t="n">
        <v>4659.29</v>
      </c>
      <c r="I168" t="n">
        <v>3</v>
      </c>
      <c r="J168" t="n">
        <v>3</v>
      </c>
      <c r="L168" s="5" t="n">
        <v>13977.86</v>
      </c>
    </row>
    <row r="169">
      <c r="A169" t="inlineStr">
        <is>
          <t>PUNO</t>
        </is>
      </c>
      <c r="B169" t="inlineStr">
        <is>
          <t>HUANCANE</t>
        </is>
      </c>
      <c r="C169" t="inlineStr">
        <is>
          <t>HUANCANE</t>
        </is>
      </c>
      <c r="D169" t="inlineStr">
        <is>
          <t>210601</t>
        </is>
      </c>
      <c r="E169" t="inlineStr">
        <is>
          <t>—</t>
        </is>
      </c>
      <c r="F169" s="11" t="n">
        <v>19985.6522</v>
      </c>
      <c r="G169" s="6">
        <f>IF($F$217=0,0,F169/$F$217)</f>
        <v/>
      </c>
      <c r="H169" s="5" t="n">
        <v>4629.09</v>
      </c>
      <c r="I169" t="n">
        <v>3</v>
      </c>
      <c r="J169" t="n">
        <v>3</v>
      </c>
      <c r="K169" t="n">
        <v>4</v>
      </c>
      <c r="L169" s="5" t="n">
        <v>15430.29</v>
      </c>
    </row>
    <row r="170">
      <c r="A170" t="inlineStr">
        <is>
          <t>AMAZONAS</t>
        </is>
      </c>
      <c r="B170" t="inlineStr">
        <is>
          <t>BONGARA</t>
        </is>
      </c>
      <c r="C170" t="inlineStr">
        <is>
          <t>JAZAN</t>
        </is>
      </c>
      <c r="D170" t="inlineStr">
        <is>
          <t>010307</t>
        </is>
      </c>
      <c r="E170" t="inlineStr">
        <is>
          <t>—</t>
        </is>
      </c>
      <c r="F170" s="11" t="n">
        <v>19781.5452</v>
      </c>
      <c r="G170" s="6">
        <f>IF($F$217=0,0,F170/$F$217)</f>
        <v/>
      </c>
      <c r="H170" s="5" t="n">
        <v>4581.81</v>
      </c>
      <c r="I170" t="n">
        <v>5</v>
      </c>
      <c r="J170" t="n">
        <v>2</v>
      </c>
      <c r="K170" t="n">
        <v>3</v>
      </c>
      <c r="L170" s="5" t="n">
        <v>15272.71</v>
      </c>
    </row>
    <row r="171">
      <c r="A171" t="inlineStr">
        <is>
          <t>PIURA</t>
        </is>
      </c>
      <c r="B171" t="inlineStr">
        <is>
          <t>AYABACA</t>
        </is>
      </c>
      <c r="C171" t="inlineStr">
        <is>
          <t>AYABACA</t>
        </is>
      </c>
      <c r="D171" t="inlineStr">
        <is>
          <t>200201</t>
        </is>
      </c>
      <c r="E171" t="inlineStr">
        <is>
          <t>—</t>
        </is>
      </c>
      <c r="F171" s="11" t="n">
        <v>18867.6802</v>
      </c>
      <c r="G171" s="6">
        <f>IF($F$217=0,0,F171/$F$217)</f>
        <v/>
      </c>
      <c r="H171" s="5" t="n">
        <v>4370.14</v>
      </c>
      <c r="I171" t="n">
        <v>5</v>
      </c>
      <c r="J171" t="n">
        <v>1</v>
      </c>
      <c r="K171" t="n">
        <v>3</v>
      </c>
      <c r="L171" s="5" t="n">
        <v>13110.43</v>
      </c>
    </row>
    <row r="172">
      <c r="A172" t="inlineStr">
        <is>
          <t>ANCASH</t>
        </is>
      </c>
      <c r="B172" t="inlineStr">
        <is>
          <t>HUARMEY</t>
        </is>
      </c>
      <c r="C172" t="inlineStr">
        <is>
          <t>HUARMEY</t>
        </is>
      </c>
      <c r="D172" t="inlineStr">
        <is>
          <t>021101</t>
        </is>
      </c>
      <c r="E172" t="inlineStr">
        <is>
          <t>—</t>
        </is>
      </c>
      <c r="F172" s="11" t="n">
        <v>18636.8081</v>
      </c>
      <c r="G172" s="6">
        <f>IF($F$217=0,0,F172/$F$217)</f>
        <v/>
      </c>
      <c r="H172" s="5" t="n">
        <v>4316.67</v>
      </c>
      <c r="I172" t="n">
        <v>3</v>
      </c>
      <c r="J172" t="n">
        <v>4</v>
      </c>
      <c r="L172" s="5" t="n">
        <v>15108.34</v>
      </c>
    </row>
    <row r="173">
      <c r="A173" t="inlineStr">
        <is>
          <t>LIMA</t>
        </is>
      </c>
      <c r="B173" t="inlineStr">
        <is>
          <t>LIMA</t>
        </is>
      </c>
      <c r="C173" t="inlineStr">
        <is>
          <t>MAGDALENA DEL MAR</t>
        </is>
      </c>
      <c r="D173" t="inlineStr">
        <is>
          <t>150120</t>
        </is>
      </c>
      <c r="E173" t="inlineStr">
        <is>
          <t>—</t>
        </is>
      </c>
      <c r="F173" s="11" t="n">
        <v>18607.1858</v>
      </c>
      <c r="G173" s="6">
        <f>IF($F$217=0,0,F173/$F$217)</f>
        <v/>
      </c>
      <c r="H173" s="5" t="n">
        <v>4309.81</v>
      </c>
      <c r="I173" t="n">
        <v>2</v>
      </c>
      <c r="J173" t="n">
        <v>4</v>
      </c>
      <c r="L173" s="5" t="n">
        <v>12929.42</v>
      </c>
    </row>
    <row r="174">
      <c r="A174" t="inlineStr">
        <is>
          <t>CUSCO</t>
        </is>
      </c>
      <c r="B174" t="inlineStr">
        <is>
          <t>CHUMBIVILCAS</t>
        </is>
      </c>
      <c r="C174" t="inlineStr">
        <is>
          <t>SANTO TOMAS</t>
        </is>
      </c>
      <c r="D174" t="inlineStr">
        <is>
          <t>080701</t>
        </is>
      </c>
      <c r="E174" t="inlineStr">
        <is>
          <t>—</t>
        </is>
      </c>
      <c r="F174" s="11" t="n">
        <v>18571.2989</v>
      </c>
      <c r="G174" s="6">
        <f>IF($F$217=0,0,F174/$F$217)</f>
        <v/>
      </c>
      <c r="H174" s="5" t="n">
        <v>4301.49</v>
      </c>
      <c r="I174" t="n">
        <v>4</v>
      </c>
      <c r="J174" t="n">
        <v>3</v>
      </c>
      <c r="K174" t="n">
        <v>3</v>
      </c>
      <c r="L174" s="5" t="n">
        <v>14338.31</v>
      </c>
    </row>
    <row r="175">
      <c r="A175" t="inlineStr">
        <is>
          <t>AREQUIPA</t>
        </is>
      </c>
      <c r="B175" t="inlineStr">
        <is>
          <t>CASTILLA</t>
        </is>
      </c>
      <c r="C175" t="inlineStr">
        <is>
          <t>APLAO</t>
        </is>
      </c>
      <c r="D175" t="inlineStr">
        <is>
          <t>040401</t>
        </is>
      </c>
      <c r="E175" t="inlineStr">
        <is>
          <t>—</t>
        </is>
      </c>
      <c r="F175" s="11" t="n">
        <v>18418.8042</v>
      </c>
      <c r="G175" s="6">
        <f>IF($F$217=0,0,F175/$F$217)</f>
        <v/>
      </c>
      <c r="H175" s="5" t="n">
        <v>4266.17</v>
      </c>
      <c r="I175" t="n">
        <v>4</v>
      </c>
      <c r="J175" t="n">
        <v>4</v>
      </c>
      <c r="L175" s="5" t="n">
        <v>17064.69</v>
      </c>
    </row>
    <row r="176">
      <c r="A176" t="inlineStr">
        <is>
          <t>PUNO</t>
        </is>
      </c>
      <c r="B176" t="inlineStr">
        <is>
          <t>AZANGARO</t>
        </is>
      </c>
      <c r="C176" t="inlineStr">
        <is>
          <t>AZANGARO</t>
        </is>
      </c>
      <c r="D176" t="inlineStr">
        <is>
          <t>210201</t>
        </is>
      </c>
      <c r="E176" t="inlineStr">
        <is>
          <t>—</t>
        </is>
      </c>
      <c r="F176" s="11" t="n">
        <v>17980.7457</v>
      </c>
      <c r="G176" s="6">
        <f>IF($F$217=0,0,F176/$F$217)</f>
        <v/>
      </c>
      <c r="H176" s="5" t="n">
        <v>4164.71</v>
      </c>
      <c r="I176" t="n">
        <v>4</v>
      </c>
      <c r="J176" t="n">
        <v>3</v>
      </c>
      <c r="K176" t="n">
        <v>4</v>
      </c>
      <c r="L176" s="5" t="n">
        <v>15270.6</v>
      </c>
    </row>
    <row r="177">
      <c r="A177" t="inlineStr">
        <is>
          <t>LIMA</t>
        </is>
      </c>
      <c r="B177" t="inlineStr">
        <is>
          <t>LIMA</t>
        </is>
      </c>
      <c r="C177" t="inlineStr">
        <is>
          <t>LA MOLINA</t>
        </is>
      </c>
      <c r="D177" t="inlineStr">
        <is>
          <t>150114</t>
        </is>
      </c>
      <c r="E177" t="inlineStr">
        <is>
          <t>—</t>
        </is>
      </c>
      <c r="F177" s="11" t="n">
        <v>17658.0907</v>
      </c>
      <c r="G177" s="6">
        <f>IF($F$217=0,0,F177/$F$217)</f>
        <v/>
      </c>
      <c r="H177" s="5" t="n">
        <v>4089.98</v>
      </c>
      <c r="I177" t="n">
        <v>4</v>
      </c>
      <c r="J177" t="n">
        <v>3</v>
      </c>
      <c r="L177" s="5" t="n">
        <v>14314.92</v>
      </c>
    </row>
    <row r="178">
      <c r="A178" t="inlineStr">
        <is>
          <t>CAJAMARCA</t>
        </is>
      </c>
      <c r="B178" t="inlineStr">
        <is>
          <t>SAN MARCOS</t>
        </is>
      </c>
      <c r="C178" t="inlineStr">
        <is>
          <t>PEDRO GALVEZ</t>
        </is>
      </c>
      <c r="D178" t="inlineStr">
        <is>
          <t>061001</t>
        </is>
      </c>
      <c r="E178" t="inlineStr">
        <is>
          <t>—</t>
        </is>
      </c>
      <c r="F178" s="11" t="n">
        <v>17631.6537</v>
      </c>
      <c r="G178" s="6">
        <f>IF($F$217=0,0,F178/$F$217)</f>
        <v/>
      </c>
      <c r="H178" s="5" t="n">
        <v>4083.85</v>
      </c>
      <c r="I178" t="n">
        <v>4</v>
      </c>
      <c r="J178" t="n">
        <v>3</v>
      </c>
      <c r="K178" t="n">
        <v>3</v>
      </c>
      <c r="L178" s="5" t="n">
        <v>13612.84</v>
      </c>
    </row>
    <row r="179">
      <c r="A179" t="inlineStr">
        <is>
          <t>LIMA</t>
        </is>
      </c>
      <c r="B179" t="inlineStr">
        <is>
          <t>HUARAL</t>
        </is>
      </c>
      <c r="C179" t="inlineStr">
        <is>
          <t>CHANCAY</t>
        </is>
      </c>
      <c r="D179" t="inlineStr">
        <is>
          <t>150605</t>
        </is>
      </c>
      <c r="E179" t="inlineStr">
        <is>
          <t>—</t>
        </is>
      </c>
      <c r="F179" s="11" t="n">
        <v>17103.4915</v>
      </c>
      <c r="G179" s="6">
        <f>IF($F$217=0,0,F179/$F$217)</f>
        <v/>
      </c>
      <c r="H179" s="5" t="n">
        <v>3961.52</v>
      </c>
      <c r="I179" t="n">
        <v>3</v>
      </c>
      <c r="J179" t="n">
        <v>4</v>
      </c>
      <c r="L179" s="5" t="n">
        <v>13865.32</v>
      </c>
    </row>
    <row r="180">
      <c r="A180" t="inlineStr">
        <is>
          <t>AREQUIPA</t>
        </is>
      </c>
      <c r="B180" t="inlineStr">
        <is>
          <t>ISLAY</t>
        </is>
      </c>
      <c r="C180" t="inlineStr">
        <is>
          <t>PUNTA DE BOMBON</t>
        </is>
      </c>
      <c r="D180" t="inlineStr">
        <is>
          <t>040706</t>
        </is>
      </c>
      <c r="E180" t="inlineStr">
        <is>
          <t>—</t>
        </is>
      </c>
      <c r="F180" s="11" t="n">
        <v>16142.3921</v>
      </c>
      <c r="G180" s="6">
        <f>IF($F$217=0,0,F180/$F$217)</f>
        <v/>
      </c>
      <c r="H180" s="5" t="n">
        <v>3738.91</v>
      </c>
      <c r="I180" t="n">
        <v>4</v>
      </c>
      <c r="J180" t="n">
        <v>4</v>
      </c>
      <c r="L180" s="5" t="n">
        <v>14955.64</v>
      </c>
    </row>
    <row r="181">
      <c r="A181" t="inlineStr">
        <is>
          <t>PIURA</t>
        </is>
      </c>
      <c r="B181" t="inlineStr">
        <is>
          <t>TALARA</t>
        </is>
      </c>
      <c r="C181" t="inlineStr">
        <is>
          <t>PARIÑAS</t>
        </is>
      </c>
      <c r="D181" t="inlineStr">
        <is>
          <t>200701</t>
        </is>
      </c>
      <c r="E181" t="inlineStr">
        <is>
          <t>—</t>
        </is>
      </c>
      <c r="F181" s="11" t="n">
        <v>15466.7217</v>
      </c>
      <c r="G181" s="6">
        <f>IF($F$217=0,0,F181/$F$217)</f>
        <v/>
      </c>
      <c r="H181" s="5" t="n">
        <v>3582.41</v>
      </c>
      <c r="I181" t="n">
        <v>3</v>
      </c>
      <c r="J181" t="n">
        <v>4</v>
      </c>
      <c r="K181" t="n">
        <v>3</v>
      </c>
      <c r="L181" s="5" t="n">
        <v>11941.37</v>
      </c>
    </row>
    <row r="182">
      <c r="A182" t="inlineStr">
        <is>
          <t>LA LIBERTAD</t>
        </is>
      </c>
      <c r="B182" t="inlineStr">
        <is>
          <t>SANTIAGO DE CHUCO</t>
        </is>
      </c>
      <c r="C182" t="inlineStr">
        <is>
          <t>SANTIAGO DE CHUCO</t>
        </is>
      </c>
      <c r="D182" t="inlineStr">
        <is>
          <t>131001</t>
        </is>
      </c>
      <c r="E182" t="inlineStr">
        <is>
          <t>—</t>
        </is>
      </c>
      <c r="F182" s="11" t="n">
        <v>15451.4377</v>
      </c>
      <c r="G182" s="6">
        <f>IF($F$217=0,0,F182/$F$217)</f>
        <v/>
      </c>
      <c r="H182" s="5" t="n">
        <v>3578.87</v>
      </c>
      <c r="I182" t="n">
        <v>4</v>
      </c>
      <c r="J182" t="n">
        <v>2</v>
      </c>
      <c r="K182" t="n">
        <v>4</v>
      </c>
      <c r="L182" s="5" t="n">
        <v>11929.57</v>
      </c>
    </row>
    <row r="183">
      <c r="A183" t="inlineStr">
        <is>
          <t>UCAYALI</t>
        </is>
      </c>
      <c r="B183" t="inlineStr">
        <is>
          <t>PADRE ABAD</t>
        </is>
      </c>
      <c r="C183" t="inlineStr">
        <is>
          <t>PADRE ABAD</t>
        </is>
      </c>
      <c r="D183" t="inlineStr">
        <is>
          <t>250301</t>
        </is>
      </c>
      <c r="E183" t="inlineStr">
        <is>
          <t>—</t>
        </is>
      </c>
      <c r="F183" s="11" t="n">
        <v>14938.9437</v>
      </c>
      <c r="G183" s="6">
        <f>IF($F$217=0,0,F183/$F$217)</f>
        <v/>
      </c>
      <c r="H183" s="5" t="n">
        <v>3460.17</v>
      </c>
      <c r="I183" t="n">
        <v>3</v>
      </c>
      <c r="J183" t="n">
        <v>2</v>
      </c>
      <c r="K183" t="n">
        <v>2</v>
      </c>
      <c r="L183" s="5" t="n">
        <v>8073.72</v>
      </c>
    </row>
    <row r="184">
      <c r="A184" t="inlineStr">
        <is>
          <t>ANCASH</t>
        </is>
      </c>
      <c r="B184" t="inlineStr">
        <is>
          <t>SIHUAS</t>
        </is>
      </c>
      <c r="C184" t="inlineStr">
        <is>
          <t>SIHUAS</t>
        </is>
      </c>
      <c r="D184" t="inlineStr">
        <is>
          <t>021901</t>
        </is>
      </c>
      <c r="E184" t="inlineStr">
        <is>
          <t>—</t>
        </is>
      </c>
      <c r="F184" s="11" t="n">
        <v>14838.5726</v>
      </c>
      <c r="G184" s="6">
        <f>IF($F$217=0,0,F184/$F$217)</f>
        <v/>
      </c>
      <c r="H184" s="5" t="n">
        <v>3436.92</v>
      </c>
      <c r="I184" t="n">
        <v>5</v>
      </c>
      <c r="J184" t="n">
        <v>3</v>
      </c>
      <c r="K184" t="n">
        <v>3</v>
      </c>
      <c r="L184" s="5" t="n">
        <v>12602.03</v>
      </c>
    </row>
    <row r="185">
      <c r="A185" t="inlineStr">
        <is>
          <t>CAJAMARCA</t>
        </is>
      </c>
      <c r="B185" t="inlineStr">
        <is>
          <t>SAN MIGUEL</t>
        </is>
      </c>
      <c r="C185" t="inlineStr">
        <is>
          <t>SAN MIGUEL</t>
        </is>
      </c>
      <c r="D185" t="inlineStr">
        <is>
          <t>061101</t>
        </is>
      </c>
      <c r="E185" t="inlineStr">
        <is>
          <t>—</t>
        </is>
      </c>
      <c r="F185" s="11" t="n">
        <v>14837.9965</v>
      </c>
      <c r="G185" s="6">
        <f>IF($F$217=0,0,F185/$F$217)</f>
        <v/>
      </c>
      <c r="H185" s="5" t="n">
        <v>3436.78</v>
      </c>
      <c r="I185" t="n">
        <v>4</v>
      </c>
      <c r="J185" t="n">
        <v>2</v>
      </c>
      <c r="K185" t="n">
        <v>4</v>
      </c>
      <c r="L185" s="5" t="n">
        <v>11455.95</v>
      </c>
    </row>
    <row r="186">
      <c r="A186" t="inlineStr">
        <is>
          <t>LAMBAYEQUE</t>
        </is>
      </c>
      <c r="B186" t="inlineStr">
        <is>
          <t>CHICLAYO</t>
        </is>
      </c>
      <c r="C186" t="inlineStr">
        <is>
          <t>PATAPO</t>
        </is>
      </c>
      <c r="D186" t="inlineStr">
        <is>
          <t>140117</t>
        </is>
      </c>
      <c r="E186" t="inlineStr">
        <is>
          <t>—</t>
        </is>
      </c>
      <c r="F186" s="11" t="n">
        <v>14479.0705</v>
      </c>
      <c r="G186" s="6">
        <f>IF($F$217=0,0,F186/$F$217)</f>
        <v/>
      </c>
      <c r="H186" s="5" t="n">
        <v>3353.65</v>
      </c>
      <c r="I186" t="n">
        <v>2</v>
      </c>
      <c r="J186" t="n">
        <v>4</v>
      </c>
      <c r="L186" s="5" t="n">
        <v>10060.95</v>
      </c>
    </row>
    <row r="187">
      <c r="A187" t="inlineStr">
        <is>
          <t>ANCASH</t>
        </is>
      </c>
      <c r="B187" t="inlineStr">
        <is>
          <t>RECUAY</t>
        </is>
      </c>
      <c r="C187" t="inlineStr">
        <is>
          <t>RECUAY</t>
        </is>
      </c>
      <c r="D187" t="inlineStr">
        <is>
          <t>021701</t>
        </is>
      </c>
      <c r="E187" t="inlineStr">
        <is>
          <t>—</t>
        </is>
      </c>
      <c r="F187" s="11" t="n">
        <v>14134.9734</v>
      </c>
      <c r="G187" s="6">
        <f>IF($F$217=0,0,F187/$F$217)</f>
        <v/>
      </c>
      <c r="H187" s="5" t="n">
        <v>3273.95</v>
      </c>
      <c r="I187" t="n">
        <v>4</v>
      </c>
      <c r="J187" t="n">
        <v>3</v>
      </c>
      <c r="K187" t="n">
        <v>3</v>
      </c>
      <c r="L187" s="5" t="n">
        <v>10913.17</v>
      </c>
    </row>
    <row r="188">
      <c r="A188" t="inlineStr">
        <is>
          <t>PIURA</t>
        </is>
      </c>
      <c r="B188" t="inlineStr">
        <is>
          <t>AYABACA</t>
        </is>
      </c>
      <c r="C188" t="inlineStr">
        <is>
          <t>PAIMAS</t>
        </is>
      </c>
      <c r="D188" t="inlineStr">
        <is>
          <t>200207</t>
        </is>
      </c>
      <c r="E188" t="inlineStr">
        <is>
          <t>—</t>
        </is>
      </c>
      <c r="F188" s="11" t="n">
        <v>14012.4708</v>
      </c>
      <c r="G188" s="6">
        <f>IF($F$217=0,0,F188/$F$217)</f>
        <v/>
      </c>
      <c r="H188" s="5" t="n">
        <v>3245.58</v>
      </c>
      <c r="I188" t="n">
        <v>4</v>
      </c>
      <c r="J188" t="n">
        <v>2</v>
      </c>
      <c r="K188" t="n">
        <v>4</v>
      </c>
      <c r="L188" s="5" t="n">
        <v>10818.59</v>
      </c>
    </row>
    <row r="189">
      <c r="A189" t="inlineStr">
        <is>
          <t>PIURA</t>
        </is>
      </c>
      <c r="B189" t="inlineStr">
        <is>
          <t>SULLANA</t>
        </is>
      </c>
      <c r="C189" t="inlineStr">
        <is>
          <t>IGNACIO ESCUDERO</t>
        </is>
      </c>
      <c r="D189" t="inlineStr">
        <is>
          <t>200603</t>
        </is>
      </c>
      <c r="E189" t="inlineStr">
        <is>
          <t>—</t>
        </is>
      </c>
      <c r="F189" s="11" t="n">
        <v>13548.3799</v>
      </c>
      <c r="G189" s="6">
        <f>IF($F$217=0,0,F189/$F$217)</f>
        <v/>
      </c>
      <c r="H189" s="5" t="n">
        <v>3138.08</v>
      </c>
      <c r="I189" t="n">
        <v>3</v>
      </c>
      <c r="J189" t="n">
        <v>4</v>
      </c>
      <c r="L189" s="5" t="n">
        <v>10983.29</v>
      </c>
    </row>
    <row r="190">
      <c r="A190" t="inlineStr">
        <is>
          <t>CUSCO</t>
        </is>
      </c>
      <c r="B190" t="inlineStr">
        <is>
          <t>CALCA</t>
        </is>
      </c>
      <c r="C190" t="inlineStr">
        <is>
          <t>CALCA</t>
        </is>
      </c>
      <c r="D190" t="inlineStr">
        <is>
          <t>080401</t>
        </is>
      </c>
      <c r="E190" t="inlineStr">
        <is>
          <t>—</t>
        </is>
      </c>
      <c r="F190" s="11" t="n">
        <v>13243.7636</v>
      </c>
      <c r="G190" s="6">
        <f>IF($F$217=0,0,F190/$F$217)</f>
        <v/>
      </c>
      <c r="H190" s="5" t="n">
        <v>3067.53</v>
      </c>
      <c r="I190" t="n">
        <v>4</v>
      </c>
      <c r="J190" t="n">
        <v>2</v>
      </c>
      <c r="K190" t="n">
        <v>4</v>
      </c>
      <c r="L190" s="5" t="n">
        <v>10225.09</v>
      </c>
    </row>
    <row r="191">
      <c r="A191" t="inlineStr">
        <is>
          <t>CAJAMARCA</t>
        </is>
      </c>
      <c r="B191" t="inlineStr">
        <is>
          <t>SANTA CRUZ</t>
        </is>
      </c>
      <c r="C191" t="inlineStr">
        <is>
          <t>SANTA CRUZ</t>
        </is>
      </c>
      <c r="D191" t="inlineStr">
        <is>
          <t>061301</t>
        </is>
      </c>
      <c r="E191" t="inlineStr">
        <is>
          <t>—</t>
        </is>
      </c>
      <c r="F191" s="11" t="n">
        <v>12895.5177</v>
      </c>
      <c r="G191" s="6">
        <f>IF($F$217=0,0,F191/$F$217)</f>
        <v/>
      </c>
      <c r="H191" s="5" t="n">
        <v>2986.87</v>
      </c>
      <c r="I191" t="n">
        <v>3</v>
      </c>
      <c r="J191" t="n">
        <v>2</v>
      </c>
      <c r="K191" t="n">
        <v>3</v>
      </c>
      <c r="L191" s="5" t="n">
        <v>7964.98</v>
      </c>
    </row>
    <row r="192">
      <c r="A192" t="inlineStr">
        <is>
          <t>HUANCAVELICA</t>
        </is>
      </c>
      <c r="B192" t="inlineStr">
        <is>
          <t>ACOBAMBA</t>
        </is>
      </c>
      <c r="C192" t="inlineStr">
        <is>
          <t>PAUCARA</t>
        </is>
      </c>
      <c r="D192" t="inlineStr">
        <is>
          <t>090206</t>
        </is>
      </c>
      <c r="E192" t="inlineStr">
        <is>
          <t>—</t>
        </is>
      </c>
      <c r="F192" s="11" t="n">
        <v>11702.9795</v>
      </c>
      <c r="G192" s="6">
        <f>IF($F$217=0,0,F192/$F$217)</f>
        <v/>
      </c>
      <c r="H192" s="5" t="n">
        <v>2710.65</v>
      </c>
      <c r="I192" t="n">
        <v>4</v>
      </c>
      <c r="J192" t="n">
        <v>3</v>
      </c>
      <c r="K192" t="n">
        <v>3</v>
      </c>
      <c r="L192" s="5" t="n">
        <v>9035.5</v>
      </c>
    </row>
    <row r="193">
      <c r="A193" t="inlineStr">
        <is>
          <t>LAMBAYEQUE</t>
        </is>
      </c>
      <c r="B193" t="inlineStr">
        <is>
          <t>CHICLAYO</t>
        </is>
      </c>
      <c r="C193" t="inlineStr">
        <is>
          <t>OYOTUN</t>
        </is>
      </c>
      <c r="D193" t="inlineStr">
        <is>
          <t>140110</t>
        </is>
      </c>
      <c r="E193" t="inlineStr">
        <is>
          <t>—</t>
        </is>
      </c>
      <c r="F193" s="11" t="n">
        <v>8331.190500000001</v>
      </c>
      <c r="G193" s="6">
        <f>IF($F$217=0,0,F193/$F$217)</f>
        <v/>
      </c>
      <c r="H193" s="5" t="n">
        <v>1929.67</v>
      </c>
      <c r="I193" t="n">
        <v>5</v>
      </c>
      <c r="J193" t="n">
        <v>4</v>
      </c>
      <c r="K193" t="n">
        <v>2</v>
      </c>
      <c r="L193" s="5" t="n">
        <v>7075.47</v>
      </c>
    </row>
    <row r="194">
      <c r="A194" t="inlineStr">
        <is>
          <t>TUMBES</t>
        </is>
      </c>
      <c r="B194" t="inlineStr">
        <is>
          <t>CONTRALMIRANTE VILLAR</t>
        </is>
      </c>
      <c r="C194" t="inlineStr">
        <is>
          <t>ZORRITOS</t>
        </is>
      </c>
      <c r="D194" t="inlineStr">
        <is>
          <t>240201</t>
        </is>
      </c>
      <c r="E194" t="inlineStr">
        <is>
          <t>—</t>
        </is>
      </c>
      <c r="F194" s="11" t="n">
        <v>7684.8588</v>
      </c>
      <c r="G194" s="6">
        <f>IF($F$217=0,0,F194/$F$217)</f>
        <v/>
      </c>
      <c r="H194" s="5" t="n">
        <v>1779.97</v>
      </c>
      <c r="I194" t="n">
        <v>4</v>
      </c>
      <c r="J194" t="n">
        <v>3</v>
      </c>
      <c r="K194" t="n">
        <v>4</v>
      </c>
      <c r="L194" s="5" t="n">
        <v>6526.56</v>
      </c>
    </row>
    <row r="195">
      <c r="A195" t="inlineStr">
        <is>
          <t>PIURA</t>
        </is>
      </c>
      <c r="B195" t="inlineStr">
        <is>
          <t>MORROPON</t>
        </is>
      </c>
      <c r="C195" t="inlineStr">
        <is>
          <t>LA MATANZA</t>
        </is>
      </c>
      <c r="D195" t="inlineStr">
        <is>
          <t>200404</t>
        </is>
      </c>
      <c r="E195" t="inlineStr">
        <is>
          <t>—</t>
        </is>
      </c>
      <c r="F195" s="11" t="n">
        <v>7572.2407</v>
      </c>
      <c r="G195" s="6">
        <f>IF($F$217=0,0,F195/$F$217)</f>
        <v/>
      </c>
      <c r="H195" s="5" t="n">
        <v>1753.89</v>
      </c>
      <c r="I195" t="n">
        <v>2</v>
      </c>
      <c r="J195" t="n">
        <v>5</v>
      </c>
      <c r="K195" t="n">
        <v>2</v>
      </c>
      <c r="L195" s="5" t="n">
        <v>5261.66</v>
      </c>
    </row>
    <row r="196">
      <c r="A196" t="inlineStr">
        <is>
          <t>CAJAMARCA</t>
        </is>
      </c>
      <c r="B196" t="inlineStr">
        <is>
          <t>SAN PABLO</t>
        </is>
      </c>
      <c r="C196" t="inlineStr">
        <is>
          <t>SAN PABLO</t>
        </is>
      </c>
      <c r="D196" t="inlineStr">
        <is>
          <t>061201</t>
        </is>
      </c>
      <c r="E196" t="inlineStr">
        <is>
          <t>—</t>
        </is>
      </c>
      <c r="F196" s="11" t="n">
        <v>6884.1062</v>
      </c>
      <c r="G196" s="6">
        <f>IF($F$217=0,0,F196/$F$217)</f>
        <v/>
      </c>
      <c r="H196" s="5" t="n">
        <v>1594.5</v>
      </c>
      <c r="I196" t="n">
        <v>4</v>
      </c>
      <c r="J196" t="n">
        <v>1</v>
      </c>
      <c r="K196" t="n">
        <v>4</v>
      </c>
      <c r="L196" s="5" t="n">
        <v>4783.5</v>
      </c>
    </row>
    <row r="197">
      <c r="A197" t="inlineStr">
        <is>
          <t>CUSCO</t>
        </is>
      </c>
      <c r="B197" t="inlineStr">
        <is>
          <t>LA CONVENCION</t>
        </is>
      </c>
      <c r="C197" t="inlineStr">
        <is>
          <t>ECHARATE</t>
        </is>
      </c>
      <c r="D197" t="inlineStr">
        <is>
          <t>080902</t>
        </is>
      </c>
      <c r="E197" t="inlineStr">
        <is>
          <t>—</t>
        </is>
      </c>
      <c r="F197" s="11" t="n">
        <v>6749.6646</v>
      </c>
      <c r="G197" s="6">
        <f>IF($F$217=0,0,F197/$F$217)</f>
        <v/>
      </c>
      <c r="H197" s="5" t="n">
        <v>1563.36</v>
      </c>
      <c r="I197" t="n">
        <v>4</v>
      </c>
      <c r="J197" t="n">
        <v>2</v>
      </c>
      <c r="K197" t="n">
        <v>2</v>
      </c>
      <c r="L197" s="5" t="n">
        <v>4168.96</v>
      </c>
    </row>
    <row r="198">
      <c r="A198" t="inlineStr">
        <is>
          <t>AYACUCHO</t>
        </is>
      </c>
      <c r="B198" t="inlineStr">
        <is>
          <t>LA MAR</t>
        </is>
      </c>
      <c r="C198" t="inlineStr">
        <is>
          <t>TAMBO</t>
        </is>
      </c>
      <c r="D198" t="inlineStr">
        <is>
          <t>050508</t>
        </is>
      </c>
      <c r="E198" t="inlineStr">
        <is>
          <t>—</t>
        </is>
      </c>
      <c r="F198" s="11" t="n">
        <v>6618.2703</v>
      </c>
      <c r="G198" s="6">
        <f>IF($F$217=0,0,F198/$F$217)</f>
        <v/>
      </c>
      <c r="H198" s="5" t="n">
        <v>1532.93</v>
      </c>
      <c r="I198" t="n">
        <v>4</v>
      </c>
      <c r="J198" t="n">
        <v>3</v>
      </c>
      <c r="K198" t="n">
        <v>3</v>
      </c>
      <c r="L198" s="5" t="n">
        <v>5109.76</v>
      </c>
    </row>
    <row r="199">
      <c r="A199" t="inlineStr">
        <is>
          <t>SAN MARTIN</t>
        </is>
      </c>
      <c r="B199" t="inlineStr">
        <is>
          <t>EL DORADO</t>
        </is>
      </c>
      <c r="C199" t="inlineStr">
        <is>
          <t>SAN JOSE DE SISA</t>
        </is>
      </c>
      <c r="D199" t="inlineStr">
        <is>
          <t>220301</t>
        </is>
      </c>
      <c r="E199" t="inlineStr">
        <is>
          <t>—</t>
        </is>
      </c>
      <c r="F199" s="11" t="n">
        <v>6552.0631</v>
      </c>
      <c r="G199" s="6">
        <f>IF($F$217=0,0,F199/$F$217)</f>
        <v/>
      </c>
      <c r="H199" s="5" t="n">
        <v>1517.59</v>
      </c>
      <c r="I199" t="n">
        <v>5</v>
      </c>
      <c r="J199" t="n">
        <v>3</v>
      </c>
      <c r="K199" t="n">
        <v>2</v>
      </c>
      <c r="L199" s="5" t="n">
        <v>5058.64</v>
      </c>
    </row>
    <row r="200">
      <c r="A200" t="inlineStr">
        <is>
          <t>CAJAMARCA</t>
        </is>
      </c>
      <c r="B200" t="inlineStr">
        <is>
          <t>SAN MIGUEL</t>
        </is>
      </c>
      <c r="C200" t="inlineStr">
        <is>
          <t>TONGOD</t>
        </is>
      </c>
      <c r="D200" t="inlineStr">
        <is>
          <t>061112</t>
        </is>
      </c>
      <c r="E200" t="inlineStr">
        <is>
          <t>—</t>
        </is>
      </c>
      <c r="F200" s="11" t="n">
        <v>6473.9048</v>
      </c>
      <c r="G200" s="6">
        <f>IF($F$217=0,0,F200/$F$217)</f>
        <v/>
      </c>
      <c r="H200" s="5" t="n">
        <v>1499.49</v>
      </c>
      <c r="I200" t="n">
        <v>3</v>
      </c>
      <c r="J200" t="n">
        <v>2</v>
      </c>
      <c r="K200" t="n">
        <v>2</v>
      </c>
      <c r="L200" s="5" t="n">
        <v>3498.81</v>
      </c>
    </row>
    <row r="201">
      <c r="A201" t="inlineStr">
        <is>
          <t>ANCASH</t>
        </is>
      </c>
      <c r="B201" t="inlineStr">
        <is>
          <t>HUARI</t>
        </is>
      </c>
      <c r="C201" t="inlineStr">
        <is>
          <t>SAN MARCOS</t>
        </is>
      </c>
      <c r="D201" t="inlineStr">
        <is>
          <t>021014</t>
        </is>
      </c>
      <c r="E201" t="inlineStr">
        <is>
          <t>—</t>
        </is>
      </c>
      <c r="F201" s="11" t="n">
        <v>5958.1778</v>
      </c>
      <c r="G201" s="6">
        <f>IF($F$217=0,0,F201/$F$217)</f>
        <v/>
      </c>
      <c r="H201" s="5" t="n">
        <v>1380.04</v>
      </c>
      <c r="I201" t="n">
        <v>4</v>
      </c>
      <c r="J201" t="n">
        <v>3</v>
      </c>
      <c r="K201" t="n">
        <v>3</v>
      </c>
      <c r="L201" s="5" t="n">
        <v>4600.12</v>
      </c>
    </row>
    <row r="202">
      <c r="A202" t="inlineStr">
        <is>
          <t>CAJAMARCA</t>
        </is>
      </c>
      <c r="B202" t="inlineStr">
        <is>
          <t>CHOTA</t>
        </is>
      </c>
      <c r="C202" t="inlineStr">
        <is>
          <t>TACABAMBA</t>
        </is>
      </c>
      <c r="D202" t="inlineStr">
        <is>
          <t>060417</t>
        </is>
      </c>
      <c r="E202" t="inlineStr">
        <is>
          <t>—</t>
        </is>
      </c>
      <c r="F202" s="11" t="n">
        <v>5886.918</v>
      </c>
      <c r="G202" s="6">
        <f>IF($F$217=0,0,F202/$F$217)</f>
        <v/>
      </c>
      <c r="H202" s="5" t="n">
        <v>1363.53</v>
      </c>
      <c r="I202" t="n">
        <v>4</v>
      </c>
      <c r="J202" t="n">
        <v>2</v>
      </c>
      <c r="K202" t="n">
        <v>3</v>
      </c>
      <c r="L202" s="5" t="n">
        <v>4090.59</v>
      </c>
    </row>
    <row r="203">
      <c r="A203" t="inlineStr">
        <is>
          <t>ANCASH</t>
        </is>
      </c>
      <c r="B203" t="inlineStr">
        <is>
          <t>BOLOGNESI</t>
        </is>
      </c>
      <c r="C203" t="inlineStr">
        <is>
          <t>CHIQUIAN</t>
        </is>
      </c>
      <c r="D203" t="inlineStr">
        <is>
          <t>020501</t>
        </is>
      </c>
      <c r="E203" t="inlineStr">
        <is>
          <t>—</t>
        </is>
      </c>
      <c r="F203" s="11" t="n">
        <v>5705.9061</v>
      </c>
      <c r="G203" s="6">
        <f>IF($F$217=0,0,F203/$F$217)</f>
        <v/>
      </c>
      <c r="H203" s="5" t="n">
        <v>1321.6</v>
      </c>
      <c r="I203" t="n">
        <v>5</v>
      </c>
      <c r="J203" t="n">
        <v>3</v>
      </c>
      <c r="K203" t="n">
        <v>4</v>
      </c>
      <c r="L203" s="5" t="n">
        <v>5286.42</v>
      </c>
    </row>
    <row r="204">
      <c r="A204" t="inlineStr">
        <is>
          <t>PIURA</t>
        </is>
      </c>
      <c r="B204" t="inlineStr">
        <is>
          <t>PAITA</t>
        </is>
      </c>
      <c r="C204" t="inlineStr">
        <is>
          <t>COLAN</t>
        </is>
      </c>
      <c r="D204" t="inlineStr">
        <is>
          <t>200504</t>
        </is>
      </c>
      <c r="E204" t="inlineStr">
        <is>
          <t>—</t>
        </is>
      </c>
      <c r="F204" s="11" t="n">
        <v>5440.794</v>
      </c>
      <c r="G204" s="6">
        <f>IF($F$217=0,0,F204/$F$217)</f>
        <v/>
      </c>
      <c r="H204" s="5" t="n">
        <v>1260.2</v>
      </c>
      <c r="I204" t="n">
        <v>2</v>
      </c>
      <c r="J204" t="n">
        <v>5</v>
      </c>
      <c r="L204" s="5" t="n">
        <v>4410.7</v>
      </c>
    </row>
    <row r="205">
      <c r="A205" t="inlineStr">
        <is>
          <t>SAN MARTIN</t>
        </is>
      </c>
      <c r="B205" t="inlineStr">
        <is>
          <t>HUALLAGA</t>
        </is>
      </c>
      <c r="C205" t="inlineStr">
        <is>
          <t>SAPOSOA</t>
        </is>
      </c>
      <c r="D205" t="inlineStr">
        <is>
          <t>220401</t>
        </is>
      </c>
      <c r="E205" t="inlineStr">
        <is>
          <t>—</t>
        </is>
      </c>
      <c r="F205" s="11" t="n">
        <v>5391.3974</v>
      </c>
      <c r="G205" s="6">
        <f>IF($F$217=0,0,F205/$F$217)</f>
        <v/>
      </c>
      <c r="H205" s="5" t="n">
        <v>1248.76</v>
      </c>
      <c r="I205" t="n">
        <v>4</v>
      </c>
      <c r="J205" t="n">
        <v>2</v>
      </c>
      <c r="K205" t="n">
        <v>2</v>
      </c>
      <c r="L205" s="5" t="n">
        <v>3330.02</v>
      </c>
    </row>
    <row r="206">
      <c r="A206" t="inlineStr">
        <is>
          <t>CUSCO</t>
        </is>
      </c>
      <c r="B206" t="inlineStr">
        <is>
          <t>ACOMAYO</t>
        </is>
      </c>
      <c r="C206" t="inlineStr">
        <is>
          <t>POMACANCHI</t>
        </is>
      </c>
      <c r="D206" t="inlineStr">
        <is>
          <t>080205</t>
        </is>
      </c>
      <c r="E206" t="inlineStr">
        <is>
          <t>—</t>
        </is>
      </c>
      <c r="F206" s="11" t="n">
        <v>5313.3544</v>
      </c>
      <c r="G206" s="6">
        <f>IF($F$217=0,0,F206/$F$217)</f>
        <v/>
      </c>
      <c r="H206" s="5" t="n">
        <v>1230.68</v>
      </c>
      <c r="I206" t="n">
        <v>4</v>
      </c>
      <c r="J206" t="n">
        <v>2</v>
      </c>
      <c r="K206" t="n">
        <v>3</v>
      </c>
      <c r="L206" s="5" t="n">
        <v>3692.05</v>
      </c>
    </row>
    <row r="207">
      <c r="A207" t="inlineStr">
        <is>
          <t>CAJAMARCA</t>
        </is>
      </c>
      <c r="B207" t="inlineStr">
        <is>
          <t>CHOTA</t>
        </is>
      </c>
      <c r="C207" t="inlineStr">
        <is>
          <t>PACCHA</t>
        </is>
      </c>
      <c r="D207" t="inlineStr">
        <is>
          <t>060413</t>
        </is>
      </c>
      <c r="E207" t="inlineStr">
        <is>
          <t>—</t>
        </is>
      </c>
      <c r="F207" s="11" t="n">
        <v>4940.8993</v>
      </c>
      <c r="G207" s="6">
        <f>IF($F$217=0,0,F207/$F$217)</f>
        <v/>
      </c>
      <c r="H207" s="5" t="n">
        <v>1144.41</v>
      </c>
      <c r="I207" t="n">
        <v>4</v>
      </c>
      <c r="J207" t="n">
        <v>2</v>
      </c>
      <c r="K207" t="n">
        <v>3</v>
      </c>
      <c r="L207" s="5" t="n">
        <v>3433.24</v>
      </c>
    </row>
    <row r="208">
      <c r="A208" t="inlineStr">
        <is>
          <t>CUSCO</t>
        </is>
      </c>
      <c r="B208" t="inlineStr">
        <is>
          <t>LA CONVENCION</t>
        </is>
      </c>
      <c r="C208" t="inlineStr">
        <is>
          <t>HUAYOPATA</t>
        </is>
      </c>
      <c r="D208" t="inlineStr">
        <is>
          <t>080903</t>
        </is>
      </c>
      <c r="E208" t="inlineStr">
        <is>
          <t>—</t>
        </is>
      </c>
      <c r="F208" s="11" t="n">
        <v>3800.3593</v>
      </c>
      <c r="G208" s="6">
        <f>IF($F$217=0,0,F208/$F$217)</f>
        <v/>
      </c>
      <c r="H208" s="5" t="n">
        <v>880.24</v>
      </c>
      <c r="I208" t="n">
        <v>4</v>
      </c>
      <c r="J208" t="n">
        <v>2</v>
      </c>
      <c r="K208" t="n">
        <v>3</v>
      </c>
      <c r="L208" s="5" t="n">
        <v>2640.72</v>
      </c>
    </row>
    <row r="209">
      <c r="A209" t="inlineStr">
        <is>
          <t>ANCASH</t>
        </is>
      </c>
      <c r="B209" t="inlineStr">
        <is>
          <t>POMABAMBA</t>
        </is>
      </c>
      <c r="C209" t="inlineStr">
        <is>
          <t>POMABAMBA</t>
        </is>
      </c>
      <c r="D209" t="inlineStr">
        <is>
          <t>021601</t>
        </is>
      </c>
      <c r="E209" t="inlineStr">
        <is>
          <t>—</t>
        </is>
      </c>
      <c r="F209" s="11" t="n">
        <v>3738.4109</v>
      </c>
      <c r="G209" s="6">
        <f>IF($F$217=0,0,F209/$F$217)</f>
        <v/>
      </c>
      <c r="H209" s="5" t="n">
        <v>865.89</v>
      </c>
      <c r="I209" t="n">
        <v>5</v>
      </c>
      <c r="J209" t="n">
        <v>4</v>
      </c>
      <c r="K209" t="n">
        <v>3</v>
      </c>
      <c r="L209" s="5" t="n">
        <v>3463.57</v>
      </c>
    </row>
    <row r="210">
      <c r="A210" t="inlineStr">
        <is>
          <t>CUSCO</t>
        </is>
      </c>
      <c r="B210" t="inlineStr">
        <is>
          <t>PAUCARTAMBO</t>
        </is>
      </c>
      <c r="C210" t="inlineStr">
        <is>
          <t>PAUCARTAMBO</t>
        </is>
      </c>
      <c r="D210" t="inlineStr">
        <is>
          <t>081101</t>
        </is>
      </c>
      <c r="E210" t="inlineStr">
        <is>
          <t>—</t>
        </is>
      </c>
      <c r="F210" s="11" t="n">
        <v>3523.7831</v>
      </c>
      <c r="G210" s="6">
        <f>IF($F$217=0,0,F210/$F$217)</f>
        <v/>
      </c>
      <c r="H210" s="5" t="n">
        <v>816.1799999999999</v>
      </c>
      <c r="I210" t="n">
        <v>4</v>
      </c>
      <c r="J210" t="n">
        <v>3</v>
      </c>
      <c r="K210" t="n">
        <v>3</v>
      </c>
      <c r="L210" s="5" t="n">
        <v>2720.6</v>
      </c>
    </row>
    <row r="211">
      <c r="A211" t="inlineStr">
        <is>
          <t>CAJAMARCA</t>
        </is>
      </c>
      <c r="B211" t="inlineStr">
        <is>
          <t>CELENDIN</t>
        </is>
      </c>
      <c r="C211" t="inlineStr">
        <is>
          <t>SOROCHUCO</t>
        </is>
      </c>
      <c r="D211" t="inlineStr">
        <is>
          <t>060309</t>
        </is>
      </c>
      <c r="E211" t="inlineStr">
        <is>
          <t>—</t>
        </is>
      </c>
      <c r="F211" s="11" t="n">
        <v>2930.1461</v>
      </c>
      <c r="G211" s="6">
        <f>IF($F$217=0,0,F211/$F$217)</f>
        <v/>
      </c>
      <c r="H211" s="5" t="n">
        <v>678.6799999999999</v>
      </c>
      <c r="I211" t="n">
        <v>4</v>
      </c>
      <c r="J211" t="n">
        <v>2</v>
      </c>
      <c r="K211" t="n">
        <v>3</v>
      </c>
      <c r="L211" s="5" t="n">
        <v>2036.05</v>
      </c>
    </row>
    <row r="212">
      <c r="A212" t="inlineStr">
        <is>
          <t>AYACUCHO</t>
        </is>
      </c>
      <c r="B212" t="inlineStr">
        <is>
          <t>CANGALLO</t>
        </is>
      </c>
      <c r="C212" t="inlineStr">
        <is>
          <t>CANGALLO</t>
        </is>
      </c>
      <c r="D212" t="inlineStr">
        <is>
          <t>050201</t>
        </is>
      </c>
      <c r="E212" t="inlineStr">
        <is>
          <t>—</t>
        </is>
      </c>
      <c r="F212" s="11" t="n">
        <v>2491.6728</v>
      </c>
      <c r="G212" s="6">
        <f>IF($F$217=0,0,F212/$F$217)</f>
        <v/>
      </c>
      <c r="H212" s="5" t="n">
        <v>577.12</v>
      </c>
      <c r="I212" t="n">
        <v>4</v>
      </c>
      <c r="J212" t="n">
        <v>4</v>
      </c>
      <c r="K212" t="n">
        <v>4</v>
      </c>
      <c r="L212" s="5" t="n">
        <v>2308.49</v>
      </c>
    </row>
    <row r="213">
      <c r="A213" t="inlineStr">
        <is>
          <t>AREQUIPA</t>
        </is>
      </c>
      <c r="B213" t="inlineStr">
        <is>
          <t>CASTILLA</t>
        </is>
      </c>
      <c r="C213" t="inlineStr">
        <is>
          <t>PAMPACOLCA</t>
        </is>
      </c>
      <c r="D213" t="inlineStr">
        <is>
          <t>040410</t>
        </is>
      </c>
      <c r="E213" t="inlineStr">
        <is>
          <t>—</t>
        </is>
      </c>
      <c r="F213" s="11" t="n">
        <v>2212.8083</v>
      </c>
      <c r="G213" s="6">
        <f>IF($F$217=0,0,F213/$F$217)</f>
        <v/>
      </c>
      <c r="H213" s="5" t="n">
        <v>512.53</v>
      </c>
      <c r="I213" t="n">
        <v>4</v>
      </c>
      <c r="J213" t="n">
        <v>2</v>
      </c>
      <c r="K213" t="n">
        <v>4</v>
      </c>
      <c r="L213" s="5" t="n">
        <v>1708.44</v>
      </c>
    </row>
    <row r="214">
      <c r="A214" t="inlineStr">
        <is>
          <t>APURIMAC</t>
        </is>
      </c>
      <c r="B214" t="inlineStr">
        <is>
          <t>ABANCAY</t>
        </is>
      </c>
      <c r="C214" t="inlineStr">
        <is>
          <t>CURAHUASI</t>
        </is>
      </c>
      <c r="D214" t="inlineStr">
        <is>
          <t>030104</t>
        </is>
      </c>
      <c r="E214" t="inlineStr">
        <is>
          <t>—</t>
        </is>
      </c>
      <c r="F214" s="11" t="n">
        <v>2196.0101</v>
      </c>
      <c r="G214" s="6">
        <f>IF($F$217=0,0,F214/$F$217)</f>
        <v/>
      </c>
      <c r="H214" s="5" t="n">
        <v>508.64</v>
      </c>
      <c r="I214" t="n">
        <v>3</v>
      </c>
      <c r="J214" t="n">
        <v>2</v>
      </c>
      <c r="K214" t="n">
        <v>4</v>
      </c>
      <c r="L214" s="5" t="n">
        <v>1525.92</v>
      </c>
    </row>
    <row r="215">
      <c r="A215" t="inlineStr">
        <is>
          <t>CUSCO</t>
        </is>
      </c>
      <c r="B215" t="inlineStr">
        <is>
          <t>ACOMAYO</t>
        </is>
      </c>
      <c r="C215" t="inlineStr">
        <is>
          <t>ACOMAYO</t>
        </is>
      </c>
      <c r="D215" t="inlineStr">
        <is>
          <t>080201</t>
        </is>
      </c>
      <c r="E215" t="inlineStr">
        <is>
          <t>—</t>
        </is>
      </c>
      <c r="F215" s="11" t="n">
        <v>2039.7992</v>
      </c>
      <c r="G215" s="6">
        <f>IF($F$217=0,0,F215/$F$217)</f>
        <v/>
      </c>
      <c r="H215" s="5" t="n">
        <v>472.46</v>
      </c>
      <c r="I215" t="n">
        <v>4</v>
      </c>
      <c r="J215" t="n">
        <v>2</v>
      </c>
      <c r="K215" t="n">
        <v>3</v>
      </c>
      <c r="L215" s="5" t="n">
        <v>1417.38</v>
      </c>
    </row>
    <row r="216">
      <c r="A216" t="inlineStr">
        <is>
          <t>APURIMAC</t>
        </is>
      </c>
      <c r="B216" t="inlineStr">
        <is>
          <t>ANDAHUAYLAS</t>
        </is>
      </c>
      <c r="C216" t="inlineStr">
        <is>
          <t>HUANCARAMA</t>
        </is>
      </c>
      <c r="D216" t="inlineStr">
        <is>
          <t>030204</t>
        </is>
      </c>
      <c r="E216" t="inlineStr">
        <is>
          <t>—</t>
        </is>
      </c>
      <c r="F216" s="11" t="n">
        <v>1876.8602</v>
      </c>
      <c r="G216" s="6">
        <f>IF($F$217=0,0,F216/$F$217)</f>
        <v/>
      </c>
      <c r="H216" s="5" t="n">
        <v>434.72</v>
      </c>
      <c r="I216" t="n">
        <v>4</v>
      </c>
      <c r="J216" t="n">
        <v>2</v>
      </c>
      <c r="K216" t="n">
        <v>4</v>
      </c>
      <c r="L216" s="5" t="n">
        <v>1449.06</v>
      </c>
    </row>
    <row r="217">
      <c r="A217" s="12" t="inlineStr">
        <is>
          <t>TOTAL</t>
        </is>
      </c>
      <c r="B217" t="inlineStr"/>
      <c r="C217" t="inlineStr"/>
      <c r="D217" t="inlineStr"/>
      <c r="E217" t="inlineStr"/>
      <c r="F217" s="13">
        <f>SUM(F5:F216)</f>
        <v/>
      </c>
      <c r="G217" t="inlineStr"/>
      <c r="H217" s="14">
        <f>SUM(H5:H216)</f>
        <v/>
      </c>
      <c r="I217" t="inlineStr"/>
      <c r="J217" t="inlineStr"/>
      <c r="K217" t="inlineStr"/>
      <c r="L217" s="14">
        <f>SUM(L5:L216)</f>
        <v/>
      </c>
    </row>
    <row r="220">
      <c r="A220" s="15" t="inlineStr">
        <is>
          <t>Detalle por colocaciones (Miles S/)</t>
        </is>
      </c>
    </row>
    <row r="221">
      <c r="A221" s="3" t="inlineStr">
        <is>
          <t>Distrito</t>
        </is>
      </c>
      <c r="B221" s="3" t="inlineStr">
        <is>
          <t>Ubigeo</t>
        </is>
      </c>
      <c r="C221" s="3" t="inlineStr">
        <is>
          <t>Mineral</t>
        </is>
      </c>
      <c r="D221" s="3" t="inlineStr">
        <is>
          <t>Unidad</t>
        </is>
      </c>
      <c r="E221" s="3" t="inlineStr">
        <is>
          <t>Cantidad (orig.)</t>
        </is>
      </c>
      <c r="F221" s="3" t="inlineStr">
        <is>
          <t>TMF equiv.</t>
        </is>
      </c>
    </row>
    <row r="222">
      <c r="A222" t="inlineStr">
        <is>
          <t>ATE</t>
        </is>
      </c>
      <c r="B222" t="inlineStr">
        <is>
          <t>150103</t>
        </is>
      </c>
      <c r="C222" t="inlineStr">
        <is>
          <t>Créditos</t>
        </is>
      </c>
      <c r="D222" t="inlineStr">
        <is>
          <t>Miles S/</t>
        </is>
      </c>
      <c r="E222" s="11" t="n">
        <v>461524.7507</v>
      </c>
      <c r="F222" s="16" t="n">
        <v>461524.75068</v>
      </c>
    </row>
    <row r="223">
      <c r="A223" t="inlineStr">
        <is>
          <t>JULIACA</t>
        </is>
      </c>
      <c r="B223" t="inlineStr">
        <is>
          <t>211101</t>
        </is>
      </c>
      <c r="C223" t="inlineStr">
        <is>
          <t>Créditos</t>
        </is>
      </c>
      <c r="D223" t="inlineStr">
        <is>
          <t>Miles S/</t>
        </is>
      </c>
      <c r="E223" s="11" t="n">
        <v>385475.4695</v>
      </c>
      <c r="F223" s="16" t="n">
        <v>385475.46947</v>
      </c>
    </row>
    <row r="224">
      <c r="A224" t="inlineStr">
        <is>
          <t>SAN JUAN DE LURIGANCHO</t>
        </is>
      </c>
      <c r="B224" t="inlineStr">
        <is>
          <t>150132</t>
        </is>
      </c>
      <c r="C224" t="inlineStr">
        <is>
          <t>Créditos</t>
        </is>
      </c>
      <c r="D224" t="inlineStr">
        <is>
          <t>Miles S/</t>
        </is>
      </c>
      <c r="E224" s="11" t="n">
        <v>371435.2418</v>
      </c>
      <c r="F224" s="16" t="n">
        <v>371435.24177</v>
      </c>
    </row>
    <row r="225">
      <c r="A225" t="inlineStr">
        <is>
          <t>TRUJILLO</t>
        </is>
      </c>
      <c r="B225" t="inlineStr">
        <is>
          <t>130101</t>
        </is>
      </c>
      <c r="C225" t="inlineStr">
        <is>
          <t>Créditos</t>
        </is>
      </c>
      <c r="D225" t="inlineStr">
        <is>
          <t>Miles S/</t>
        </is>
      </c>
      <c r="E225" s="11" t="n">
        <v>322927.4353</v>
      </c>
      <c r="F225" s="16" t="n">
        <v>322927.43534</v>
      </c>
    </row>
    <row r="226">
      <c r="A226" t="inlineStr">
        <is>
          <t>LOS OLIVOS</t>
        </is>
      </c>
      <c r="B226" t="inlineStr">
        <is>
          <t>150117</t>
        </is>
      </c>
      <c r="C226" t="inlineStr">
        <is>
          <t>Créditos</t>
        </is>
      </c>
      <c r="D226" t="inlineStr">
        <is>
          <t>Miles S/</t>
        </is>
      </c>
      <c r="E226" s="11" t="n">
        <v>268771.9462</v>
      </c>
      <c r="F226" s="16" t="n">
        <v>268771.94616</v>
      </c>
    </row>
    <row r="227">
      <c r="A227" t="inlineStr">
        <is>
          <t>VILLA EL SALVADOR</t>
        </is>
      </c>
      <c r="B227" t="inlineStr">
        <is>
          <t>150142</t>
        </is>
      </c>
      <c r="C227" t="inlineStr">
        <is>
          <t>Créditos</t>
        </is>
      </c>
      <c r="D227" t="inlineStr">
        <is>
          <t>Miles S/</t>
        </is>
      </c>
      <c r="E227" s="11" t="n">
        <v>241260.2405</v>
      </c>
      <c r="F227" s="16" t="n">
        <v>241260.2405</v>
      </c>
    </row>
    <row r="228">
      <c r="A228" t="inlineStr">
        <is>
          <t>VILLA MARIA DEL TRIUNFO</t>
        </is>
      </c>
      <c r="B228" t="inlineStr">
        <is>
          <t>150143</t>
        </is>
      </c>
      <c r="C228" t="inlineStr">
        <is>
          <t>Créditos</t>
        </is>
      </c>
      <c r="D228" t="inlineStr">
        <is>
          <t>Miles S/</t>
        </is>
      </c>
      <c r="E228" s="11" t="n">
        <v>237172.0419</v>
      </c>
      <c r="F228" s="16" t="n">
        <v>237172.0419</v>
      </c>
    </row>
    <row r="229">
      <c r="A229" t="inlineStr">
        <is>
          <t>CAJAMARCA</t>
        </is>
      </c>
      <c r="B229" t="inlineStr">
        <is>
          <t>060101</t>
        </is>
      </c>
      <c r="C229" t="inlineStr">
        <is>
          <t>Créditos</t>
        </is>
      </c>
      <c r="D229" t="inlineStr">
        <is>
          <t>Miles S/</t>
        </is>
      </c>
      <c r="E229" s="11" t="n">
        <v>235131.5976</v>
      </c>
      <c r="F229" s="16" t="n">
        <v>235131.59762</v>
      </c>
    </row>
    <row r="230">
      <c r="A230" t="inlineStr">
        <is>
          <t>LA VICTORIA</t>
        </is>
      </c>
      <c r="B230" t="inlineStr">
        <is>
          <t>150115</t>
        </is>
      </c>
      <c r="C230" t="inlineStr">
        <is>
          <t>Créditos</t>
        </is>
      </c>
      <c r="D230" t="inlineStr">
        <is>
          <t>Miles S/</t>
        </is>
      </c>
      <c r="E230" s="11" t="n">
        <v>229889.7921</v>
      </c>
      <c r="F230" s="16" t="n">
        <v>229889.79213</v>
      </c>
    </row>
    <row r="231">
      <c r="A231" t="inlineStr">
        <is>
          <t>HUARAZ</t>
        </is>
      </c>
      <c r="B231" t="inlineStr">
        <is>
          <t>020101</t>
        </is>
      </c>
      <c r="C231" t="inlineStr">
        <is>
          <t>Créditos</t>
        </is>
      </c>
      <c r="D231" t="inlineStr">
        <is>
          <t>Miles S/</t>
        </is>
      </c>
      <c r="E231" s="11" t="n">
        <v>205202.9718</v>
      </c>
      <c r="F231" s="16" t="n">
        <v>205202.97177</v>
      </c>
    </row>
    <row r="232">
      <c r="A232" t="inlineStr">
        <is>
          <t>TARAPOTO</t>
        </is>
      </c>
      <c r="B232" t="inlineStr">
        <is>
          <t>220901</t>
        </is>
      </c>
      <c r="C232" t="inlineStr">
        <is>
          <t>Créditos</t>
        </is>
      </c>
      <c r="D232" t="inlineStr">
        <is>
          <t>Miles S/</t>
        </is>
      </c>
      <c r="E232" s="11" t="n">
        <v>197671.8669</v>
      </c>
      <c r="F232" s="16" t="n">
        <v>197671.86691</v>
      </c>
    </row>
    <row r="233">
      <c r="A233" t="inlineStr">
        <is>
          <t>CERRO COLORADO</t>
        </is>
      </c>
      <c r="B233" t="inlineStr">
        <is>
          <t>040104</t>
        </is>
      </c>
      <c r="C233" t="inlineStr">
        <is>
          <t>Créditos</t>
        </is>
      </c>
      <c r="D233" t="inlineStr">
        <is>
          <t>Miles S/</t>
        </is>
      </c>
      <c r="E233" s="11" t="n">
        <v>190786.2752</v>
      </c>
      <c r="F233" s="16" t="n">
        <v>190786.27518</v>
      </c>
    </row>
    <row r="234">
      <c r="A234" t="inlineStr">
        <is>
          <t>PUNO</t>
        </is>
      </c>
      <c r="B234" t="inlineStr">
        <is>
          <t>210101</t>
        </is>
      </c>
      <c r="C234" t="inlineStr">
        <is>
          <t>Créditos</t>
        </is>
      </c>
      <c r="D234" t="inlineStr">
        <is>
          <t>Miles S/</t>
        </is>
      </c>
      <c r="E234" s="11" t="n">
        <v>182033.1692</v>
      </c>
      <c r="F234" s="16" t="n">
        <v>182033.16921</v>
      </c>
    </row>
    <row r="235">
      <c r="A235" t="inlineStr">
        <is>
          <t>SAN JUAN DE MIRAFLORES</t>
        </is>
      </c>
      <c r="B235" t="inlineStr">
        <is>
          <t>150133</t>
        </is>
      </c>
      <c r="C235" t="inlineStr">
        <is>
          <t>Créditos</t>
        </is>
      </c>
      <c r="D235" t="inlineStr">
        <is>
          <t>Miles S/</t>
        </is>
      </c>
      <c r="E235" s="11" t="n">
        <v>178194.9099</v>
      </c>
      <c r="F235" s="16" t="n">
        <v>178194.90991</v>
      </c>
    </row>
    <row r="236">
      <c r="A236" t="inlineStr">
        <is>
          <t>CHICLAYO</t>
        </is>
      </c>
      <c r="B236" t="inlineStr">
        <is>
          <t>140101</t>
        </is>
      </c>
      <c r="C236" t="inlineStr">
        <is>
          <t>Créditos</t>
        </is>
      </c>
      <c r="D236" t="inlineStr">
        <is>
          <t>Miles S/</t>
        </is>
      </c>
      <c r="E236" s="11" t="n">
        <v>168557.765</v>
      </c>
      <c r="F236" s="16" t="n">
        <v>168557.76504</v>
      </c>
    </row>
    <row r="237">
      <c r="A237" t="inlineStr">
        <is>
          <t>LIMA</t>
        </is>
      </c>
      <c r="B237" t="inlineStr">
        <is>
          <t>150101</t>
        </is>
      </c>
      <c r="C237" t="inlineStr">
        <is>
          <t>Créditos</t>
        </is>
      </c>
      <c r="D237" t="inlineStr">
        <is>
          <t>Miles S/</t>
        </is>
      </c>
      <c r="E237" s="11" t="n">
        <v>165965.8104</v>
      </c>
      <c r="F237" s="16" t="n">
        <v>165965.8104</v>
      </c>
    </row>
    <row r="238">
      <c r="A238" t="inlineStr">
        <is>
          <t>VENTANILLA</t>
        </is>
      </c>
      <c r="B238" t="inlineStr">
        <is>
          <t>070106</t>
        </is>
      </c>
      <c r="C238" t="inlineStr">
        <is>
          <t>Créditos</t>
        </is>
      </c>
      <c r="D238" t="inlineStr">
        <is>
          <t>Miles S/</t>
        </is>
      </c>
      <c r="E238" s="11" t="n">
        <v>165824.9995</v>
      </c>
      <c r="F238" s="16" t="n">
        <v>165824.99949</v>
      </c>
    </row>
    <row r="239">
      <c r="A239" t="inlineStr">
        <is>
          <t>PUENTE PIEDRA</t>
        </is>
      </c>
      <c r="B239" t="inlineStr">
        <is>
          <t>150125</t>
        </is>
      </c>
      <c r="C239" t="inlineStr">
        <is>
          <t>Créditos</t>
        </is>
      </c>
      <c r="D239" t="inlineStr">
        <is>
          <t>Miles S/</t>
        </is>
      </c>
      <c r="E239" s="11" t="n">
        <v>165637.5729</v>
      </c>
      <c r="F239" s="16" t="n">
        <v>165637.57291</v>
      </c>
    </row>
    <row r="240">
      <c r="A240" t="inlineStr">
        <is>
          <t>CHORRILLOS</t>
        </is>
      </c>
      <c r="B240" t="inlineStr">
        <is>
          <t>150108</t>
        </is>
      </c>
      <c r="C240" t="inlineStr">
        <is>
          <t>Créditos</t>
        </is>
      </c>
      <c r="D240" t="inlineStr">
        <is>
          <t>Miles S/</t>
        </is>
      </c>
      <c r="E240" s="11" t="n">
        <v>163324.072</v>
      </c>
      <c r="F240" s="16" t="n">
        <v>163324.07203</v>
      </c>
    </row>
    <row r="241">
      <c r="A241" t="inlineStr">
        <is>
          <t>PIURA</t>
        </is>
      </c>
      <c r="B241" t="inlineStr">
        <is>
          <t>200101</t>
        </is>
      </c>
      <c r="C241" t="inlineStr">
        <is>
          <t>Créditos</t>
        </is>
      </c>
      <c r="D241" t="inlineStr">
        <is>
          <t>Miles S/</t>
        </is>
      </c>
      <c r="E241" s="11" t="n">
        <v>157888.1017</v>
      </c>
      <c r="F241" s="16" t="n">
        <v>157888.1017</v>
      </c>
    </row>
    <row r="242">
      <c r="A242" t="inlineStr">
        <is>
          <t>TACNA</t>
        </is>
      </c>
      <c r="B242" t="inlineStr">
        <is>
          <t>230101</t>
        </is>
      </c>
      <c r="C242" t="inlineStr">
        <is>
          <t>Créditos</t>
        </is>
      </c>
      <c r="D242" t="inlineStr">
        <is>
          <t>Miles S/</t>
        </is>
      </c>
      <c r="E242" s="11" t="n">
        <v>147708.9708</v>
      </c>
      <c r="F242" s="16" t="n">
        <v>147708.97077</v>
      </c>
    </row>
    <row r="243">
      <c r="A243" t="inlineStr">
        <is>
          <t>AYACUCHO</t>
        </is>
      </c>
      <c r="B243" t="inlineStr">
        <is>
          <t>050101</t>
        </is>
      </c>
      <c r="C243" t="inlineStr">
        <is>
          <t>Créditos</t>
        </is>
      </c>
      <c r="D243" t="inlineStr">
        <is>
          <t>Miles S/</t>
        </is>
      </c>
      <c r="E243" s="11" t="n">
        <v>146186.96</v>
      </c>
      <c r="F243" s="16" t="n">
        <v>146186.95999</v>
      </c>
    </row>
    <row r="244">
      <c r="A244" t="inlineStr">
        <is>
          <t>EL PORVENIR</t>
        </is>
      </c>
      <c r="B244" t="inlineStr">
        <is>
          <t>130102</t>
        </is>
      </c>
      <c r="C244" t="inlineStr">
        <is>
          <t>Créditos</t>
        </is>
      </c>
      <c r="D244" t="inlineStr">
        <is>
          <t>Miles S/</t>
        </is>
      </c>
      <c r="E244" s="11" t="n">
        <v>143670.1333</v>
      </c>
      <c r="F244" s="16" t="n">
        <v>143670.13326</v>
      </c>
    </row>
    <row r="245">
      <c r="A245" t="inlineStr">
        <is>
          <t>JAEN</t>
        </is>
      </c>
      <c r="B245" t="inlineStr">
        <is>
          <t>060801</t>
        </is>
      </c>
      <c r="C245" t="inlineStr">
        <is>
          <t>Créditos</t>
        </is>
      </c>
      <c r="D245" t="inlineStr">
        <is>
          <t>Miles S/</t>
        </is>
      </c>
      <c r="E245" s="11" t="n">
        <v>138172.2033</v>
      </c>
      <c r="F245" s="16" t="n">
        <v>138172.20331</v>
      </c>
    </row>
    <row r="246">
      <c r="A246" t="inlineStr">
        <is>
          <t>CALLERIA</t>
        </is>
      </c>
      <c r="B246" t="inlineStr">
        <is>
          <t>250101</t>
        </is>
      </c>
      <c r="C246" t="inlineStr">
        <is>
          <t>Créditos</t>
        </is>
      </c>
      <c r="D246" t="inlineStr">
        <is>
          <t>Miles S/</t>
        </is>
      </c>
      <c r="E246" s="11" t="n">
        <v>121430.9289</v>
      </c>
      <c r="F246" s="16" t="n">
        <v>121430.92892</v>
      </c>
    </row>
    <row r="247">
      <c r="A247" t="inlineStr">
        <is>
          <t>JOSE LEONARDO ORTIZ</t>
        </is>
      </c>
      <c r="B247" t="inlineStr">
        <is>
          <t>140105</t>
        </is>
      </c>
      <c r="C247" t="inlineStr">
        <is>
          <t>Créditos</t>
        </is>
      </c>
      <c r="D247" t="inlineStr">
        <is>
          <t>Miles S/</t>
        </is>
      </c>
      <c r="E247" s="11" t="n">
        <v>119088.7013</v>
      </c>
      <c r="F247" s="16" t="n">
        <v>119088.70131</v>
      </c>
    </row>
    <row r="248">
      <c r="A248" t="inlineStr">
        <is>
          <t>PACHACAMAC</t>
        </is>
      </c>
      <c r="B248" t="inlineStr">
        <is>
          <t>150123</t>
        </is>
      </c>
      <c r="C248" t="inlineStr">
        <is>
          <t>Créditos</t>
        </is>
      </c>
      <c r="D248" t="inlineStr">
        <is>
          <t>Miles S/</t>
        </is>
      </c>
      <c r="E248" s="11" t="n">
        <v>119076.8314</v>
      </c>
      <c r="F248" s="16" t="n">
        <v>119076.83141</v>
      </c>
    </row>
    <row r="249">
      <c r="A249" t="inlineStr">
        <is>
          <t>SAN MARTIN DE PORRES</t>
        </is>
      </c>
      <c r="B249" t="inlineStr">
        <is>
          <t>150135</t>
        </is>
      </c>
      <c r="C249" t="inlineStr">
        <is>
          <t>Créditos</t>
        </is>
      </c>
      <c r="D249" t="inlineStr">
        <is>
          <t>Miles S/</t>
        </is>
      </c>
      <c r="E249" s="11" t="n">
        <v>116449.2153</v>
      </c>
      <c r="F249" s="16" t="n">
        <v>116449.21532</v>
      </c>
    </row>
    <row r="250">
      <c r="A250" t="inlineStr">
        <is>
          <t>CALLAO</t>
        </is>
      </c>
      <c r="B250" t="inlineStr">
        <is>
          <t>070101</t>
        </is>
      </c>
      <c r="C250" t="inlineStr">
        <is>
          <t>Créditos</t>
        </is>
      </c>
      <c r="D250" t="inlineStr">
        <is>
          <t>Miles S/</t>
        </is>
      </c>
      <c r="E250" s="11" t="n">
        <v>115799.1127</v>
      </c>
      <c r="F250" s="16" t="n">
        <v>115799.1127</v>
      </c>
    </row>
    <row r="251">
      <c r="A251" t="inlineStr">
        <is>
          <t>COMAS</t>
        </is>
      </c>
      <c r="B251" t="inlineStr">
        <is>
          <t>150110</t>
        </is>
      </c>
      <c r="C251" t="inlineStr">
        <is>
          <t>Créditos</t>
        </is>
      </c>
      <c r="D251" t="inlineStr">
        <is>
          <t>Miles S/</t>
        </is>
      </c>
      <c r="E251" s="11" t="n">
        <v>115129.2707</v>
      </c>
      <c r="F251" s="16" t="n">
        <v>115129.27074</v>
      </c>
    </row>
    <row r="252">
      <c r="A252" t="inlineStr">
        <is>
          <t>HUAMACHUCO</t>
        </is>
      </c>
      <c r="B252" t="inlineStr">
        <is>
          <t>130901</t>
        </is>
      </c>
      <c r="C252" t="inlineStr">
        <is>
          <t>Créditos</t>
        </is>
      </c>
      <c r="D252" t="inlineStr">
        <is>
          <t>Miles S/</t>
        </is>
      </c>
      <c r="E252" s="11" t="n">
        <v>114401.1879</v>
      </c>
      <c r="F252" s="16" t="n">
        <v>114401.18787</v>
      </c>
    </row>
    <row r="253">
      <c r="A253" t="inlineStr">
        <is>
          <t>HUANUCO</t>
        </is>
      </c>
      <c r="B253" t="inlineStr">
        <is>
          <t>100101</t>
        </is>
      </c>
      <c r="C253" t="inlineStr">
        <is>
          <t>Créditos</t>
        </is>
      </c>
      <c r="D253" t="inlineStr">
        <is>
          <t>Miles S/</t>
        </is>
      </c>
      <c r="E253" s="11" t="n">
        <v>106593.315</v>
      </c>
      <c r="F253" s="16" t="n">
        <v>106593.31497</v>
      </c>
    </row>
    <row r="254">
      <c r="A254" t="inlineStr">
        <is>
          <t>SULLANA</t>
        </is>
      </c>
      <c r="B254" t="inlineStr">
        <is>
          <t>200601</t>
        </is>
      </c>
      <c r="C254" t="inlineStr">
        <is>
          <t>Créditos</t>
        </is>
      </c>
      <c r="D254" t="inlineStr">
        <is>
          <t>Miles S/</t>
        </is>
      </c>
      <c r="E254" s="11" t="n">
        <v>104458.1318</v>
      </c>
      <c r="F254" s="16" t="n">
        <v>104458.13182</v>
      </c>
    </row>
    <row r="255">
      <c r="A255" t="inlineStr">
        <is>
          <t>OLMOS</t>
        </is>
      </c>
      <c r="B255" t="inlineStr">
        <is>
          <t>140308</t>
        </is>
      </c>
      <c r="C255" t="inlineStr">
        <is>
          <t>Créditos</t>
        </is>
      </c>
      <c r="D255" t="inlineStr">
        <is>
          <t>Miles S/</t>
        </is>
      </c>
      <c r="E255" s="11" t="n">
        <v>101592.3445</v>
      </c>
      <c r="F255" s="16" t="n">
        <v>101592.34446</v>
      </c>
    </row>
    <row r="256">
      <c r="A256" t="inlineStr">
        <is>
          <t>LA ESPERANZA</t>
        </is>
      </c>
      <c r="B256" t="inlineStr">
        <is>
          <t>130105</t>
        </is>
      </c>
      <c r="C256" t="inlineStr">
        <is>
          <t>Créditos</t>
        </is>
      </c>
      <c r="D256" t="inlineStr">
        <is>
          <t>Miles S/</t>
        </is>
      </c>
      <c r="E256" s="11" t="n">
        <v>98164.77069999999</v>
      </c>
      <c r="F256" s="16" t="n">
        <v>98164.77065000001</v>
      </c>
    </row>
    <row r="257">
      <c r="A257" t="inlineStr">
        <is>
          <t>CHIMBOTE</t>
        </is>
      </c>
      <c r="B257" t="inlineStr">
        <is>
          <t>021801</t>
        </is>
      </c>
      <c r="C257" t="inlineStr">
        <is>
          <t>Créditos</t>
        </is>
      </c>
      <c r="D257" t="inlineStr">
        <is>
          <t>Miles S/</t>
        </is>
      </c>
      <c r="E257" s="11" t="n">
        <v>98051.66650000001</v>
      </c>
      <c r="F257" s="16" t="n">
        <v>98051.66647</v>
      </c>
    </row>
    <row r="258">
      <c r="A258" t="inlineStr">
        <is>
          <t>PAUCARPATA</t>
        </is>
      </c>
      <c r="B258" t="inlineStr">
        <is>
          <t>040112</t>
        </is>
      </c>
      <c r="C258" t="inlineStr">
        <is>
          <t>Créditos</t>
        </is>
      </c>
      <c r="D258" t="inlineStr">
        <is>
          <t>Miles S/</t>
        </is>
      </c>
      <c r="E258" s="11" t="n">
        <v>97378.1464</v>
      </c>
      <c r="F258" s="16" t="n">
        <v>97378.14637</v>
      </c>
    </row>
    <row r="259">
      <c r="A259" t="inlineStr">
        <is>
          <t>CHEPEN</t>
        </is>
      </c>
      <c r="B259" t="inlineStr">
        <is>
          <t>130401</t>
        </is>
      </c>
      <c r="C259" t="inlineStr">
        <is>
          <t>Créditos</t>
        </is>
      </c>
      <c r="D259" t="inlineStr">
        <is>
          <t>Miles S/</t>
        </is>
      </c>
      <c r="E259" s="11" t="n">
        <v>96052.1694</v>
      </c>
      <c r="F259" s="16" t="n">
        <v>96052.16942000001</v>
      </c>
    </row>
    <row r="260">
      <c r="A260" t="inlineStr">
        <is>
          <t>RIMAC</t>
        </is>
      </c>
      <c r="B260" t="inlineStr">
        <is>
          <t>150128</t>
        </is>
      </c>
      <c r="C260" t="inlineStr">
        <is>
          <t>Créditos</t>
        </is>
      </c>
      <c r="D260" t="inlineStr">
        <is>
          <t>Miles S/</t>
        </is>
      </c>
      <c r="E260" s="11" t="n">
        <v>94677.43339999999</v>
      </c>
      <c r="F260" s="16" t="n">
        <v>94677.43343</v>
      </c>
    </row>
    <row r="261">
      <c r="A261" t="inlineStr">
        <is>
          <t>EL TAMBO</t>
        </is>
      </c>
      <c r="B261" t="inlineStr">
        <is>
          <t>120114</t>
        </is>
      </c>
      <c r="C261" t="inlineStr">
        <is>
          <t>Créditos</t>
        </is>
      </c>
      <c r="D261" t="inlineStr">
        <is>
          <t>Miles S/</t>
        </is>
      </c>
      <c r="E261" s="11" t="n">
        <v>94638.1501</v>
      </c>
      <c r="F261" s="16" t="n">
        <v>94638.15008000001</v>
      </c>
    </row>
    <row r="262">
      <c r="A262" t="inlineStr">
        <is>
          <t>ILO</t>
        </is>
      </c>
      <c r="B262" t="inlineStr">
        <is>
          <t>180301</t>
        </is>
      </c>
      <c r="C262" t="inlineStr">
        <is>
          <t>Créditos</t>
        </is>
      </c>
      <c r="D262" t="inlineStr">
        <is>
          <t>Miles S/</t>
        </is>
      </c>
      <c r="E262" s="11" t="n">
        <v>93735.32180000001</v>
      </c>
      <c r="F262" s="16" t="n">
        <v>93735.32184</v>
      </c>
    </row>
    <row r="263">
      <c r="A263" t="inlineStr">
        <is>
          <t>CASTILLA</t>
        </is>
      </c>
      <c r="B263" t="inlineStr">
        <is>
          <t>200104</t>
        </is>
      </c>
      <c r="C263" t="inlineStr">
        <is>
          <t>Créditos</t>
        </is>
      </c>
      <c r="D263" t="inlineStr">
        <is>
          <t>Miles S/</t>
        </is>
      </c>
      <c r="E263" s="11" t="n">
        <v>92918.5353</v>
      </c>
      <c r="F263" s="16" t="n">
        <v>92918.5353</v>
      </c>
    </row>
    <row r="264">
      <c r="A264" t="inlineStr">
        <is>
          <t>CHOTA</t>
        </is>
      </c>
      <c r="B264" t="inlineStr">
        <is>
          <t>060401</t>
        </is>
      </c>
      <c r="C264" t="inlineStr">
        <is>
          <t>Créditos</t>
        </is>
      </c>
      <c r="D264" t="inlineStr">
        <is>
          <t>Miles S/</t>
        </is>
      </c>
      <c r="E264" s="11" t="n">
        <v>92800.6302</v>
      </c>
      <c r="F264" s="16" t="n">
        <v>92800.63015</v>
      </c>
    </row>
    <row r="265">
      <c r="A265" t="inlineStr">
        <is>
          <t>JOSE LUIS BUSTAMANTE Y RIVERO</t>
        </is>
      </c>
      <c r="B265" t="inlineStr">
        <is>
          <t>040129</t>
        </is>
      </c>
      <c r="C265" t="inlineStr">
        <is>
          <t>Créditos</t>
        </is>
      </c>
      <c r="D265" t="inlineStr">
        <is>
          <t>Miles S/</t>
        </is>
      </c>
      <c r="E265" s="11" t="n">
        <v>91389.2237</v>
      </c>
      <c r="F265" s="16" t="n">
        <v>91389.22369</v>
      </c>
    </row>
    <row r="266">
      <c r="A266" t="inlineStr">
        <is>
          <t>HUANCAYO</t>
        </is>
      </c>
      <c r="B266" t="inlineStr">
        <is>
          <t>120101</t>
        </is>
      </c>
      <c r="C266" t="inlineStr">
        <is>
          <t>Créditos</t>
        </is>
      </c>
      <c r="D266" t="inlineStr">
        <is>
          <t>Miles S/</t>
        </is>
      </c>
      <c r="E266" s="11" t="n">
        <v>90188.8181</v>
      </c>
      <c r="F266" s="16" t="n">
        <v>90188.81809</v>
      </c>
    </row>
    <row r="267">
      <c r="A267" t="inlineStr">
        <is>
          <t>AREQUIPA</t>
        </is>
      </c>
      <c r="B267" t="inlineStr">
        <is>
          <t>040101</t>
        </is>
      </c>
      <c r="C267" t="inlineStr">
        <is>
          <t>Créditos</t>
        </is>
      </c>
      <c r="D267" t="inlineStr">
        <is>
          <t>Miles S/</t>
        </is>
      </c>
      <c r="E267" s="11" t="n">
        <v>85866.16959999999</v>
      </c>
      <c r="F267" s="16" t="n">
        <v>85866.16963999999</v>
      </c>
    </row>
    <row r="268">
      <c r="A268" t="inlineStr">
        <is>
          <t>LA JOYA</t>
        </is>
      </c>
      <c r="B268" t="inlineStr">
        <is>
          <t>040108</t>
        </is>
      </c>
      <c r="C268" t="inlineStr">
        <is>
          <t>Créditos</t>
        </is>
      </c>
      <c r="D268" t="inlineStr">
        <is>
          <t>Miles S/</t>
        </is>
      </c>
      <c r="E268" s="11" t="n">
        <v>85244.3904</v>
      </c>
      <c r="F268" s="16" t="n">
        <v>85244.39038</v>
      </c>
    </row>
    <row r="269">
      <c r="A269" t="inlineStr">
        <is>
          <t>WANCHAQ</t>
        </is>
      </c>
      <c r="B269" t="inlineStr">
        <is>
          <t>080108</t>
        </is>
      </c>
      <c r="C269" t="inlineStr">
        <is>
          <t>Créditos</t>
        </is>
      </c>
      <c r="D269" t="inlineStr">
        <is>
          <t>Miles S/</t>
        </is>
      </c>
      <c r="E269" s="11" t="n">
        <v>84801.6964</v>
      </c>
      <c r="F269" s="16" t="n">
        <v>84801.69637000001</v>
      </c>
    </row>
    <row r="270">
      <c r="A270" t="inlineStr">
        <is>
          <t>MOCHUMI</t>
        </is>
      </c>
      <c r="B270" t="inlineStr">
        <is>
          <t>140305</t>
        </is>
      </c>
      <c r="C270" t="inlineStr">
        <is>
          <t>Créditos</t>
        </is>
      </c>
      <c r="D270" t="inlineStr">
        <is>
          <t>Miles S/</t>
        </is>
      </c>
      <c r="E270" s="11" t="n">
        <v>84782.27340000001</v>
      </c>
      <c r="F270" s="16" t="n">
        <v>84782.27339</v>
      </c>
    </row>
    <row r="271">
      <c r="A271" t="inlineStr">
        <is>
          <t>TUMBES</t>
        </is>
      </c>
      <c r="B271" t="inlineStr">
        <is>
          <t>240101</t>
        </is>
      </c>
      <c r="C271" t="inlineStr">
        <is>
          <t>Créditos</t>
        </is>
      </c>
      <c r="D271" t="inlineStr">
        <is>
          <t>Miles S/</t>
        </is>
      </c>
      <c r="E271" s="11" t="n">
        <v>83545.93180000001</v>
      </c>
      <c r="F271" s="16" t="n">
        <v>83545.93180999999</v>
      </c>
    </row>
    <row r="272">
      <c r="A272" t="inlineStr">
        <is>
          <t>PISCO</t>
        </is>
      </c>
      <c r="B272" t="inlineStr">
        <is>
          <t>110501</t>
        </is>
      </c>
      <c r="C272" t="inlineStr">
        <is>
          <t>Créditos</t>
        </is>
      </c>
      <c r="D272" t="inlineStr">
        <is>
          <t>Miles S/</t>
        </is>
      </c>
      <c r="E272" s="11" t="n">
        <v>83275.6205</v>
      </c>
      <c r="F272" s="16" t="n">
        <v>83275.62052</v>
      </c>
    </row>
    <row r="273">
      <c r="A273" t="inlineStr">
        <is>
          <t>INDEPENDENCIA</t>
        </is>
      </c>
      <c r="B273" t="inlineStr">
        <is>
          <t>150112</t>
        </is>
      </c>
      <c r="C273" t="inlineStr">
        <is>
          <t>Créditos</t>
        </is>
      </c>
      <c r="D273" t="inlineStr">
        <is>
          <t>Miles S/</t>
        </is>
      </c>
      <c r="E273" s="11" t="n">
        <v>81576.9529</v>
      </c>
      <c r="F273" s="16" t="n">
        <v>81576.9529</v>
      </c>
    </row>
    <row r="274">
      <c r="A274" t="inlineStr">
        <is>
          <t>LURIGANCHO</t>
        </is>
      </c>
      <c r="B274" t="inlineStr">
        <is>
          <t>150118</t>
        </is>
      </c>
      <c r="C274" t="inlineStr">
        <is>
          <t>Créditos</t>
        </is>
      </c>
      <c r="D274" t="inlineStr">
        <is>
          <t>Miles S/</t>
        </is>
      </c>
      <c r="E274" s="11" t="n">
        <v>81415.799</v>
      </c>
      <c r="F274" s="16" t="n">
        <v>81415.79901</v>
      </c>
    </row>
    <row r="275">
      <c r="A275" t="inlineStr">
        <is>
          <t>MIRAFLORES</t>
        </is>
      </c>
      <c r="B275" t="inlineStr">
        <is>
          <t>040110</t>
        </is>
      </c>
      <c r="C275" t="inlineStr">
        <is>
          <t>Créditos</t>
        </is>
      </c>
      <c r="D275" t="inlineStr">
        <is>
          <t>Miles S/</t>
        </is>
      </c>
      <c r="E275" s="11" t="n">
        <v>80173.4466</v>
      </c>
      <c r="F275" s="16" t="n">
        <v>80173.44658</v>
      </c>
    </row>
    <row r="276">
      <c r="A276" t="inlineStr">
        <is>
          <t>LURIN</t>
        </is>
      </c>
      <c r="B276" t="inlineStr">
        <is>
          <t>150119</t>
        </is>
      </c>
      <c r="C276" t="inlineStr">
        <is>
          <t>Créditos</t>
        </is>
      </c>
      <c r="D276" t="inlineStr">
        <is>
          <t>Miles S/</t>
        </is>
      </c>
      <c r="E276" s="11" t="n">
        <v>79785.9725</v>
      </c>
      <c r="F276" s="16" t="n">
        <v>79785.97249</v>
      </c>
    </row>
    <row r="277">
      <c r="A277" t="inlineStr">
        <is>
          <t>MAJES</t>
        </is>
      </c>
      <c r="B277" t="inlineStr">
        <is>
          <t>040520</t>
        </is>
      </c>
      <c r="C277" t="inlineStr">
        <is>
          <t>Créditos</t>
        </is>
      </c>
      <c r="D277" t="inlineStr">
        <is>
          <t>Miles S/</t>
        </is>
      </c>
      <c r="E277" s="11" t="n">
        <v>79638.71950000001</v>
      </c>
      <c r="F277" s="16" t="n">
        <v>79638.71950000001</v>
      </c>
    </row>
    <row r="278">
      <c r="A278" t="inlineStr">
        <is>
          <t>CHUPACA</t>
        </is>
      </c>
      <c r="B278" t="inlineStr">
        <is>
          <t>120901</t>
        </is>
      </c>
      <c r="C278" t="inlineStr">
        <is>
          <t>Créditos</t>
        </is>
      </c>
      <c r="D278" t="inlineStr">
        <is>
          <t>Miles S/</t>
        </is>
      </c>
      <c r="E278" s="11" t="n">
        <v>78161.5102</v>
      </c>
      <c r="F278" s="16" t="n">
        <v>78161.51019</v>
      </c>
    </row>
    <row r="279">
      <c r="A279" t="inlineStr">
        <is>
          <t>ICA</t>
        </is>
      </c>
      <c r="B279" t="inlineStr">
        <is>
          <t>110101</t>
        </is>
      </c>
      <c r="C279" t="inlineStr">
        <is>
          <t>Créditos</t>
        </is>
      </c>
      <c r="D279" t="inlineStr">
        <is>
          <t>Miles S/</t>
        </is>
      </c>
      <c r="E279" s="11" t="n">
        <v>76633.2432</v>
      </c>
      <c r="F279" s="16" t="n">
        <v>76633.24314999999</v>
      </c>
    </row>
    <row r="280">
      <c r="A280" t="inlineStr">
        <is>
          <t>MORROPE</t>
        </is>
      </c>
      <c r="B280" t="inlineStr">
        <is>
          <t>140306</t>
        </is>
      </c>
      <c r="C280" t="inlineStr">
        <is>
          <t>Créditos</t>
        </is>
      </c>
      <c r="D280" t="inlineStr">
        <is>
          <t>Miles S/</t>
        </is>
      </c>
      <c r="E280" s="11" t="n">
        <v>76081.9578</v>
      </c>
      <c r="F280" s="16" t="n">
        <v>76081.95785000001</v>
      </c>
    </row>
    <row r="281">
      <c r="A281" t="inlineStr">
        <is>
          <t>MOQUEGUA</t>
        </is>
      </c>
      <c r="B281" t="inlineStr">
        <is>
          <t>180101</t>
        </is>
      </c>
      <c r="C281" t="inlineStr">
        <is>
          <t>Créditos</t>
        </is>
      </c>
      <c r="D281" t="inlineStr">
        <is>
          <t>Miles S/</t>
        </is>
      </c>
      <c r="E281" s="11" t="n">
        <v>76021.2548</v>
      </c>
      <c r="F281" s="16" t="n">
        <v>76021.25483999999</v>
      </c>
    </row>
    <row r="282">
      <c r="A282" t="inlineStr">
        <is>
          <t>OTUZCO</t>
        </is>
      </c>
      <c r="B282" t="inlineStr">
        <is>
          <t>130601</t>
        </is>
      </c>
      <c r="C282" t="inlineStr">
        <is>
          <t>Créditos</t>
        </is>
      </c>
      <c r="D282" t="inlineStr">
        <is>
          <t>Miles S/</t>
        </is>
      </c>
      <c r="E282" s="11" t="n">
        <v>75366.3823</v>
      </c>
      <c r="F282" s="16" t="n">
        <v>75366.3823</v>
      </c>
    </row>
    <row r="283">
      <c r="A283" t="inlineStr">
        <is>
          <t>BAMBAMARCA</t>
        </is>
      </c>
      <c r="B283" t="inlineStr">
        <is>
          <t>060701</t>
        </is>
      </c>
      <c r="C283" t="inlineStr">
        <is>
          <t>Créditos</t>
        </is>
      </c>
      <c r="D283" t="inlineStr">
        <is>
          <t>Miles S/</t>
        </is>
      </c>
      <c r="E283" s="11" t="n">
        <v>74684.4327</v>
      </c>
      <c r="F283" s="16" t="n">
        <v>74684.43274</v>
      </c>
    </row>
    <row r="284">
      <c r="A284" t="inlineStr">
        <is>
          <t>CHULUCANAS</t>
        </is>
      </c>
      <c r="B284" t="inlineStr">
        <is>
          <t>200401</t>
        </is>
      </c>
      <c r="C284" t="inlineStr">
        <is>
          <t>Créditos</t>
        </is>
      </c>
      <c r="D284" t="inlineStr">
        <is>
          <t>Miles S/</t>
        </is>
      </c>
      <c r="E284" s="11" t="n">
        <v>72132.0098</v>
      </c>
      <c r="F284" s="16" t="n">
        <v>72132.00981</v>
      </c>
    </row>
    <row r="285">
      <c r="A285" t="inlineStr">
        <is>
          <t>JACOBO HUNTER</t>
        </is>
      </c>
      <c r="B285" t="inlineStr">
        <is>
          <t>040107</t>
        </is>
      </c>
      <c r="C285" t="inlineStr">
        <is>
          <t>Créditos</t>
        </is>
      </c>
      <c r="D285" t="inlineStr">
        <is>
          <t>Miles S/</t>
        </is>
      </c>
      <c r="E285" s="11" t="n">
        <v>71845.04519999999</v>
      </c>
      <c r="F285" s="16" t="n">
        <v>71845.04515000001</v>
      </c>
    </row>
    <row r="286">
      <c r="A286" t="inlineStr">
        <is>
          <t>SAN ANTONIO</t>
        </is>
      </c>
      <c r="B286" t="inlineStr">
        <is>
          <t>150716</t>
        </is>
      </c>
      <c r="C286" t="inlineStr">
        <is>
          <t>Créditos</t>
        </is>
      </c>
      <c r="D286" t="inlineStr">
        <is>
          <t>Miles S/</t>
        </is>
      </c>
      <c r="E286" s="11" t="n">
        <v>71702.1591</v>
      </c>
      <c r="F286" s="16" t="n">
        <v>71702.1591</v>
      </c>
    </row>
    <row r="287">
      <c r="A287" t="inlineStr">
        <is>
          <t>CHILCA</t>
        </is>
      </c>
      <c r="B287" t="inlineStr">
        <is>
          <t>120107</t>
        </is>
      </c>
      <c r="C287" t="inlineStr">
        <is>
          <t>Créditos</t>
        </is>
      </c>
      <c r="D287" t="inlineStr">
        <is>
          <t>Miles S/</t>
        </is>
      </c>
      <c r="E287" s="11" t="n">
        <v>70918.63770000001</v>
      </c>
      <c r="F287" s="16" t="n">
        <v>70918.63765</v>
      </c>
    </row>
    <row r="288">
      <c r="A288" t="inlineStr">
        <is>
          <t>IQUITOS</t>
        </is>
      </c>
      <c r="B288" t="inlineStr">
        <is>
          <t>160101</t>
        </is>
      </c>
      <c r="C288" t="inlineStr">
        <is>
          <t>Créditos</t>
        </is>
      </c>
      <c r="D288" t="inlineStr">
        <is>
          <t>Miles S/</t>
        </is>
      </c>
      <c r="E288" s="11" t="n">
        <v>70703.6966</v>
      </c>
      <c r="F288" s="16" t="n">
        <v>70703.69657</v>
      </c>
    </row>
    <row r="289">
      <c r="A289" t="inlineStr">
        <is>
          <t>NUEVO CHIMBOTE</t>
        </is>
      </c>
      <c r="B289" t="inlineStr">
        <is>
          <t>021809</t>
        </is>
      </c>
      <c r="C289" t="inlineStr">
        <is>
          <t>Créditos</t>
        </is>
      </c>
      <c r="D289" t="inlineStr">
        <is>
          <t>Miles S/</t>
        </is>
      </c>
      <c r="E289" s="11" t="n">
        <v>66747.2708</v>
      </c>
      <c r="F289" s="16" t="n">
        <v>66747.27076</v>
      </c>
    </row>
    <row r="290">
      <c r="A290" t="inlineStr">
        <is>
          <t>LA VICTORIA</t>
        </is>
      </c>
      <c r="B290" t="inlineStr">
        <is>
          <t>140106</t>
        </is>
      </c>
      <c r="C290" t="inlineStr">
        <is>
          <t>Créditos</t>
        </is>
      </c>
      <c r="D290" t="inlineStr">
        <is>
          <t>Miles S/</t>
        </is>
      </c>
      <c r="E290" s="11" t="n">
        <v>66111.3821</v>
      </c>
      <c r="F290" s="16" t="n">
        <v>66111.38211999999</v>
      </c>
    </row>
    <row r="291">
      <c r="A291" t="inlineStr">
        <is>
          <t>VIRU</t>
        </is>
      </c>
      <c r="B291" t="inlineStr">
        <is>
          <t>131201</t>
        </is>
      </c>
      <c r="C291" t="inlineStr">
        <is>
          <t>Créditos</t>
        </is>
      </c>
      <c r="D291" t="inlineStr">
        <is>
          <t>Miles S/</t>
        </is>
      </c>
      <c r="E291" s="11" t="n">
        <v>65173.5881</v>
      </c>
      <c r="F291" s="16" t="n">
        <v>65173.58808</v>
      </c>
    </row>
    <row r="292">
      <c r="A292" t="inlineStr">
        <is>
          <t>CARABAYLLO</t>
        </is>
      </c>
      <c r="B292" t="inlineStr">
        <is>
          <t>150106</t>
        </is>
      </c>
      <c r="C292" t="inlineStr">
        <is>
          <t>Créditos</t>
        </is>
      </c>
      <c r="D292" t="inlineStr">
        <is>
          <t>Miles S/</t>
        </is>
      </c>
      <c r="E292" s="11" t="n">
        <v>64746.4938</v>
      </c>
      <c r="F292" s="16" t="n">
        <v>64746.49377</v>
      </c>
    </row>
    <row r="293">
      <c r="A293" t="inlineStr">
        <is>
          <t>SAN SEBASTIAN</t>
        </is>
      </c>
      <c r="B293" t="inlineStr">
        <is>
          <t>080105</t>
        </is>
      </c>
      <c r="C293" t="inlineStr">
        <is>
          <t>Créditos</t>
        </is>
      </c>
      <c r="D293" t="inlineStr">
        <is>
          <t>Miles S/</t>
        </is>
      </c>
      <c r="E293" s="11" t="n">
        <v>63279.0629</v>
      </c>
      <c r="F293" s="16" t="n">
        <v>63279.06289</v>
      </c>
    </row>
    <row r="294">
      <c r="A294" t="inlineStr">
        <is>
          <t>SAN VICENTE DE CAÑETE</t>
        </is>
      </c>
      <c r="B294" t="inlineStr">
        <is>
          <t>150501</t>
        </is>
      </c>
      <c r="C294" t="inlineStr">
        <is>
          <t>Créditos</t>
        </is>
      </c>
      <c r="D294" t="inlineStr">
        <is>
          <t>Miles S/</t>
        </is>
      </c>
      <c r="E294" s="11" t="n">
        <v>62396.4575</v>
      </c>
      <c r="F294" s="16" t="n">
        <v>62396.45749</v>
      </c>
    </row>
    <row r="295">
      <c r="A295" t="inlineStr">
        <is>
          <t>ANDAHUAYLAS</t>
        </is>
      </c>
      <c r="B295" t="inlineStr">
        <is>
          <t>030201</t>
        </is>
      </c>
      <c r="C295" t="inlineStr">
        <is>
          <t>Créditos</t>
        </is>
      </c>
      <c r="D295" t="inlineStr">
        <is>
          <t>Miles S/</t>
        </is>
      </c>
      <c r="E295" s="11" t="n">
        <v>58600.2383</v>
      </c>
      <c r="F295" s="16" t="n">
        <v>58600.23828</v>
      </c>
    </row>
    <row r="296">
      <c r="A296" t="inlineStr">
        <is>
          <t>HUACHO</t>
        </is>
      </c>
      <c r="B296" t="inlineStr">
        <is>
          <t>150801</t>
        </is>
      </c>
      <c r="C296" t="inlineStr">
        <is>
          <t>Créditos</t>
        </is>
      </c>
      <c r="D296" t="inlineStr">
        <is>
          <t>Miles S/</t>
        </is>
      </c>
      <c r="E296" s="11" t="n">
        <v>58583.499</v>
      </c>
      <c r="F296" s="16" t="n">
        <v>58583.49898</v>
      </c>
    </row>
    <row r="297">
      <c r="A297" t="inlineStr">
        <is>
          <t>SANTA ANA</t>
        </is>
      </c>
      <c r="B297" t="inlineStr">
        <is>
          <t>080901</t>
        </is>
      </c>
      <c r="C297" t="inlineStr">
        <is>
          <t>Créditos</t>
        </is>
      </c>
      <c r="D297" t="inlineStr">
        <is>
          <t>Miles S/</t>
        </is>
      </c>
      <c r="E297" s="11" t="n">
        <v>58494.9741</v>
      </c>
      <c r="F297" s="16" t="n">
        <v>58494.97411</v>
      </c>
    </row>
    <row r="298">
      <c r="A298" t="inlineStr">
        <is>
          <t>TARMA</t>
        </is>
      </c>
      <c r="B298" t="inlineStr">
        <is>
          <t>120701</t>
        </is>
      </c>
      <c r="C298" t="inlineStr">
        <is>
          <t>Créditos</t>
        </is>
      </c>
      <c r="D298" t="inlineStr">
        <is>
          <t>Miles S/</t>
        </is>
      </c>
      <c r="E298" s="11" t="n">
        <v>58196.9786</v>
      </c>
      <c r="F298" s="16" t="n">
        <v>58196.97862</v>
      </c>
    </row>
    <row r="299">
      <c r="A299" t="inlineStr">
        <is>
          <t>EL AGUSTINO</t>
        </is>
      </c>
      <c r="B299" t="inlineStr">
        <is>
          <t>150111</t>
        </is>
      </c>
      <c r="C299" t="inlineStr">
        <is>
          <t>Créditos</t>
        </is>
      </c>
      <c r="D299" t="inlineStr">
        <is>
          <t>Miles S/</t>
        </is>
      </c>
      <c r="E299" s="11" t="n">
        <v>56408.7148</v>
      </c>
      <c r="F299" s="16" t="n">
        <v>56408.71479</v>
      </c>
    </row>
    <row r="300">
      <c r="A300" t="inlineStr">
        <is>
          <t>TAMBO GRANDE</t>
        </is>
      </c>
      <c r="B300" t="inlineStr">
        <is>
          <t>200114</t>
        </is>
      </c>
      <c r="C300" t="inlineStr">
        <is>
          <t>Créditos</t>
        </is>
      </c>
      <c r="D300" t="inlineStr">
        <is>
          <t>Miles S/</t>
        </is>
      </c>
      <c r="E300" s="11" t="n">
        <v>56138.9064</v>
      </c>
      <c r="F300" s="16" t="n">
        <v>56138.90642</v>
      </c>
    </row>
    <row r="301">
      <c r="A301" t="inlineStr">
        <is>
          <t>MIRAFLORES</t>
        </is>
      </c>
      <c r="B301" t="inlineStr">
        <is>
          <t>150122</t>
        </is>
      </c>
      <c r="C301" t="inlineStr">
        <is>
          <t>Créditos</t>
        </is>
      </c>
      <c r="D301" t="inlineStr">
        <is>
          <t>Miles S/</t>
        </is>
      </c>
      <c r="E301" s="11" t="n">
        <v>55401.8562</v>
      </c>
      <c r="F301" s="16" t="n">
        <v>55401.85618</v>
      </c>
    </row>
    <row r="302">
      <c r="A302" t="inlineStr">
        <is>
          <t>CARHUAZ</t>
        </is>
      </c>
      <c r="B302" t="inlineStr">
        <is>
          <t>020601</t>
        </is>
      </c>
      <c r="C302" t="inlineStr">
        <is>
          <t>Créditos</t>
        </is>
      </c>
      <c r="D302" t="inlineStr">
        <is>
          <t>Miles S/</t>
        </is>
      </c>
      <c r="E302" s="11" t="n">
        <v>54215.7483</v>
      </c>
      <c r="F302" s="16" t="n">
        <v>54215.74829</v>
      </c>
    </row>
    <row r="303">
      <c r="A303" t="inlineStr">
        <is>
          <t>MOYOBAMBA</t>
        </is>
      </c>
      <c r="B303" t="inlineStr">
        <is>
          <t>220101</t>
        </is>
      </c>
      <c r="C303" t="inlineStr">
        <is>
          <t>Créditos</t>
        </is>
      </c>
      <c r="D303" t="inlineStr">
        <is>
          <t>Miles S/</t>
        </is>
      </c>
      <c r="E303" s="11" t="n">
        <v>52127.1803</v>
      </c>
      <c r="F303" s="16" t="n">
        <v>52127.18026</v>
      </c>
    </row>
    <row r="304">
      <c r="A304" t="inlineStr">
        <is>
          <t>SANTIAGO</t>
        </is>
      </c>
      <c r="B304" t="inlineStr">
        <is>
          <t>080106</t>
        </is>
      </c>
      <c r="C304" t="inlineStr">
        <is>
          <t>Créditos</t>
        </is>
      </c>
      <c r="D304" t="inlineStr">
        <is>
          <t>Miles S/</t>
        </is>
      </c>
      <c r="E304" s="11" t="n">
        <v>52035.7242</v>
      </c>
      <c r="F304" s="16" t="n">
        <v>52035.72421</v>
      </c>
    </row>
    <row r="305">
      <c r="A305" t="inlineStr">
        <is>
          <t>CHACHAPOYAS</t>
        </is>
      </c>
      <c r="B305" t="inlineStr">
        <is>
          <t>010101</t>
        </is>
      </c>
      <c r="C305" t="inlineStr">
        <is>
          <t>Créditos</t>
        </is>
      </c>
      <c r="D305" t="inlineStr">
        <is>
          <t>Miles S/</t>
        </is>
      </c>
      <c r="E305" s="11" t="n">
        <v>51937.4116</v>
      </c>
      <c r="F305" s="16" t="n">
        <v>51937.41164</v>
      </c>
    </row>
    <row r="306">
      <c r="A306" t="inlineStr">
        <is>
          <t>NUEVA CAJAMARCA</t>
        </is>
      </c>
      <c r="B306" t="inlineStr">
        <is>
          <t>220804</t>
        </is>
      </c>
      <c r="C306" t="inlineStr">
        <is>
          <t>Créditos</t>
        </is>
      </c>
      <c r="D306" t="inlineStr">
        <is>
          <t>Miles S/</t>
        </is>
      </c>
      <c r="E306" s="11" t="n">
        <v>51702.3264</v>
      </c>
      <c r="F306" s="16" t="n">
        <v>51702.32641</v>
      </c>
    </row>
    <row r="307">
      <c r="A307" t="inlineStr">
        <is>
          <t>LAMBAYEQUE</t>
        </is>
      </c>
      <c r="B307" t="inlineStr">
        <is>
          <t>140301</t>
        </is>
      </c>
      <c r="C307" t="inlineStr">
        <is>
          <t>Créditos</t>
        </is>
      </c>
      <c r="D307" t="inlineStr">
        <is>
          <t>Miles S/</t>
        </is>
      </c>
      <c r="E307" s="11" t="n">
        <v>51645.0386</v>
      </c>
      <c r="F307" s="16" t="n">
        <v>51645.03858</v>
      </c>
    </row>
    <row r="308">
      <c r="A308" t="inlineStr">
        <is>
          <t>SAN JERONIMO</t>
        </is>
      </c>
      <c r="B308" t="inlineStr">
        <is>
          <t>080104</t>
        </is>
      </c>
      <c r="C308" t="inlineStr">
        <is>
          <t>Créditos</t>
        </is>
      </c>
      <c r="D308" t="inlineStr">
        <is>
          <t>Miles S/</t>
        </is>
      </c>
      <c r="E308" s="11" t="n">
        <v>50713.5683</v>
      </c>
      <c r="F308" s="16" t="n">
        <v>50713.5683</v>
      </c>
    </row>
    <row r="309">
      <c r="A309" t="inlineStr">
        <is>
          <t>MOLLENDO</t>
        </is>
      </c>
      <c r="B309" t="inlineStr">
        <is>
          <t>040701</t>
        </is>
      </c>
      <c r="C309" t="inlineStr">
        <is>
          <t>Créditos</t>
        </is>
      </c>
      <c r="D309" t="inlineStr">
        <is>
          <t>Miles S/</t>
        </is>
      </c>
      <c r="E309" s="11" t="n">
        <v>50383.92</v>
      </c>
      <c r="F309" s="16" t="n">
        <v>50383.92002</v>
      </c>
    </row>
    <row r="310">
      <c r="A310" t="inlineStr">
        <is>
          <t>SANTA</t>
        </is>
      </c>
      <c r="B310" t="inlineStr">
        <is>
          <t>021808</t>
        </is>
      </c>
      <c r="C310" t="inlineStr">
        <is>
          <t>Créditos</t>
        </is>
      </c>
      <c r="D310" t="inlineStr">
        <is>
          <t>Miles S/</t>
        </is>
      </c>
      <c r="E310" s="11" t="n">
        <v>49754.8467</v>
      </c>
      <c r="F310" s="16" t="n">
        <v>49754.84672</v>
      </c>
    </row>
    <row r="311">
      <c r="A311" t="inlineStr">
        <is>
          <t>SOCABAYA</t>
        </is>
      </c>
      <c r="B311" t="inlineStr">
        <is>
          <t>040122</t>
        </is>
      </c>
      <c r="C311" t="inlineStr">
        <is>
          <t>Créditos</t>
        </is>
      </c>
      <c r="D311" t="inlineStr">
        <is>
          <t>Miles S/</t>
        </is>
      </c>
      <c r="E311" s="11" t="n">
        <v>49745.2634</v>
      </c>
      <c r="F311" s="16" t="n">
        <v>49745.26343</v>
      </c>
    </row>
    <row r="312">
      <c r="A312" t="inlineStr">
        <is>
          <t>CAMANA</t>
        </is>
      </c>
      <c r="B312" t="inlineStr">
        <is>
          <t>040201</t>
        </is>
      </c>
      <c r="C312" t="inlineStr">
        <is>
          <t>Créditos</t>
        </is>
      </c>
      <c r="D312" t="inlineStr">
        <is>
          <t>Miles S/</t>
        </is>
      </c>
      <c r="E312" s="11" t="n">
        <v>49491.007</v>
      </c>
      <c r="F312" s="16" t="n">
        <v>49491.00698</v>
      </c>
    </row>
    <row r="313">
      <c r="A313" t="inlineStr">
        <is>
          <t>CHINCHA ALTA</t>
        </is>
      </c>
      <c r="B313" t="inlineStr">
        <is>
          <t>110201</t>
        </is>
      </c>
      <c r="C313" t="inlineStr">
        <is>
          <t>Créditos</t>
        </is>
      </c>
      <c r="D313" t="inlineStr">
        <is>
          <t>Miles S/</t>
        </is>
      </c>
      <c r="E313" s="11" t="n">
        <v>48632.997</v>
      </c>
      <c r="F313" s="16" t="n">
        <v>48632.99695</v>
      </c>
    </row>
    <row r="314">
      <c r="A314" t="inlineStr">
        <is>
          <t>CHANCHAMAYO</t>
        </is>
      </c>
      <c r="B314" t="inlineStr">
        <is>
          <t>120301</t>
        </is>
      </c>
      <c r="C314" t="inlineStr">
        <is>
          <t>Créditos</t>
        </is>
      </c>
      <c r="D314" t="inlineStr">
        <is>
          <t>Miles S/</t>
        </is>
      </c>
      <c r="E314" s="11" t="n">
        <v>48131.6289</v>
      </c>
      <c r="F314" s="16" t="n">
        <v>48131.62892</v>
      </c>
    </row>
    <row r="315">
      <c r="A315" t="inlineStr">
        <is>
          <t>ILAVE</t>
        </is>
      </c>
      <c r="B315" t="inlineStr">
        <is>
          <t>210501</t>
        </is>
      </c>
      <c r="C315" t="inlineStr">
        <is>
          <t>Créditos</t>
        </is>
      </c>
      <c r="D315" t="inlineStr">
        <is>
          <t>Miles S/</t>
        </is>
      </c>
      <c r="E315" s="11" t="n">
        <v>47930.8283</v>
      </c>
      <c r="F315" s="16" t="n">
        <v>47930.82833</v>
      </c>
    </row>
    <row r="316">
      <c r="A316" t="inlineStr">
        <is>
          <t>CAJABAMBA</t>
        </is>
      </c>
      <c r="B316" t="inlineStr">
        <is>
          <t>060201</t>
        </is>
      </c>
      <c r="C316" t="inlineStr">
        <is>
          <t>Créditos</t>
        </is>
      </c>
      <c r="D316" t="inlineStr">
        <is>
          <t>Miles S/</t>
        </is>
      </c>
      <c r="E316" s="11" t="n">
        <v>47802.2515</v>
      </c>
      <c r="F316" s="16" t="n">
        <v>47802.2515</v>
      </c>
    </row>
    <row r="317">
      <c r="A317" t="inlineStr">
        <is>
          <t>CUSCO</t>
        </is>
      </c>
      <c r="B317" t="inlineStr">
        <is>
          <t>080101</t>
        </is>
      </c>
      <c r="C317" t="inlineStr">
        <is>
          <t>Créditos</t>
        </is>
      </c>
      <c r="D317" t="inlineStr">
        <is>
          <t>Miles S/</t>
        </is>
      </c>
      <c r="E317" s="11" t="n">
        <v>47344.2461</v>
      </c>
      <c r="F317" s="16" t="n">
        <v>47344.24612</v>
      </c>
    </row>
    <row r="318">
      <c r="A318" t="inlineStr">
        <is>
          <t>HUANTA</t>
        </is>
      </c>
      <c r="B318" t="inlineStr">
        <is>
          <t>050401</t>
        </is>
      </c>
      <c r="C318" t="inlineStr">
        <is>
          <t>Créditos</t>
        </is>
      </c>
      <c r="D318" t="inlineStr">
        <is>
          <t>Miles S/</t>
        </is>
      </c>
      <c r="E318" s="11" t="n">
        <v>47235.2123</v>
      </c>
      <c r="F318" s="16" t="n">
        <v>47235.21231</v>
      </c>
    </row>
    <row r="319">
      <c r="A319" t="inlineStr">
        <is>
          <t>CUTERVO</t>
        </is>
      </c>
      <c r="B319" t="inlineStr">
        <is>
          <t>060601</t>
        </is>
      </c>
      <c r="C319" t="inlineStr">
        <is>
          <t>Créditos</t>
        </is>
      </c>
      <c r="D319" t="inlineStr">
        <is>
          <t>Miles S/</t>
        </is>
      </c>
      <c r="E319" s="11" t="n">
        <v>46756.4454</v>
      </c>
      <c r="F319" s="16" t="n">
        <v>46756.44536</v>
      </c>
    </row>
    <row r="320">
      <c r="A320" t="inlineStr">
        <is>
          <t>CARAZ</t>
        </is>
      </c>
      <c r="B320" t="inlineStr">
        <is>
          <t>021201</t>
        </is>
      </c>
      <c r="C320" t="inlineStr">
        <is>
          <t>Créditos</t>
        </is>
      </c>
      <c r="D320" t="inlineStr">
        <is>
          <t>Miles S/</t>
        </is>
      </c>
      <c r="E320" s="11" t="n">
        <v>46563.4397</v>
      </c>
      <c r="F320" s="16" t="n">
        <v>46563.43975</v>
      </c>
    </row>
    <row r="321">
      <c r="A321" t="inlineStr">
        <is>
          <t>CHOCOPE</t>
        </is>
      </c>
      <c r="B321" t="inlineStr">
        <is>
          <t>130203</t>
        </is>
      </c>
      <c r="C321" t="inlineStr">
        <is>
          <t>Créditos</t>
        </is>
      </c>
      <c r="D321" t="inlineStr">
        <is>
          <t>Miles S/</t>
        </is>
      </c>
      <c r="E321" s="11" t="n">
        <v>45621.7607</v>
      </c>
      <c r="F321" s="16" t="n">
        <v>45621.76073</v>
      </c>
    </row>
    <row r="322">
      <c r="A322" t="inlineStr">
        <is>
          <t>LA UNION</t>
        </is>
      </c>
      <c r="B322" t="inlineStr">
        <is>
          <t>200110</t>
        </is>
      </c>
      <c r="C322" t="inlineStr">
        <is>
          <t>Créditos</t>
        </is>
      </c>
      <c r="D322" t="inlineStr">
        <is>
          <t>Miles S/</t>
        </is>
      </c>
      <c r="E322" s="11" t="n">
        <v>45433.977</v>
      </c>
      <c r="F322" s="16" t="n">
        <v>45433.97702</v>
      </c>
    </row>
    <row r="323">
      <c r="A323" t="inlineStr">
        <is>
          <t>BARRANCA</t>
        </is>
      </c>
      <c r="B323" t="inlineStr">
        <is>
          <t>150201</t>
        </is>
      </c>
      <c r="C323" t="inlineStr">
        <is>
          <t>Créditos</t>
        </is>
      </c>
      <c r="D323" t="inlineStr">
        <is>
          <t>Miles S/</t>
        </is>
      </c>
      <c r="E323" s="11" t="n">
        <v>45348.0179</v>
      </c>
      <c r="F323" s="16" t="n">
        <v>45348.01787</v>
      </c>
    </row>
    <row r="324">
      <c r="A324" t="inlineStr">
        <is>
          <t>ABANCAY</t>
        </is>
      </c>
      <c r="B324" t="inlineStr">
        <is>
          <t>030101</t>
        </is>
      </c>
      <c r="C324" t="inlineStr">
        <is>
          <t>Créditos</t>
        </is>
      </c>
      <c r="D324" t="inlineStr">
        <is>
          <t>Miles S/</t>
        </is>
      </c>
      <c r="E324" s="11" t="n">
        <v>44604.1717</v>
      </c>
      <c r="F324" s="16" t="n">
        <v>44604.17171</v>
      </c>
    </row>
    <row r="325">
      <c r="A325" t="inlineStr">
        <is>
          <t>SICUANI</t>
        </is>
      </c>
      <c r="B325" t="inlineStr">
        <is>
          <t>080601</t>
        </is>
      </c>
      <c r="C325" t="inlineStr">
        <is>
          <t>Créditos</t>
        </is>
      </c>
      <c r="D325" t="inlineStr">
        <is>
          <t>Miles S/</t>
        </is>
      </c>
      <c r="E325" s="11" t="n">
        <v>44535.4086</v>
      </c>
      <c r="F325" s="16" t="n">
        <v>44535.40857</v>
      </c>
    </row>
    <row r="326">
      <c r="A326" t="inlineStr">
        <is>
          <t>CIUDAD NUEVA</t>
        </is>
      </c>
      <c r="B326" t="inlineStr">
        <is>
          <t>230104</t>
        </is>
      </c>
      <c r="C326" t="inlineStr">
        <is>
          <t>Créditos</t>
        </is>
      </c>
      <c r="D326" t="inlineStr">
        <is>
          <t>Miles S/</t>
        </is>
      </c>
      <c r="E326" s="11" t="n">
        <v>44463.5701</v>
      </c>
      <c r="F326" s="16" t="n">
        <v>44463.57007</v>
      </c>
    </row>
    <row r="327">
      <c r="A327" t="inlineStr">
        <is>
          <t>SAN LUIS</t>
        </is>
      </c>
      <c r="B327" t="inlineStr">
        <is>
          <t>150134</t>
        </is>
      </c>
      <c r="C327" t="inlineStr">
        <is>
          <t>Créditos</t>
        </is>
      </c>
      <c r="D327" t="inlineStr">
        <is>
          <t>Miles S/</t>
        </is>
      </c>
      <c r="E327" s="11" t="n">
        <v>44157.1373</v>
      </c>
      <c r="F327" s="16" t="n">
        <v>44157.13731</v>
      </c>
    </row>
    <row r="328">
      <c r="A328" t="inlineStr">
        <is>
          <t>SECHURA</t>
        </is>
      </c>
      <c r="B328" t="inlineStr">
        <is>
          <t>200801</t>
        </is>
      </c>
      <c r="C328" t="inlineStr">
        <is>
          <t>Créditos</t>
        </is>
      </c>
      <c r="D328" t="inlineStr">
        <is>
          <t>Miles S/</t>
        </is>
      </c>
      <c r="E328" s="11" t="n">
        <v>43915.2183</v>
      </c>
      <c r="F328" s="16" t="n">
        <v>43915.21831</v>
      </c>
    </row>
    <row r="329">
      <c r="A329" t="inlineStr">
        <is>
          <t>OXAPAMPA</t>
        </is>
      </c>
      <c r="B329" t="inlineStr">
        <is>
          <t>190301</t>
        </is>
      </c>
      <c r="C329" t="inlineStr">
        <is>
          <t>Créditos</t>
        </is>
      </c>
      <c r="D329" t="inlineStr">
        <is>
          <t>Miles S/</t>
        </is>
      </c>
      <c r="E329" s="11" t="n">
        <v>43816.4852</v>
      </c>
      <c r="F329" s="16" t="n">
        <v>43816.48521</v>
      </c>
    </row>
    <row r="330">
      <c r="A330" t="inlineStr">
        <is>
          <t>PICHANAQUI</t>
        </is>
      </c>
      <c r="B330" t="inlineStr">
        <is>
          <t>120303</t>
        </is>
      </c>
      <c r="C330" t="inlineStr">
        <is>
          <t>Créditos</t>
        </is>
      </c>
      <c r="D330" t="inlineStr">
        <is>
          <t>Miles S/</t>
        </is>
      </c>
      <c r="E330" s="11" t="n">
        <v>43146.4927</v>
      </c>
      <c r="F330" s="16" t="n">
        <v>43146.49268</v>
      </c>
    </row>
    <row r="331">
      <c r="A331" t="inlineStr">
        <is>
          <t>TAMBOPATA</t>
        </is>
      </c>
      <c r="B331" t="inlineStr">
        <is>
          <t>170101</t>
        </is>
      </c>
      <c r="C331" t="inlineStr">
        <is>
          <t>Créditos</t>
        </is>
      </c>
      <c r="D331" t="inlineStr">
        <is>
          <t>Miles S/</t>
        </is>
      </c>
      <c r="E331" s="11" t="n">
        <v>42799.6939</v>
      </c>
      <c r="F331" s="16" t="n">
        <v>42799.6939</v>
      </c>
    </row>
    <row r="332">
      <c r="A332" t="inlineStr">
        <is>
          <t>RUPA-RUPA</t>
        </is>
      </c>
      <c r="B332" t="inlineStr">
        <is>
          <t>100601</t>
        </is>
      </c>
      <c r="C332" t="inlineStr">
        <is>
          <t>Créditos</t>
        </is>
      </c>
      <c r="D332" t="inlineStr">
        <is>
          <t>Miles S/</t>
        </is>
      </c>
      <c r="E332" s="11" t="n">
        <v>42449.9007</v>
      </c>
      <c r="F332" s="16" t="n">
        <v>42449.9007</v>
      </c>
    </row>
    <row r="333">
      <c r="A333" t="inlineStr">
        <is>
          <t>HUANCHACO</t>
        </is>
      </c>
      <c r="B333" t="inlineStr">
        <is>
          <t>130104</t>
        </is>
      </c>
      <c r="C333" t="inlineStr">
        <is>
          <t>Créditos</t>
        </is>
      </c>
      <c r="D333" t="inlineStr">
        <is>
          <t>Miles S/</t>
        </is>
      </c>
      <c r="E333" s="11" t="n">
        <v>41755.9586</v>
      </c>
      <c r="F333" s="16" t="n">
        <v>41755.95857</v>
      </c>
    </row>
    <row r="334">
      <c r="A334" t="inlineStr">
        <is>
          <t>FERREÑAFE</t>
        </is>
      </c>
      <c r="B334" t="inlineStr">
        <is>
          <t>140201</t>
        </is>
      </c>
      <c r="C334" t="inlineStr">
        <is>
          <t>Créditos</t>
        </is>
      </c>
      <c r="D334" t="inlineStr">
        <is>
          <t>Miles S/</t>
        </is>
      </c>
      <c r="E334" s="11" t="n">
        <v>41474.3347</v>
      </c>
      <c r="F334" s="16" t="n">
        <v>41474.33469</v>
      </c>
    </row>
    <row r="335">
      <c r="A335" t="inlineStr">
        <is>
          <t>SANTIAGO DE SURCO</t>
        </is>
      </c>
      <c r="B335" t="inlineStr">
        <is>
          <t>150140</t>
        </is>
      </c>
      <c r="C335" t="inlineStr">
        <is>
          <t>Créditos</t>
        </is>
      </c>
      <c r="D335" t="inlineStr">
        <is>
          <t>Miles S/</t>
        </is>
      </c>
      <c r="E335" s="11" t="n">
        <v>40294.715</v>
      </c>
      <c r="F335" s="16" t="n">
        <v>40294.71499</v>
      </c>
    </row>
    <row r="336">
      <c r="A336" t="inlineStr">
        <is>
          <t>YUNGUYO</t>
        </is>
      </c>
      <c r="B336" t="inlineStr">
        <is>
          <t>211301</t>
        </is>
      </c>
      <c r="C336" t="inlineStr">
        <is>
          <t>Créditos</t>
        </is>
      </c>
      <c r="D336" t="inlineStr">
        <is>
          <t>Miles S/</t>
        </is>
      </c>
      <c r="E336" s="11" t="n">
        <v>39630.9101</v>
      </c>
      <c r="F336" s="16" t="n">
        <v>39630.91011</v>
      </c>
    </row>
    <row r="337">
      <c r="A337" t="inlineStr">
        <is>
          <t>BAGUA GRANDE</t>
        </is>
      </c>
      <c r="B337" t="inlineStr">
        <is>
          <t>010701</t>
        </is>
      </c>
      <c r="C337" t="inlineStr">
        <is>
          <t>Créditos</t>
        </is>
      </c>
      <c r="D337" t="inlineStr">
        <is>
          <t>Miles S/</t>
        </is>
      </c>
      <c r="E337" s="11" t="n">
        <v>39125.9198</v>
      </c>
      <c r="F337" s="16" t="n">
        <v>39125.91978</v>
      </c>
    </row>
    <row r="338">
      <c r="A338" t="inlineStr">
        <is>
          <t>CATACAOS</t>
        </is>
      </c>
      <c r="B338" t="inlineStr">
        <is>
          <t>200105</t>
        </is>
      </c>
      <c r="C338" t="inlineStr">
        <is>
          <t>Créditos</t>
        </is>
      </c>
      <c r="D338" t="inlineStr">
        <is>
          <t>Miles S/</t>
        </is>
      </c>
      <c r="E338" s="11" t="n">
        <v>38733.6923</v>
      </c>
      <c r="F338" s="16" t="n">
        <v>38733.69228</v>
      </c>
    </row>
    <row r="339">
      <c r="A339" t="inlineStr">
        <is>
          <t>JUANJUI</t>
        </is>
      </c>
      <c r="B339" t="inlineStr">
        <is>
          <t>220601</t>
        </is>
      </c>
      <c r="C339" t="inlineStr">
        <is>
          <t>Créditos</t>
        </is>
      </c>
      <c r="D339" t="inlineStr">
        <is>
          <t>Miles S/</t>
        </is>
      </c>
      <c r="E339" s="11" t="n">
        <v>37763.8028</v>
      </c>
      <c r="F339" s="16" t="n">
        <v>37763.80276</v>
      </c>
    </row>
    <row r="340">
      <c r="A340" t="inlineStr">
        <is>
          <t>ALTO SELVA ALEGRE</t>
        </is>
      </c>
      <c r="B340" t="inlineStr">
        <is>
          <t>040102</t>
        </is>
      </c>
      <c r="C340" t="inlineStr">
        <is>
          <t>Créditos</t>
        </is>
      </c>
      <c r="D340" t="inlineStr">
        <is>
          <t>Miles S/</t>
        </is>
      </c>
      <c r="E340" s="11" t="n">
        <v>37470.4345</v>
      </c>
      <c r="F340" s="16" t="n">
        <v>37470.43454</v>
      </c>
    </row>
    <row r="341">
      <c r="A341" t="inlineStr">
        <is>
          <t>PARCONA</t>
        </is>
      </c>
      <c r="B341" t="inlineStr">
        <is>
          <t>110106</t>
        </is>
      </c>
      <c r="C341" t="inlineStr">
        <is>
          <t>Créditos</t>
        </is>
      </c>
      <c r="D341" t="inlineStr">
        <is>
          <t>Miles S/</t>
        </is>
      </c>
      <c r="E341" s="11" t="n">
        <v>36475.6964</v>
      </c>
      <c r="F341" s="16" t="n">
        <v>36475.69637</v>
      </c>
    </row>
    <row r="342">
      <c r="A342" t="inlineStr">
        <is>
          <t>YUNGAY</t>
        </is>
      </c>
      <c r="B342" t="inlineStr">
        <is>
          <t>022001</t>
        </is>
      </c>
      <c r="C342" t="inlineStr">
        <is>
          <t>Créditos</t>
        </is>
      </c>
      <c r="D342" t="inlineStr">
        <is>
          <t>Miles S/</t>
        </is>
      </c>
      <c r="E342" s="11" t="n">
        <v>36066.9369</v>
      </c>
      <c r="F342" s="16" t="n">
        <v>36066.93687</v>
      </c>
    </row>
    <row r="343">
      <c r="A343" t="inlineStr">
        <is>
          <t>CELENDIN</t>
        </is>
      </c>
      <c r="B343" t="inlineStr">
        <is>
          <t>060301</t>
        </is>
      </c>
      <c r="C343" t="inlineStr">
        <is>
          <t>Créditos</t>
        </is>
      </c>
      <c r="D343" t="inlineStr">
        <is>
          <t>Miles S/</t>
        </is>
      </c>
      <c r="E343" s="11" t="n">
        <v>35458.7901</v>
      </c>
      <c r="F343" s="16" t="n">
        <v>35458.79014</v>
      </c>
    </row>
    <row r="344">
      <c r="A344" t="inlineStr">
        <is>
          <t>SURQUILLO</t>
        </is>
      </c>
      <c r="B344" t="inlineStr">
        <is>
          <t>150141</t>
        </is>
      </c>
      <c r="C344" t="inlineStr">
        <is>
          <t>Créditos</t>
        </is>
      </c>
      <c r="D344" t="inlineStr">
        <is>
          <t>Miles S/</t>
        </is>
      </c>
      <c r="E344" s="11" t="n">
        <v>35290.5592</v>
      </c>
      <c r="F344" s="16" t="n">
        <v>35290.55925</v>
      </c>
    </row>
    <row r="345">
      <c r="A345" t="inlineStr">
        <is>
          <t>CASMA</t>
        </is>
      </c>
      <c r="B345" t="inlineStr">
        <is>
          <t>020801</t>
        </is>
      </c>
      <c r="C345" t="inlineStr">
        <is>
          <t>Créditos</t>
        </is>
      </c>
      <c r="D345" t="inlineStr">
        <is>
          <t>Miles S/</t>
        </is>
      </c>
      <c r="E345" s="11" t="n">
        <v>34857.003</v>
      </c>
      <c r="F345" s="16" t="n">
        <v>34857.00298</v>
      </c>
    </row>
    <row r="346">
      <c r="A346" t="inlineStr">
        <is>
          <t>CAYMA</t>
        </is>
      </c>
      <c r="B346" t="inlineStr">
        <is>
          <t>040103</t>
        </is>
      </c>
      <c r="C346" t="inlineStr">
        <is>
          <t>Créditos</t>
        </is>
      </c>
      <c r="D346" t="inlineStr">
        <is>
          <t>Miles S/</t>
        </is>
      </c>
      <c r="E346" s="11" t="n">
        <v>34541.5928</v>
      </c>
      <c r="F346" s="16" t="n">
        <v>34541.59284</v>
      </c>
    </row>
    <row r="347">
      <c r="A347" t="inlineStr">
        <is>
          <t>TOCACHE</t>
        </is>
      </c>
      <c r="B347" t="inlineStr">
        <is>
          <t>221001</t>
        </is>
      </c>
      <c r="C347" t="inlineStr">
        <is>
          <t>Créditos</t>
        </is>
      </c>
      <c r="D347" t="inlineStr">
        <is>
          <t>Miles S/</t>
        </is>
      </c>
      <c r="E347" s="11" t="n">
        <v>34281.8561</v>
      </c>
      <c r="F347" s="16" t="n">
        <v>34281.85609</v>
      </c>
    </row>
    <row r="348">
      <c r="A348" t="inlineStr">
        <is>
          <t>BAGUA</t>
        </is>
      </c>
      <c r="B348" t="inlineStr">
        <is>
          <t>010201</t>
        </is>
      </c>
      <c r="C348" t="inlineStr">
        <is>
          <t>Créditos</t>
        </is>
      </c>
      <c r="D348" t="inlineStr">
        <is>
          <t>Miles S/</t>
        </is>
      </c>
      <c r="E348" s="11" t="n">
        <v>34142.0329</v>
      </c>
      <c r="F348" s="16" t="n">
        <v>34142.03289</v>
      </c>
    </row>
    <row r="349">
      <c r="A349" t="inlineStr">
        <is>
          <t>CONCEPCION</t>
        </is>
      </c>
      <c r="B349" t="inlineStr">
        <is>
          <t>120201</t>
        </is>
      </c>
      <c r="C349" t="inlineStr">
        <is>
          <t>Créditos</t>
        </is>
      </c>
      <c r="D349" t="inlineStr">
        <is>
          <t>Miles S/</t>
        </is>
      </c>
      <c r="E349" s="11" t="n">
        <v>34094.7064</v>
      </c>
      <c r="F349" s="16" t="n">
        <v>34094.70643</v>
      </c>
    </row>
    <row r="350">
      <c r="A350" t="inlineStr">
        <is>
          <t>VILLA RICA</t>
        </is>
      </c>
      <c r="B350" t="inlineStr">
        <is>
          <t>190307</t>
        </is>
      </c>
      <c r="C350" t="inlineStr">
        <is>
          <t>Créditos</t>
        </is>
      </c>
      <c r="D350" t="inlineStr">
        <is>
          <t>Miles S/</t>
        </is>
      </c>
      <c r="E350" s="11" t="n">
        <v>33549.3158</v>
      </c>
      <c r="F350" s="16" t="n">
        <v>33549.31582</v>
      </c>
    </row>
    <row r="351">
      <c r="A351" t="inlineStr">
        <is>
          <t>COCACHACRA</t>
        </is>
      </c>
      <c r="B351" t="inlineStr">
        <is>
          <t>040702</t>
        </is>
      </c>
      <c r="C351" t="inlineStr">
        <is>
          <t>Créditos</t>
        </is>
      </c>
      <c r="D351" t="inlineStr">
        <is>
          <t>Miles S/</t>
        </is>
      </c>
      <c r="E351" s="11" t="n">
        <v>32948.1795</v>
      </c>
      <c r="F351" s="16" t="n">
        <v>32948.17947</v>
      </c>
    </row>
    <row r="352">
      <c r="A352" t="inlineStr">
        <is>
          <t>SATIPO</t>
        </is>
      </c>
      <c r="B352" t="inlineStr">
        <is>
          <t>120601</t>
        </is>
      </c>
      <c r="C352" t="inlineStr">
        <is>
          <t>Créditos</t>
        </is>
      </c>
      <c r="D352" t="inlineStr">
        <is>
          <t>Miles S/</t>
        </is>
      </c>
      <c r="E352" s="11" t="n">
        <v>32920.7211</v>
      </c>
      <c r="F352" s="16" t="n">
        <v>32920.72105</v>
      </c>
    </row>
    <row r="353">
      <c r="A353" t="inlineStr">
        <is>
          <t>MORROPON</t>
        </is>
      </c>
      <c r="B353" t="inlineStr">
        <is>
          <t>200405</t>
        </is>
      </c>
      <c r="C353" t="inlineStr">
        <is>
          <t>Créditos</t>
        </is>
      </c>
      <c r="D353" t="inlineStr">
        <is>
          <t>Miles S/</t>
        </is>
      </c>
      <c r="E353" s="11" t="n">
        <v>32916.6037</v>
      </c>
      <c r="F353" s="16" t="n">
        <v>32916.60367</v>
      </c>
    </row>
    <row r="354">
      <c r="A354" t="inlineStr">
        <is>
          <t>JAUJA</t>
        </is>
      </c>
      <c r="B354" t="inlineStr">
        <is>
          <t>120401</t>
        </is>
      </c>
      <c r="C354" t="inlineStr">
        <is>
          <t>Créditos</t>
        </is>
      </c>
      <c r="D354" t="inlineStr">
        <is>
          <t>Miles S/</t>
        </is>
      </c>
      <c r="E354" s="11" t="n">
        <v>31716.8633</v>
      </c>
      <c r="F354" s="16" t="n">
        <v>31716.86326</v>
      </c>
    </row>
    <row r="355">
      <c r="A355" t="inlineStr">
        <is>
          <t>ANTA</t>
        </is>
      </c>
      <c r="B355" t="inlineStr">
        <is>
          <t>080301</t>
        </is>
      </c>
      <c r="C355" t="inlineStr">
        <is>
          <t>Créditos</t>
        </is>
      </c>
      <c r="D355" t="inlineStr">
        <is>
          <t>Miles S/</t>
        </is>
      </c>
      <c r="E355" s="11" t="n">
        <v>31600.5783</v>
      </c>
      <c r="F355" s="16" t="n">
        <v>31600.57832</v>
      </c>
    </row>
    <row r="356">
      <c r="A356" t="inlineStr">
        <is>
          <t>NAZCA</t>
        </is>
      </c>
      <c r="B356" t="inlineStr">
        <is>
          <t>110301</t>
        </is>
      </c>
      <c r="C356" t="inlineStr">
        <is>
          <t>Créditos</t>
        </is>
      </c>
      <c r="D356" t="inlineStr">
        <is>
          <t>Miles S/</t>
        </is>
      </c>
      <c r="E356" s="11" t="n">
        <v>31218.7492</v>
      </c>
      <c r="F356" s="16" t="n">
        <v>31218.74921</v>
      </c>
    </row>
    <row r="357">
      <c r="A357" t="inlineStr">
        <is>
          <t>SAN IGNACIO</t>
        </is>
      </c>
      <c r="B357" t="inlineStr">
        <is>
          <t>060901</t>
        </is>
      </c>
      <c r="C357" t="inlineStr">
        <is>
          <t>Créditos</t>
        </is>
      </c>
      <c r="D357" t="inlineStr">
        <is>
          <t>Miles S/</t>
        </is>
      </c>
      <c r="E357" s="11" t="n">
        <v>30965.4238</v>
      </c>
      <c r="F357" s="16" t="n">
        <v>30965.42384</v>
      </c>
    </row>
    <row r="358">
      <c r="A358" t="inlineStr">
        <is>
          <t>ANCON</t>
        </is>
      </c>
      <c r="B358" t="inlineStr">
        <is>
          <t>150102</t>
        </is>
      </c>
      <c r="C358" t="inlineStr">
        <is>
          <t>Créditos</t>
        </is>
      </c>
      <c r="D358" t="inlineStr">
        <is>
          <t>Miles S/</t>
        </is>
      </c>
      <c r="E358" s="11" t="n">
        <v>30932.4893</v>
      </c>
      <c r="F358" s="16" t="n">
        <v>30932.48932</v>
      </c>
    </row>
    <row r="359">
      <c r="A359" t="inlineStr">
        <is>
          <t>CHILCA</t>
        </is>
      </c>
      <c r="B359" t="inlineStr">
        <is>
          <t>150505</t>
        </is>
      </c>
      <c r="C359" t="inlineStr">
        <is>
          <t>Créditos</t>
        </is>
      </c>
      <c r="D359" t="inlineStr">
        <is>
          <t>Miles S/</t>
        </is>
      </c>
      <c r="E359" s="11" t="n">
        <v>30186.2058</v>
      </c>
      <c r="F359" s="16" t="n">
        <v>30186.20579</v>
      </c>
    </row>
    <row r="360">
      <c r="A360" t="inlineStr">
        <is>
          <t>CAYALTI</t>
        </is>
      </c>
      <c r="B360" t="inlineStr">
        <is>
          <t>140116</t>
        </is>
      </c>
      <c r="C360" t="inlineStr">
        <is>
          <t>Créditos</t>
        </is>
      </c>
      <c r="D360" t="inlineStr">
        <is>
          <t>Miles S/</t>
        </is>
      </c>
      <c r="E360" s="11" t="n">
        <v>28806.346</v>
      </c>
      <c r="F360" s="16" t="n">
        <v>28806.34596</v>
      </c>
    </row>
    <row r="361">
      <c r="A361" t="inlineStr">
        <is>
          <t>DESAGUADERO</t>
        </is>
      </c>
      <c r="B361" t="inlineStr">
        <is>
          <t>210402</t>
        </is>
      </c>
      <c r="C361" t="inlineStr">
        <is>
          <t>Créditos</t>
        </is>
      </c>
      <c r="D361" t="inlineStr">
        <is>
          <t>Miles S/</t>
        </is>
      </c>
      <c r="E361" s="11" t="n">
        <v>27745.7981</v>
      </c>
      <c r="F361" s="16" t="n">
        <v>27745.79808</v>
      </c>
    </row>
    <row r="362">
      <c r="A362" t="inlineStr">
        <is>
          <t>MACUSANI</t>
        </is>
      </c>
      <c r="B362" t="inlineStr">
        <is>
          <t>210301</t>
        </is>
      </c>
      <c r="C362" t="inlineStr">
        <is>
          <t>Créditos</t>
        </is>
      </c>
      <c r="D362" t="inlineStr">
        <is>
          <t>Miles S/</t>
        </is>
      </c>
      <c r="E362" s="11" t="n">
        <v>27538.7515</v>
      </c>
      <c r="F362" s="16" t="n">
        <v>27538.7515</v>
      </c>
    </row>
    <row r="363">
      <c r="A363" t="inlineStr">
        <is>
          <t>HUARAL</t>
        </is>
      </c>
      <c r="B363" t="inlineStr">
        <is>
          <t>150601</t>
        </is>
      </c>
      <c r="C363" t="inlineStr">
        <is>
          <t>Créditos</t>
        </is>
      </c>
      <c r="D363" t="inlineStr">
        <is>
          <t>Miles S/</t>
        </is>
      </c>
      <c r="E363" s="11" t="n">
        <v>27194.3144</v>
      </c>
      <c r="F363" s="16" t="n">
        <v>27194.31441</v>
      </c>
    </row>
    <row r="364">
      <c r="A364" t="inlineStr">
        <is>
          <t>PANGOA</t>
        </is>
      </c>
      <c r="B364" t="inlineStr">
        <is>
          <t>120606</t>
        </is>
      </c>
      <c r="C364" t="inlineStr">
        <is>
          <t>Créditos</t>
        </is>
      </c>
      <c r="D364" t="inlineStr">
        <is>
          <t>Miles S/</t>
        </is>
      </c>
      <c r="E364" s="11" t="n">
        <v>26945.3671</v>
      </c>
      <c r="F364" s="16" t="n">
        <v>26945.36712</v>
      </c>
    </row>
    <row r="365">
      <c r="A365" t="inlineStr">
        <is>
          <t>MALA</t>
        </is>
      </c>
      <c r="B365" t="inlineStr">
        <is>
          <t>150509</t>
        </is>
      </c>
      <c r="C365" t="inlineStr">
        <is>
          <t>Créditos</t>
        </is>
      </c>
      <c r="D365" t="inlineStr">
        <is>
          <t>Miles S/</t>
        </is>
      </c>
      <c r="E365" s="11" t="n">
        <v>26464.9348</v>
      </c>
      <c r="F365" s="16" t="n">
        <v>26464.9348</v>
      </c>
    </row>
    <row r="366">
      <c r="A366" t="inlineStr">
        <is>
          <t>HUARI</t>
        </is>
      </c>
      <c r="B366" t="inlineStr">
        <is>
          <t>021001</t>
        </is>
      </c>
      <c r="C366" t="inlineStr">
        <is>
          <t>Créditos</t>
        </is>
      </c>
      <c r="D366" t="inlineStr">
        <is>
          <t>Miles S/</t>
        </is>
      </c>
      <c r="E366" s="11" t="n">
        <v>26450.3218</v>
      </c>
      <c r="F366" s="16" t="n">
        <v>26450.32181</v>
      </c>
    </row>
    <row r="367">
      <c r="A367" t="inlineStr">
        <is>
          <t>YANACANCHA</t>
        </is>
      </c>
      <c r="B367" t="inlineStr">
        <is>
          <t>190113</t>
        </is>
      </c>
      <c r="C367" t="inlineStr">
        <is>
          <t>Créditos</t>
        </is>
      </c>
      <c r="D367" t="inlineStr">
        <is>
          <t>Miles S/</t>
        </is>
      </c>
      <c r="E367" s="11" t="n">
        <v>26124.2493</v>
      </c>
      <c r="F367" s="16" t="n">
        <v>26124.24927</v>
      </c>
    </row>
    <row r="368">
      <c r="A368" t="inlineStr">
        <is>
          <t>PAMPAS</t>
        </is>
      </c>
      <c r="B368" t="inlineStr">
        <is>
          <t>090701</t>
        </is>
      </c>
      <c r="C368" t="inlineStr">
        <is>
          <t>Créditos</t>
        </is>
      </c>
      <c r="D368" t="inlineStr">
        <is>
          <t>Miles S/</t>
        </is>
      </c>
      <c r="E368" s="11" t="n">
        <v>25844.6485</v>
      </c>
      <c r="F368" s="16" t="n">
        <v>25844.64852</v>
      </c>
    </row>
    <row r="369">
      <c r="A369" t="inlineStr">
        <is>
          <t>PANAO</t>
        </is>
      </c>
      <c r="B369" t="inlineStr">
        <is>
          <t>100801</t>
        </is>
      </c>
      <c r="C369" t="inlineStr">
        <is>
          <t>Créditos</t>
        </is>
      </c>
      <c r="D369" t="inlineStr">
        <is>
          <t>Miles S/</t>
        </is>
      </c>
      <c r="E369" s="11" t="n">
        <v>25409.4918</v>
      </c>
      <c r="F369" s="16" t="n">
        <v>25409.49176</v>
      </c>
    </row>
    <row r="370">
      <c r="A370" t="inlineStr">
        <is>
          <t>LAS LOMAS</t>
        </is>
      </c>
      <c r="B370" t="inlineStr">
        <is>
          <t>200111</t>
        </is>
      </c>
      <c r="C370" t="inlineStr">
        <is>
          <t>Créditos</t>
        </is>
      </c>
      <c r="D370" t="inlineStr">
        <is>
          <t>Miles S/</t>
        </is>
      </c>
      <c r="E370" s="11" t="n">
        <v>25122.4777</v>
      </c>
      <c r="F370" s="16" t="n">
        <v>25122.47771</v>
      </c>
    </row>
    <row r="371">
      <c r="A371" t="inlineStr">
        <is>
          <t>PIMENTEL</t>
        </is>
      </c>
      <c r="B371" t="inlineStr">
        <is>
          <t>140112</t>
        </is>
      </c>
      <c r="C371" t="inlineStr">
        <is>
          <t>Créditos</t>
        </is>
      </c>
      <c r="D371" t="inlineStr">
        <is>
          <t>Miles S/</t>
        </is>
      </c>
      <c r="E371" s="11" t="n">
        <v>25096.1729</v>
      </c>
      <c r="F371" s="16" t="n">
        <v>25096.17292</v>
      </c>
    </row>
    <row r="372">
      <c r="A372" t="inlineStr">
        <is>
          <t>URCOS</t>
        </is>
      </c>
      <c r="B372" t="inlineStr">
        <is>
          <t>081201</t>
        </is>
      </c>
      <c r="C372" t="inlineStr">
        <is>
          <t>Créditos</t>
        </is>
      </c>
      <c r="D372" t="inlineStr">
        <is>
          <t>Miles S/</t>
        </is>
      </c>
      <c r="E372" s="11" t="n">
        <v>24750.8889</v>
      </c>
      <c r="F372" s="16" t="n">
        <v>24750.88889</v>
      </c>
    </row>
    <row r="373">
      <c r="A373" t="inlineStr">
        <is>
          <t>PAITA</t>
        </is>
      </c>
      <c r="B373" t="inlineStr">
        <is>
          <t>200501</t>
        </is>
      </c>
      <c r="C373" t="inlineStr">
        <is>
          <t>Créditos</t>
        </is>
      </c>
      <c r="D373" t="inlineStr">
        <is>
          <t>Miles S/</t>
        </is>
      </c>
      <c r="E373" s="11" t="n">
        <v>24733.0166</v>
      </c>
      <c r="F373" s="16" t="n">
        <v>24733.01659</v>
      </c>
    </row>
    <row r="374">
      <c r="A374" t="inlineStr">
        <is>
          <t>AYAVIRI</t>
        </is>
      </c>
      <c r="B374" t="inlineStr">
        <is>
          <t>210801</t>
        </is>
      </c>
      <c r="C374" t="inlineStr">
        <is>
          <t>Créditos</t>
        </is>
      </c>
      <c r="D374" t="inlineStr">
        <is>
          <t>Miles S/</t>
        </is>
      </c>
      <c r="E374" s="11" t="n">
        <v>24417.8864</v>
      </c>
      <c r="F374" s="16" t="n">
        <v>24417.88637</v>
      </c>
    </row>
    <row r="375">
      <c r="A375" t="inlineStr">
        <is>
          <t>HUANCABAMBA</t>
        </is>
      </c>
      <c r="B375" t="inlineStr">
        <is>
          <t>200301</t>
        </is>
      </c>
      <c r="C375" t="inlineStr">
        <is>
          <t>Créditos</t>
        </is>
      </c>
      <c r="D375" t="inlineStr">
        <is>
          <t>Miles S/</t>
        </is>
      </c>
      <c r="E375" s="11" t="n">
        <v>22746.3313</v>
      </c>
      <c r="F375" s="16" t="n">
        <v>22746.33133</v>
      </c>
    </row>
    <row r="376">
      <c r="A376" t="inlineStr">
        <is>
          <t>YURA</t>
        </is>
      </c>
      <c r="B376" t="inlineStr">
        <is>
          <t>040128</t>
        </is>
      </c>
      <c r="C376" t="inlineStr">
        <is>
          <t>Créditos</t>
        </is>
      </c>
      <c r="D376" t="inlineStr">
        <is>
          <t>Miles S/</t>
        </is>
      </c>
      <c r="E376" s="11" t="n">
        <v>22679.3064</v>
      </c>
      <c r="F376" s="16" t="n">
        <v>22679.30642</v>
      </c>
    </row>
    <row r="377">
      <c r="A377" t="inlineStr">
        <is>
          <t>HUANCAVELICA</t>
        </is>
      </c>
      <c r="B377" t="inlineStr">
        <is>
          <t>090101</t>
        </is>
      </c>
      <c r="C377" t="inlineStr">
        <is>
          <t>Créditos</t>
        </is>
      </c>
      <c r="D377" t="inlineStr">
        <is>
          <t>Miles S/</t>
        </is>
      </c>
      <c r="E377" s="11" t="n">
        <v>22660.7401</v>
      </c>
      <c r="F377" s="16" t="n">
        <v>22660.74013</v>
      </c>
    </row>
    <row r="378">
      <c r="A378" t="inlineStr">
        <is>
          <t>JULI</t>
        </is>
      </c>
      <c r="B378" t="inlineStr">
        <is>
          <t>210401</t>
        </is>
      </c>
      <c r="C378" t="inlineStr">
        <is>
          <t>Créditos</t>
        </is>
      </c>
      <c r="D378" t="inlineStr">
        <is>
          <t>Miles S/</t>
        </is>
      </c>
      <c r="E378" s="11" t="n">
        <v>22581.9027</v>
      </c>
      <c r="F378" s="16" t="n">
        <v>22581.90271</v>
      </c>
    </row>
    <row r="379">
      <c r="A379" t="inlineStr">
        <is>
          <t>JOSE CRESPO Y CASTILLO</t>
        </is>
      </c>
      <c r="B379" t="inlineStr">
        <is>
          <t>100604</t>
        </is>
      </c>
      <c r="C379" t="inlineStr">
        <is>
          <t>Créditos</t>
        </is>
      </c>
      <c r="D379" t="inlineStr">
        <is>
          <t>Miles S/</t>
        </is>
      </c>
      <c r="E379" s="11" t="n">
        <v>22367.5066</v>
      </c>
      <c r="F379" s="16" t="n">
        <v>22367.50659</v>
      </c>
    </row>
    <row r="380">
      <c r="A380" t="inlineStr">
        <is>
          <t>COMBAPATA</t>
        </is>
      </c>
      <c r="B380" t="inlineStr">
        <is>
          <t>080603</t>
        </is>
      </c>
      <c r="C380" t="inlineStr">
        <is>
          <t>Créditos</t>
        </is>
      </c>
      <c r="D380" t="inlineStr">
        <is>
          <t>Miles S/</t>
        </is>
      </c>
      <c r="E380" s="11" t="n">
        <v>22142.5426</v>
      </c>
      <c r="F380" s="16" t="n">
        <v>22142.54264</v>
      </c>
    </row>
    <row r="381">
      <c r="A381" t="inlineStr">
        <is>
          <t>ESPINAR</t>
        </is>
      </c>
      <c r="B381" t="inlineStr">
        <is>
          <t>080801</t>
        </is>
      </c>
      <c r="C381" t="inlineStr">
        <is>
          <t>Créditos</t>
        </is>
      </c>
      <c r="D381" t="inlineStr">
        <is>
          <t>Miles S/</t>
        </is>
      </c>
      <c r="E381" s="11" t="n">
        <v>21488.4514</v>
      </c>
      <c r="F381" s="16" t="n">
        <v>21488.45143</v>
      </c>
    </row>
    <row r="382">
      <c r="A382" t="inlineStr">
        <is>
          <t>MAÑAZO</t>
        </is>
      </c>
      <c r="B382" t="inlineStr">
        <is>
          <t>210109</t>
        </is>
      </c>
      <c r="C382" t="inlineStr">
        <is>
          <t>Créditos</t>
        </is>
      </c>
      <c r="D382" t="inlineStr">
        <is>
          <t>Miles S/</t>
        </is>
      </c>
      <c r="E382" s="11" t="n">
        <v>20966.2941</v>
      </c>
      <c r="F382" s="16" t="n">
        <v>20966.2941</v>
      </c>
    </row>
    <row r="383">
      <c r="A383" t="inlineStr">
        <is>
          <t>LA UNION</t>
        </is>
      </c>
      <c r="B383" t="inlineStr">
        <is>
          <t>100301</t>
        </is>
      </c>
      <c r="C383" t="inlineStr">
        <is>
          <t>Créditos</t>
        </is>
      </c>
      <c r="D383" t="inlineStr">
        <is>
          <t>Miles S/</t>
        </is>
      </c>
      <c r="E383" s="11" t="n">
        <v>20812.4862</v>
      </c>
      <c r="F383" s="16" t="n">
        <v>20812.48623</v>
      </c>
    </row>
    <row r="384">
      <c r="A384" t="inlineStr">
        <is>
          <t>NEPEÑA</t>
        </is>
      </c>
      <c r="B384" t="inlineStr">
        <is>
          <t>021806</t>
        </is>
      </c>
      <c r="C384" t="inlineStr">
        <is>
          <t>Créditos</t>
        </is>
      </c>
      <c r="D384" t="inlineStr">
        <is>
          <t>Miles S/</t>
        </is>
      </c>
      <c r="E384" s="11" t="n">
        <v>20483.601</v>
      </c>
      <c r="F384" s="16" t="n">
        <v>20483.60099</v>
      </c>
    </row>
    <row r="385">
      <c r="A385" t="inlineStr">
        <is>
          <t>LOS ORGANOS</t>
        </is>
      </c>
      <c r="B385" t="inlineStr">
        <is>
          <t>200705</t>
        </is>
      </c>
      <c r="C385" t="inlineStr">
        <is>
          <t>Créditos</t>
        </is>
      </c>
      <c r="D385" t="inlineStr">
        <is>
          <t>Miles S/</t>
        </is>
      </c>
      <c r="E385" s="11" t="n">
        <v>20116.0395</v>
      </c>
      <c r="F385" s="16" t="n">
        <v>20116.03947</v>
      </c>
    </row>
    <row r="386">
      <c r="A386" t="inlineStr">
        <is>
          <t>HUANCANE</t>
        </is>
      </c>
      <c r="B386" t="inlineStr">
        <is>
          <t>210601</t>
        </is>
      </c>
      <c r="C386" t="inlineStr">
        <is>
          <t>Créditos</t>
        </is>
      </c>
      <c r="D386" t="inlineStr">
        <is>
          <t>Miles S/</t>
        </is>
      </c>
      <c r="E386" s="11" t="n">
        <v>19985.6522</v>
      </c>
      <c r="F386" s="16" t="n">
        <v>19985.65222</v>
      </c>
    </row>
    <row r="387">
      <c r="A387" t="inlineStr">
        <is>
          <t>JAZAN</t>
        </is>
      </c>
      <c r="B387" t="inlineStr">
        <is>
          <t>010307</t>
        </is>
      </c>
      <c r="C387" t="inlineStr">
        <is>
          <t>Créditos</t>
        </is>
      </c>
      <c r="D387" t="inlineStr">
        <is>
          <t>Miles S/</t>
        </is>
      </c>
      <c r="E387" s="11" t="n">
        <v>19781.5452</v>
      </c>
      <c r="F387" s="16" t="n">
        <v>19781.54519</v>
      </c>
    </row>
    <row r="388">
      <c r="A388" t="inlineStr">
        <is>
          <t>AYABACA</t>
        </is>
      </c>
      <c r="B388" t="inlineStr">
        <is>
          <t>200201</t>
        </is>
      </c>
      <c r="C388" t="inlineStr">
        <is>
          <t>Créditos</t>
        </is>
      </c>
      <c r="D388" t="inlineStr">
        <is>
          <t>Miles S/</t>
        </is>
      </c>
      <c r="E388" s="11" t="n">
        <v>18867.6802</v>
      </c>
      <c r="F388" s="16" t="n">
        <v>18867.68018</v>
      </c>
    </row>
    <row r="389">
      <c r="A389" t="inlineStr">
        <is>
          <t>HUARMEY</t>
        </is>
      </c>
      <c r="B389" t="inlineStr">
        <is>
          <t>021101</t>
        </is>
      </c>
      <c r="C389" t="inlineStr">
        <is>
          <t>Créditos</t>
        </is>
      </c>
      <c r="D389" t="inlineStr">
        <is>
          <t>Miles S/</t>
        </is>
      </c>
      <c r="E389" s="11" t="n">
        <v>18636.8081</v>
      </c>
      <c r="F389" s="16" t="n">
        <v>18636.80813</v>
      </c>
    </row>
    <row r="390">
      <c r="A390" t="inlineStr">
        <is>
          <t>MAGDALENA DEL MAR</t>
        </is>
      </c>
      <c r="B390" t="inlineStr">
        <is>
          <t>150120</t>
        </is>
      </c>
      <c r="C390" t="inlineStr">
        <is>
          <t>Créditos</t>
        </is>
      </c>
      <c r="D390" t="inlineStr">
        <is>
          <t>Miles S/</t>
        </is>
      </c>
      <c r="E390" s="11" t="n">
        <v>18607.1858</v>
      </c>
      <c r="F390" s="16" t="n">
        <v>18607.18577</v>
      </c>
    </row>
    <row r="391">
      <c r="A391" t="inlineStr">
        <is>
          <t>SANTO TOMAS</t>
        </is>
      </c>
      <c r="B391" t="inlineStr">
        <is>
          <t>080701</t>
        </is>
      </c>
      <c r="C391" t="inlineStr">
        <is>
          <t>Créditos</t>
        </is>
      </c>
      <c r="D391" t="inlineStr">
        <is>
          <t>Miles S/</t>
        </is>
      </c>
      <c r="E391" s="11" t="n">
        <v>18571.2989</v>
      </c>
      <c r="F391" s="16" t="n">
        <v>18571.29889</v>
      </c>
    </row>
    <row r="392">
      <c r="A392" t="inlineStr">
        <is>
          <t>APLAO</t>
        </is>
      </c>
      <c r="B392" t="inlineStr">
        <is>
          <t>040401</t>
        </is>
      </c>
      <c r="C392" t="inlineStr">
        <is>
          <t>Créditos</t>
        </is>
      </c>
      <c r="D392" t="inlineStr">
        <is>
          <t>Miles S/</t>
        </is>
      </c>
      <c r="E392" s="11" t="n">
        <v>18418.8042</v>
      </c>
      <c r="F392" s="16" t="n">
        <v>18418.80419</v>
      </c>
    </row>
    <row r="393">
      <c r="A393" t="inlineStr">
        <is>
          <t>AZANGARO</t>
        </is>
      </c>
      <c r="B393" t="inlineStr">
        <is>
          <t>210201</t>
        </is>
      </c>
      <c r="C393" t="inlineStr">
        <is>
          <t>Créditos</t>
        </is>
      </c>
      <c r="D393" t="inlineStr">
        <is>
          <t>Miles S/</t>
        </is>
      </c>
      <c r="E393" s="11" t="n">
        <v>17980.7457</v>
      </c>
      <c r="F393" s="16" t="n">
        <v>17980.74575</v>
      </c>
    </row>
    <row r="394">
      <c r="A394" t="inlineStr">
        <is>
          <t>LA MOLINA</t>
        </is>
      </c>
      <c r="B394" t="inlineStr">
        <is>
          <t>150114</t>
        </is>
      </c>
      <c r="C394" t="inlineStr">
        <is>
          <t>Créditos</t>
        </is>
      </c>
      <c r="D394" t="inlineStr">
        <is>
          <t>Miles S/</t>
        </is>
      </c>
      <c r="E394" s="11" t="n">
        <v>17658.0907</v>
      </c>
      <c r="F394" s="16" t="n">
        <v>17658.09071</v>
      </c>
    </row>
    <row r="395">
      <c r="A395" t="inlineStr">
        <is>
          <t>PEDRO GALVEZ</t>
        </is>
      </c>
      <c r="B395" t="inlineStr">
        <is>
          <t>061001</t>
        </is>
      </c>
      <c r="C395" t="inlineStr">
        <is>
          <t>Créditos</t>
        </is>
      </c>
      <c r="D395" t="inlineStr">
        <is>
          <t>Miles S/</t>
        </is>
      </c>
      <c r="E395" s="11" t="n">
        <v>17631.6537</v>
      </c>
      <c r="F395" s="16" t="n">
        <v>17631.65374</v>
      </c>
    </row>
    <row r="396">
      <c r="A396" t="inlineStr">
        <is>
          <t>CHANCAY</t>
        </is>
      </c>
      <c r="B396" t="inlineStr">
        <is>
          <t>150605</t>
        </is>
      </c>
      <c r="C396" t="inlineStr">
        <is>
          <t>Créditos</t>
        </is>
      </c>
      <c r="D396" t="inlineStr">
        <is>
          <t>Miles S/</t>
        </is>
      </c>
      <c r="E396" s="11" t="n">
        <v>17103.4915</v>
      </c>
      <c r="F396" s="16" t="n">
        <v>17103.49153</v>
      </c>
    </row>
    <row r="397">
      <c r="A397" t="inlineStr">
        <is>
          <t>PUNTA DE BOMBON</t>
        </is>
      </c>
      <c r="B397" t="inlineStr">
        <is>
          <t>040706</t>
        </is>
      </c>
      <c r="C397" t="inlineStr">
        <is>
          <t>Créditos</t>
        </is>
      </c>
      <c r="D397" t="inlineStr">
        <is>
          <t>Miles S/</t>
        </is>
      </c>
      <c r="E397" s="11" t="n">
        <v>16142.3921</v>
      </c>
      <c r="F397" s="16" t="n">
        <v>16142.3921</v>
      </c>
    </row>
    <row r="398">
      <c r="A398" t="inlineStr">
        <is>
          <t>PARIÑAS</t>
        </is>
      </c>
      <c r="B398" t="inlineStr">
        <is>
          <t>200701</t>
        </is>
      </c>
      <c r="C398" t="inlineStr">
        <is>
          <t>Créditos</t>
        </is>
      </c>
      <c r="D398" t="inlineStr">
        <is>
          <t>Miles S/</t>
        </is>
      </c>
      <c r="E398" s="11" t="n">
        <v>15466.7217</v>
      </c>
      <c r="F398" s="16" t="n">
        <v>15466.72168</v>
      </c>
    </row>
    <row r="399">
      <c r="A399" t="inlineStr">
        <is>
          <t>SANTIAGO DE CHUCO</t>
        </is>
      </c>
      <c r="B399" t="inlineStr">
        <is>
          <t>131001</t>
        </is>
      </c>
      <c r="C399" t="inlineStr">
        <is>
          <t>Créditos</t>
        </is>
      </c>
      <c r="D399" t="inlineStr">
        <is>
          <t>Miles S/</t>
        </is>
      </c>
      <c r="E399" s="11" t="n">
        <v>15451.4377</v>
      </c>
      <c r="F399" s="16" t="n">
        <v>15451.43772</v>
      </c>
    </row>
    <row r="400">
      <c r="A400" t="inlineStr">
        <is>
          <t>PADRE ABAD</t>
        </is>
      </c>
      <c r="B400" t="inlineStr">
        <is>
          <t>250301</t>
        </is>
      </c>
      <c r="C400" t="inlineStr">
        <is>
          <t>Créditos</t>
        </is>
      </c>
      <c r="D400" t="inlineStr">
        <is>
          <t>Miles S/</t>
        </is>
      </c>
      <c r="E400" s="11" t="n">
        <v>14938.9437</v>
      </c>
      <c r="F400" s="16" t="n">
        <v>14938.94371</v>
      </c>
    </row>
    <row r="401">
      <c r="A401" t="inlineStr">
        <is>
          <t>SIHUAS</t>
        </is>
      </c>
      <c r="B401" t="inlineStr">
        <is>
          <t>021901</t>
        </is>
      </c>
      <c r="C401" t="inlineStr">
        <is>
          <t>Créditos</t>
        </is>
      </c>
      <c r="D401" t="inlineStr">
        <is>
          <t>Miles S/</t>
        </is>
      </c>
      <c r="E401" s="11" t="n">
        <v>14838.5726</v>
      </c>
      <c r="F401" s="16" t="n">
        <v>14838.57256</v>
      </c>
    </row>
    <row r="402">
      <c r="A402" t="inlineStr">
        <is>
          <t>SAN MIGUEL</t>
        </is>
      </c>
      <c r="B402" t="inlineStr">
        <is>
          <t>061101</t>
        </is>
      </c>
      <c r="C402" t="inlineStr">
        <is>
          <t>Créditos</t>
        </is>
      </c>
      <c r="D402" t="inlineStr">
        <is>
          <t>Miles S/</t>
        </is>
      </c>
      <c r="E402" s="11" t="n">
        <v>14837.9965</v>
      </c>
      <c r="F402" s="16" t="n">
        <v>14837.99652</v>
      </c>
    </row>
    <row r="403">
      <c r="A403" t="inlineStr">
        <is>
          <t>PATAPO</t>
        </is>
      </c>
      <c r="B403" t="inlineStr">
        <is>
          <t>140117</t>
        </is>
      </c>
      <c r="C403" t="inlineStr">
        <is>
          <t>Créditos</t>
        </is>
      </c>
      <c r="D403" t="inlineStr">
        <is>
          <t>Miles S/</t>
        </is>
      </c>
      <c r="E403" s="11" t="n">
        <v>14479.0705</v>
      </c>
      <c r="F403" s="16" t="n">
        <v>14479.07054</v>
      </c>
    </row>
    <row r="404">
      <c r="A404" t="inlineStr">
        <is>
          <t>RECUAY</t>
        </is>
      </c>
      <c r="B404" t="inlineStr">
        <is>
          <t>021701</t>
        </is>
      </c>
      <c r="C404" t="inlineStr">
        <is>
          <t>Créditos</t>
        </is>
      </c>
      <c r="D404" t="inlineStr">
        <is>
          <t>Miles S/</t>
        </is>
      </c>
      <c r="E404" s="11" t="n">
        <v>14134.9734</v>
      </c>
      <c r="F404" s="16" t="n">
        <v>14134.9734</v>
      </c>
    </row>
    <row r="405">
      <c r="A405" t="inlineStr">
        <is>
          <t>PAIMAS</t>
        </is>
      </c>
      <c r="B405" t="inlineStr">
        <is>
          <t>200207</t>
        </is>
      </c>
      <c r="C405" t="inlineStr">
        <is>
          <t>Créditos</t>
        </is>
      </c>
      <c r="D405" t="inlineStr">
        <is>
          <t>Miles S/</t>
        </is>
      </c>
      <c r="E405" s="11" t="n">
        <v>14012.4708</v>
      </c>
      <c r="F405" s="16" t="n">
        <v>14012.47075</v>
      </c>
    </row>
    <row r="406">
      <c r="A406" t="inlineStr">
        <is>
          <t>IGNACIO ESCUDERO</t>
        </is>
      </c>
      <c r="B406" t="inlineStr">
        <is>
          <t>200603</t>
        </is>
      </c>
      <c r="C406" t="inlineStr">
        <is>
          <t>Créditos</t>
        </is>
      </c>
      <c r="D406" t="inlineStr">
        <is>
          <t>Miles S/</t>
        </is>
      </c>
      <c r="E406" s="11" t="n">
        <v>13548.3799</v>
      </c>
      <c r="F406" s="16" t="n">
        <v>13548.37988</v>
      </c>
    </row>
    <row r="407">
      <c r="A407" t="inlineStr">
        <is>
          <t>CALCA</t>
        </is>
      </c>
      <c r="B407" t="inlineStr">
        <is>
          <t>080401</t>
        </is>
      </c>
      <c r="C407" t="inlineStr">
        <is>
          <t>Créditos</t>
        </is>
      </c>
      <c r="D407" t="inlineStr">
        <is>
          <t>Miles S/</t>
        </is>
      </c>
      <c r="E407" s="11" t="n">
        <v>13243.7636</v>
      </c>
      <c r="F407" s="16" t="n">
        <v>13243.7636</v>
      </c>
    </row>
    <row r="408">
      <c r="A408" t="inlineStr">
        <is>
          <t>SANTA CRUZ</t>
        </is>
      </c>
      <c r="B408" t="inlineStr">
        <is>
          <t>061301</t>
        </is>
      </c>
      <c r="C408" t="inlineStr">
        <is>
          <t>Créditos</t>
        </is>
      </c>
      <c r="D408" t="inlineStr">
        <is>
          <t>Miles S/</t>
        </is>
      </c>
      <c r="E408" s="11" t="n">
        <v>12895.5177</v>
      </c>
      <c r="F408" s="16" t="n">
        <v>12895.51773</v>
      </c>
    </row>
    <row r="409">
      <c r="A409" t="inlineStr">
        <is>
          <t>PAUCARA</t>
        </is>
      </c>
      <c r="B409" t="inlineStr">
        <is>
          <t>090206</t>
        </is>
      </c>
      <c r="C409" t="inlineStr">
        <is>
          <t>Créditos</t>
        </is>
      </c>
      <c r="D409" t="inlineStr">
        <is>
          <t>Miles S/</t>
        </is>
      </c>
      <c r="E409" s="11" t="n">
        <v>11702.9795</v>
      </c>
      <c r="F409" s="16" t="n">
        <v>11702.97948</v>
      </c>
    </row>
    <row r="410">
      <c r="A410" t="inlineStr">
        <is>
          <t>OYOTUN</t>
        </is>
      </c>
      <c r="B410" t="inlineStr">
        <is>
          <t>140110</t>
        </is>
      </c>
      <c r="C410" t="inlineStr">
        <is>
          <t>Créditos</t>
        </is>
      </c>
      <c r="D410" t="inlineStr">
        <is>
          <t>Miles S/</t>
        </is>
      </c>
      <c r="E410" s="11" t="n">
        <v>8331.190500000001</v>
      </c>
      <c r="F410" s="16" t="n">
        <v>8331.190549999999</v>
      </c>
    </row>
    <row r="411">
      <c r="A411" t="inlineStr">
        <is>
          <t>ZORRITOS</t>
        </is>
      </c>
      <c r="B411" t="inlineStr">
        <is>
          <t>240201</t>
        </is>
      </c>
      <c r="C411" t="inlineStr">
        <is>
          <t>Créditos</t>
        </is>
      </c>
      <c r="D411" t="inlineStr">
        <is>
          <t>Miles S/</t>
        </is>
      </c>
      <c r="E411" s="11" t="n">
        <v>7684.8588</v>
      </c>
      <c r="F411" s="16" t="n">
        <v>7684.8588</v>
      </c>
    </row>
    <row r="412">
      <c r="A412" t="inlineStr">
        <is>
          <t>LA MATANZA</t>
        </is>
      </c>
      <c r="B412" t="inlineStr">
        <is>
          <t>200404</t>
        </is>
      </c>
      <c r="C412" t="inlineStr">
        <is>
          <t>Créditos</t>
        </is>
      </c>
      <c r="D412" t="inlineStr">
        <is>
          <t>Miles S/</t>
        </is>
      </c>
      <c r="E412" s="11" t="n">
        <v>7572.2407</v>
      </c>
      <c r="F412" s="16" t="n">
        <v>7572.24073</v>
      </c>
    </row>
    <row r="413">
      <c r="A413" t="inlineStr">
        <is>
          <t>SAN PABLO</t>
        </is>
      </c>
      <c r="B413" t="inlineStr">
        <is>
          <t>061201</t>
        </is>
      </c>
      <c r="C413" t="inlineStr">
        <is>
          <t>Créditos</t>
        </is>
      </c>
      <c r="D413" t="inlineStr">
        <is>
          <t>Miles S/</t>
        </is>
      </c>
      <c r="E413" s="11" t="n">
        <v>6884.1062</v>
      </c>
      <c r="F413" s="16" t="n">
        <v>6884.10622</v>
      </c>
    </row>
    <row r="414">
      <c r="A414" t="inlineStr">
        <is>
          <t>ECHARATE</t>
        </is>
      </c>
      <c r="B414" t="inlineStr">
        <is>
          <t>080902</t>
        </is>
      </c>
      <c r="C414" t="inlineStr">
        <is>
          <t>Créditos</t>
        </is>
      </c>
      <c r="D414" t="inlineStr">
        <is>
          <t>Miles S/</t>
        </is>
      </c>
      <c r="E414" s="11" t="n">
        <v>6749.6646</v>
      </c>
      <c r="F414" s="16" t="n">
        <v>6749.6646</v>
      </c>
    </row>
    <row r="415">
      <c r="A415" t="inlineStr">
        <is>
          <t>TAMBO</t>
        </is>
      </c>
      <c r="B415" t="inlineStr">
        <is>
          <t>050508</t>
        </is>
      </c>
      <c r="C415" t="inlineStr">
        <is>
          <t>Créditos</t>
        </is>
      </c>
      <c r="D415" t="inlineStr">
        <is>
          <t>Miles S/</t>
        </is>
      </c>
      <c r="E415" s="11" t="n">
        <v>6618.2703</v>
      </c>
      <c r="F415" s="16" t="n">
        <v>6618.27035</v>
      </c>
    </row>
    <row r="416">
      <c r="A416" t="inlineStr">
        <is>
          <t>SAN JOSE DE SISA</t>
        </is>
      </c>
      <c r="B416" t="inlineStr">
        <is>
          <t>220301</t>
        </is>
      </c>
      <c r="C416" t="inlineStr">
        <is>
          <t>Créditos</t>
        </is>
      </c>
      <c r="D416" t="inlineStr">
        <is>
          <t>Miles S/</t>
        </is>
      </c>
      <c r="E416" s="11" t="n">
        <v>6552.0631</v>
      </c>
      <c r="F416" s="16" t="n">
        <v>6552.06315</v>
      </c>
    </row>
    <row r="417">
      <c r="A417" t="inlineStr">
        <is>
          <t>TONGOD</t>
        </is>
      </c>
      <c r="B417" t="inlineStr">
        <is>
          <t>061112</t>
        </is>
      </c>
      <c r="C417" t="inlineStr">
        <is>
          <t>Créditos</t>
        </is>
      </c>
      <c r="D417" t="inlineStr">
        <is>
          <t>Miles S/</t>
        </is>
      </c>
      <c r="E417" s="11" t="n">
        <v>6473.9048</v>
      </c>
      <c r="F417" s="16" t="n">
        <v>6473.9048</v>
      </c>
    </row>
    <row r="418">
      <c r="A418" t="inlineStr">
        <is>
          <t>SAN MARCOS</t>
        </is>
      </c>
      <c r="B418" t="inlineStr">
        <is>
          <t>021014</t>
        </is>
      </c>
      <c r="C418" t="inlineStr">
        <is>
          <t>Créditos</t>
        </is>
      </c>
      <c r="D418" t="inlineStr">
        <is>
          <t>Miles S/</t>
        </is>
      </c>
      <c r="E418" s="11" t="n">
        <v>5958.1778</v>
      </c>
      <c r="F418" s="16" t="n">
        <v>5958.17784</v>
      </c>
    </row>
    <row r="419">
      <c r="A419" t="inlineStr">
        <is>
          <t>TACABAMBA</t>
        </is>
      </c>
      <c r="B419" t="inlineStr">
        <is>
          <t>060417</t>
        </is>
      </c>
      <c r="C419" t="inlineStr">
        <is>
          <t>Créditos</t>
        </is>
      </c>
      <c r="D419" t="inlineStr">
        <is>
          <t>Miles S/</t>
        </is>
      </c>
      <c r="E419" s="11" t="n">
        <v>5886.918</v>
      </c>
      <c r="F419" s="16" t="n">
        <v>5886.91795</v>
      </c>
    </row>
    <row r="420">
      <c r="A420" t="inlineStr">
        <is>
          <t>CHIQUIAN</t>
        </is>
      </c>
      <c r="B420" t="inlineStr">
        <is>
          <t>020501</t>
        </is>
      </c>
      <c r="C420" t="inlineStr">
        <is>
          <t>Créditos</t>
        </is>
      </c>
      <c r="D420" t="inlineStr">
        <is>
          <t>Miles S/</t>
        </is>
      </c>
      <c r="E420" s="11" t="n">
        <v>5705.9061</v>
      </c>
      <c r="F420" s="16" t="n">
        <v>5705.90608</v>
      </c>
    </row>
    <row r="421">
      <c r="A421" t="inlineStr">
        <is>
          <t>COLAN</t>
        </is>
      </c>
      <c r="B421" t="inlineStr">
        <is>
          <t>200504</t>
        </is>
      </c>
      <c r="C421" t="inlineStr">
        <is>
          <t>Créditos</t>
        </is>
      </c>
      <c r="D421" t="inlineStr">
        <is>
          <t>Miles S/</t>
        </is>
      </c>
      <c r="E421" s="11" t="n">
        <v>5440.794</v>
      </c>
      <c r="F421" s="16" t="n">
        <v>5440.79397</v>
      </c>
    </row>
    <row r="422">
      <c r="A422" t="inlineStr">
        <is>
          <t>SAPOSOA</t>
        </is>
      </c>
      <c r="B422" t="inlineStr">
        <is>
          <t>220401</t>
        </is>
      </c>
      <c r="C422" t="inlineStr">
        <is>
          <t>Créditos</t>
        </is>
      </c>
      <c r="D422" t="inlineStr">
        <is>
          <t>Miles S/</t>
        </is>
      </c>
      <c r="E422" s="11" t="n">
        <v>5391.3974</v>
      </c>
      <c r="F422" s="16" t="n">
        <v>5391.39736</v>
      </c>
    </row>
    <row r="423">
      <c r="A423" t="inlineStr">
        <is>
          <t>POMACANCHI</t>
        </is>
      </c>
      <c r="B423" t="inlineStr">
        <is>
          <t>080205</t>
        </is>
      </c>
      <c r="C423" t="inlineStr">
        <is>
          <t>Créditos</t>
        </is>
      </c>
      <c r="D423" t="inlineStr">
        <is>
          <t>Miles S/</t>
        </is>
      </c>
      <c r="E423" s="11" t="n">
        <v>5313.3544</v>
      </c>
      <c r="F423" s="16" t="n">
        <v>5313.35443</v>
      </c>
    </row>
    <row r="424">
      <c r="A424" t="inlineStr">
        <is>
          <t>PACCHA</t>
        </is>
      </c>
      <c r="B424" t="inlineStr">
        <is>
          <t>060413</t>
        </is>
      </c>
      <c r="C424" t="inlineStr">
        <is>
          <t>Créditos</t>
        </is>
      </c>
      <c r="D424" t="inlineStr">
        <is>
          <t>Miles S/</t>
        </is>
      </c>
      <c r="E424" s="11" t="n">
        <v>4940.8993</v>
      </c>
      <c r="F424" s="16" t="n">
        <v>4940.89935</v>
      </c>
    </row>
    <row r="425">
      <c r="A425" t="inlineStr">
        <is>
          <t>HUAYOPATA</t>
        </is>
      </c>
      <c r="B425" t="inlineStr">
        <is>
          <t>080903</t>
        </is>
      </c>
      <c r="C425" t="inlineStr">
        <is>
          <t>Créditos</t>
        </is>
      </c>
      <c r="D425" t="inlineStr">
        <is>
          <t>Miles S/</t>
        </is>
      </c>
      <c r="E425" s="11" t="n">
        <v>3800.3593</v>
      </c>
      <c r="F425" s="16" t="n">
        <v>3800.35931</v>
      </c>
    </row>
    <row r="426">
      <c r="A426" t="inlineStr">
        <is>
          <t>POMABAMBA</t>
        </is>
      </c>
      <c r="B426" t="inlineStr">
        <is>
          <t>021601</t>
        </is>
      </c>
      <c r="C426" t="inlineStr">
        <is>
          <t>Créditos</t>
        </is>
      </c>
      <c r="D426" t="inlineStr">
        <is>
          <t>Miles S/</t>
        </is>
      </c>
      <c r="E426" s="11" t="n">
        <v>3738.4109</v>
      </c>
      <c r="F426" s="16" t="n">
        <v>3738.41092</v>
      </c>
    </row>
    <row r="427">
      <c r="A427" t="inlineStr">
        <is>
          <t>PAUCARTAMBO</t>
        </is>
      </c>
      <c r="B427" t="inlineStr">
        <is>
          <t>081101</t>
        </is>
      </c>
      <c r="C427" t="inlineStr">
        <is>
          <t>Créditos</t>
        </is>
      </c>
      <c r="D427" t="inlineStr">
        <is>
          <t>Miles S/</t>
        </is>
      </c>
      <c r="E427" s="11" t="n">
        <v>3523.7831</v>
      </c>
      <c r="F427" s="16" t="n">
        <v>3523.78309</v>
      </c>
    </row>
    <row r="428">
      <c r="A428" t="inlineStr">
        <is>
          <t>SOROCHUCO</t>
        </is>
      </c>
      <c r="B428" t="inlineStr">
        <is>
          <t>060309</t>
        </is>
      </c>
      <c r="C428" t="inlineStr">
        <is>
          <t>Créditos</t>
        </is>
      </c>
      <c r="D428" t="inlineStr">
        <is>
          <t>Miles S/</t>
        </is>
      </c>
      <c r="E428" s="11" t="n">
        <v>2930.1461</v>
      </c>
      <c r="F428" s="16" t="n">
        <v>2930.14611</v>
      </c>
    </row>
    <row r="429">
      <c r="A429" t="inlineStr">
        <is>
          <t>CANGALLO</t>
        </is>
      </c>
      <c r="B429" t="inlineStr">
        <is>
          <t>050201</t>
        </is>
      </c>
      <c r="C429" t="inlineStr">
        <is>
          <t>Créditos</t>
        </is>
      </c>
      <c r="D429" t="inlineStr">
        <is>
          <t>Miles S/</t>
        </is>
      </c>
      <c r="E429" s="11" t="n">
        <v>2491.6728</v>
      </c>
      <c r="F429" s="16" t="n">
        <v>2491.67283</v>
      </c>
    </row>
    <row r="430">
      <c r="A430" t="inlineStr">
        <is>
          <t>PAMPACOLCA</t>
        </is>
      </c>
      <c r="B430" t="inlineStr">
        <is>
          <t>040410</t>
        </is>
      </c>
      <c r="C430" t="inlineStr">
        <is>
          <t>Créditos</t>
        </is>
      </c>
      <c r="D430" t="inlineStr">
        <is>
          <t>Miles S/</t>
        </is>
      </c>
      <c r="E430" s="11" t="n">
        <v>2212.8083</v>
      </c>
      <c r="F430" s="16" t="n">
        <v>2212.80827</v>
      </c>
    </row>
    <row r="431">
      <c r="A431" t="inlineStr">
        <is>
          <t>CURAHUASI</t>
        </is>
      </c>
      <c r="B431" t="inlineStr">
        <is>
          <t>030104</t>
        </is>
      </c>
      <c r="C431" t="inlineStr">
        <is>
          <t>Créditos</t>
        </is>
      </c>
      <c r="D431" t="inlineStr">
        <is>
          <t>Miles S/</t>
        </is>
      </c>
      <c r="E431" s="11" t="n">
        <v>2196.0101</v>
      </c>
      <c r="F431" s="16" t="n">
        <v>2196.01011</v>
      </c>
    </row>
    <row r="432">
      <c r="A432" t="inlineStr">
        <is>
          <t>ACOMAYO</t>
        </is>
      </c>
      <c r="B432" t="inlineStr">
        <is>
          <t>080201</t>
        </is>
      </c>
      <c r="C432" t="inlineStr">
        <is>
          <t>Créditos</t>
        </is>
      </c>
      <c r="D432" t="inlineStr">
        <is>
          <t>Miles S/</t>
        </is>
      </c>
      <c r="E432" s="11" t="n">
        <v>2039.7992</v>
      </c>
      <c r="F432" s="16" t="n">
        <v>2039.79919</v>
      </c>
    </row>
    <row r="433">
      <c r="A433" t="inlineStr">
        <is>
          <t>HUANCARAMA</t>
        </is>
      </c>
      <c r="B433" t="inlineStr">
        <is>
          <t>030204</t>
        </is>
      </c>
      <c r="C433" t="inlineStr">
        <is>
          <t>Créditos</t>
        </is>
      </c>
      <c r="D433" t="inlineStr">
        <is>
          <t>Miles S/</t>
        </is>
      </c>
      <c r="E433" s="11" t="n">
        <v>1876.8602</v>
      </c>
      <c r="F433" s="16" t="n">
        <v>1876.86024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8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Banco de Crédito del Perú — Créditos colocados por distrito y exposición asignada</t>
        </is>
      </c>
    </row>
    <row r="2">
      <c r="A2" s="2" t="inlineStr">
        <is>
          <t>Créditos colocados total: 122,025,524.11 Miles S/   ·   Exposición en cartera: S/ 350,985,963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LIMA</t>
        </is>
      </c>
      <c r="D5" t="inlineStr">
        <is>
          <t>150101</t>
        </is>
      </c>
      <c r="E5" t="inlineStr">
        <is>
          <t>—</t>
        </is>
      </c>
      <c r="F5" s="11" t="n">
        <v>60014041.712</v>
      </c>
      <c r="G5" s="6">
        <f>IF($F$141=0,0,F5/$F$141)</f>
        <v/>
      </c>
      <c r="H5" s="5" t="n">
        <v>145001077.16</v>
      </c>
      <c r="I5" t="n">
        <v>2</v>
      </c>
      <c r="J5" t="n">
        <v>4</v>
      </c>
      <c r="L5" s="5" t="n">
        <v>435003231.47</v>
      </c>
    </row>
    <row r="6">
      <c r="A6" t="inlineStr">
        <is>
          <t>LIMA</t>
        </is>
      </c>
      <c r="B6" t="inlineStr">
        <is>
          <t>LIMA</t>
        </is>
      </c>
      <c r="C6" t="inlineStr">
        <is>
          <t>SAN ISIDRO</t>
        </is>
      </c>
      <c r="D6" t="inlineStr">
        <is>
          <t>150131</t>
        </is>
      </c>
      <c r="E6" t="inlineStr">
        <is>
          <t>—</t>
        </is>
      </c>
      <c r="F6" s="11" t="n">
        <v>29188857.5936</v>
      </c>
      <c r="G6" s="6">
        <f>IF($F$141=0,0,F6/$F$141)</f>
        <v/>
      </c>
      <c r="H6" s="5" t="n">
        <v>70523758.63</v>
      </c>
      <c r="I6" t="n">
        <v>1</v>
      </c>
      <c r="J6" t="n">
        <v>4</v>
      </c>
      <c r="L6" s="5" t="n">
        <v>176309396.57</v>
      </c>
    </row>
    <row r="7">
      <c r="A7" t="inlineStr">
        <is>
          <t>LIMA</t>
        </is>
      </c>
      <c r="B7" t="inlineStr">
        <is>
          <t>LIMA</t>
        </is>
      </c>
      <c r="C7" t="inlineStr">
        <is>
          <t>MIRAFLORES</t>
        </is>
      </c>
      <c r="D7" t="inlineStr">
        <is>
          <t>150122</t>
        </is>
      </c>
      <c r="E7" t="inlineStr">
        <is>
          <t>—</t>
        </is>
      </c>
      <c r="F7" s="11" t="n">
        <v>11670134.8109</v>
      </c>
      <c r="G7" s="6">
        <f>IF($F$141=0,0,F7/$F$141)</f>
        <v/>
      </c>
      <c r="H7" s="5" t="n">
        <v>28196436.53</v>
      </c>
      <c r="I7" t="n">
        <v>2</v>
      </c>
      <c r="J7" t="n">
        <v>4</v>
      </c>
      <c r="L7" s="5" t="n">
        <v>84589309.59999999</v>
      </c>
    </row>
    <row r="8">
      <c r="A8" t="inlineStr">
        <is>
          <t>AREQUIPA</t>
        </is>
      </c>
      <c r="B8" t="inlineStr">
        <is>
          <t>AREQUIPA</t>
        </is>
      </c>
      <c r="C8" t="inlineStr">
        <is>
          <t>AREQUIPA</t>
        </is>
      </c>
      <c r="D8" t="inlineStr">
        <is>
          <t>040101</t>
        </is>
      </c>
      <c r="E8" t="inlineStr">
        <is>
          <t>—</t>
        </is>
      </c>
      <c r="F8" s="11" t="n">
        <v>3365415.7169</v>
      </c>
      <c r="G8" s="6">
        <f>IF($F$141=0,0,F8/$F$141)</f>
        <v/>
      </c>
      <c r="H8" s="5" t="n">
        <v>8131245.46</v>
      </c>
      <c r="I8" t="n">
        <v>2</v>
      </c>
      <c r="J8" t="n">
        <v>5</v>
      </c>
      <c r="L8" s="5" t="n">
        <v>28459359.1</v>
      </c>
    </row>
    <row r="9">
      <c r="A9" t="inlineStr">
        <is>
          <t>CALLAO</t>
        </is>
      </c>
      <c r="B9" t="inlineStr">
        <is>
          <t>CALLAO</t>
        </is>
      </c>
      <c r="C9" t="inlineStr">
        <is>
          <t>LA PUNTA</t>
        </is>
      </c>
      <c r="D9" t="inlineStr">
        <is>
          <t>070105</t>
        </is>
      </c>
      <c r="E9" t="inlineStr">
        <is>
          <t>—</t>
        </is>
      </c>
      <c r="F9" s="11" t="n">
        <v>2838844.6067</v>
      </c>
      <c r="G9" s="6">
        <f>IF($F$141=0,0,F9/$F$141)</f>
        <v/>
      </c>
      <c r="H9" s="5" t="n">
        <v>6858986.9</v>
      </c>
      <c r="I9" t="n">
        <v>1</v>
      </c>
      <c r="J9" t="n">
        <v>4</v>
      </c>
      <c r="L9" s="5" t="n">
        <v>17147467.25</v>
      </c>
    </row>
    <row r="10">
      <c r="A10" t="inlineStr">
        <is>
          <t>LA LIBERTAD</t>
        </is>
      </c>
      <c r="B10" t="inlineStr">
        <is>
          <t>TRUJILLO</t>
        </is>
      </c>
      <c r="C10" t="inlineStr">
        <is>
          <t>TRUJILLO</t>
        </is>
      </c>
      <c r="D10" t="inlineStr">
        <is>
          <t>130101</t>
        </is>
      </c>
      <c r="E10" t="inlineStr">
        <is>
          <t>—</t>
        </is>
      </c>
      <c r="F10" s="11" t="n">
        <v>2428982.0782</v>
      </c>
      <c r="G10" s="6">
        <f>IF($F$141=0,0,F10/$F$141)</f>
        <v/>
      </c>
      <c r="H10" s="5" t="n">
        <v>5868710.18</v>
      </c>
      <c r="I10" t="n">
        <v>1</v>
      </c>
      <c r="J10" t="n">
        <v>5</v>
      </c>
      <c r="L10" s="5" t="n">
        <v>17606130.55</v>
      </c>
    </row>
    <row r="11">
      <c r="A11" t="inlineStr">
        <is>
          <t>LAMBAYEQUE</t>
        </is>
      </c>
      <c r="B11" t="inlineStr">
        <is>
          <t>CHICLAYO</t>
        </is>
      </c>
      <c r="C11" t="inlineStr">
        <is>
          <t>CHICLAYO</t>
        </is>
      </c>
      <c r="D11" t="inlineStr">
        <is>
          <t>140101</t>
        </is>
      </c>
      <c r="E11" t="inlineStr">
        <is>
          <t>—</t>
        </is>
      </c>
      <c r="F11" s="11" t="n">
        <v>1404839.5513</v>
      </c>
      <c r="G11" s="6">
        <f>IF($F$141=0,0,F11/$F$141)</f>
        <v/>
      </c>
      <c r="H11" s="5" t="n">
        <v>3394259.78</v>
      </c>
      <c r="I11" t="n">
        <v>1</v>
      </c>
      <c r="J11" t="n">
        <v>4</v>
      </c>
      <c r="L11" s="5" t="n">
        <v>8485649.460000001</v>
      </c>
    </row>
    <row r="12">
      <c r="A12" t="inlineStr">
        <is>
          <t>PIURA</t>
        </is>
      </c>
      <c r="B12" t="inlineStr">
        <is>
          <t>PIURA</t>
        </is>
      </c>
      <c r="C12" t="inlineStr">
        <is>
          <t>PIURA</t>
        </is>
      </c>
      <c r="D12" t="inlineStr">
        <is>
          <t>200101</t>
        </is>
      </c>
      <c r="E12" t="inlineStr">
        <is>
          <t>—</t>
        </is>
      </c>
      <c r="F12" s="11" t="n">
        <v>993898.7248</v>
      </c>
      <c r="G12" s="6">
        <f>IF($F$141=0,0,F12/$F$141)</f>
        <v/>
      </c>
      <c r="H12" s="5" t="n">
        <v>2401377.77</v>
      </c>
      <c r="I12" t="n">
        <v>1</v>
      </c>
      <c r="J12" t="n">
        <v>5</v>
      </c>
      <c r="L12" s="5" t="n">
        <v>7204133.31</v>
      </c>
    </row>
    <row r="13">
      <c r="A13" t="inlineStr">
        <is>
          <t>CUSCO</t>
        </is>
      </c>
      <c r="B13" t="inlineStr">
        <is>
          <t>CUSCO</t>
        </is>
      </c>
      <c r="C13" t="inlineStr">
        <is>
          <t>CUSCO</t>
        </is>
      </c>
      <c r="D13" t="inlineStr">
        <is>
          <t>080101</t>
        </is>
      </c>
      <c r="E13" t="inlineStr">
        <is>
          <t>—</t>
        </is>
      </c>
      <c r="F13" s="11" t="n">
        <v>692264.577</v>
      </c>
      <c r="G13" s="6">
        <f>IF($F$141=0,0,F13/$F$141)</f>
        <v/>
      </c>
      <c r="H13" s="5" t="n">
        <v>1672593.72</v>
      </c>
      <c r="I13" t="n">
        <v>4</v>
      </c>
      <c r="J13" t="n">
        <v>2</v>
      </c>
      <c r="K13" t="n">
        <v>3</v>
      </c>
      <c r="L13" s="5" t="n">
        <v>5017781.16</v>
      </c>
    </row>
    <row r="14">
      <c r="A14" t="inlineStr">
        <is>
          <t>ICA</t>
        </is>
      </c>
      <c r="B14" t="inlineStr">
        <is>
          <t>ICA</t>
        </is>
      </c>
      <c r="C14" t="inlineStr">
        <is>
          <t>ICA</t>
        </is>
      </c>
      <c r="D14" t="inlineStr">
        <is>
          <t>110101</t>
        </is>
      </c>
      <c r="E14" t="inlineStr">
        <is>
          <t>—</t>
        </is>
      </c>
      <c r="F14" s="11" t="n">
        <v>582697.3724</v>
      </c>
      <c r="G14" s="6">
        <f>IF($F$141=0,0,F14/$F$141)</f>
        <v/>
      </c>
      <c r="H14" s="5" t="n">
        <v>1407866.3</v>
      </c>
      <c r="I14" t="n">
        <v>1</v>
      </c>
      <c r="J14" t="n">
        <v>5</v>
      </c>
      <c r="L14" s="5" t="n">
        <v>4223598.89</v>
      </c>
    </row>
    <row r="15">
      <c r="A15" t="inlineStr">
        <is>
          <t>JUNIN</t>
        </is>
      </c>
      <c r="B15" t="inlineStr">
        <is>
          <t>HUANCAYO</t>
        </is>
      </c>
      <c r="C15" t="inlineStr">
        <is>
          <t>HUANCAYO</t>
        </is>
      </c>
      <c r="D15" t="inlineStr">
        <is>
          <t>120101</t>
        </is>
      </c>
      <c r="E15" t="inlineStr">
        <is>
          <t>—</t>
        </is>
      </c>
      <c r="F15" s="11" t="n">
        <v>559951.59</v>
      </c>
      <c r="G15" s="6">
        <f>IF($F$141=0,0,F15/$F$141)</f>
        <v/>
      </c>
      <c r="H15" s="5" t="n">
        <v>1352909.78</v>
      </c>
      <c r="I15" t="n">
        <v>4</v>
      </c>
      <c r="J15" t="n">
        <v>2</v>
      </c>
      <c r="K15" t="n">
        <v>3</v>
      </c>
      <c r="L15" s="5" t="n">
        <v>4058729.33</v>
      </c>
    </row>
    <row r="16">
      <c r="A16" t="inlineStr">
        <is>
          <t>ANCASH</t>
        </is>
      </c>
      <c r="B16" t="inlineStr">
        <is>
          <t>SANTA</t>
        </is>
      </c>
      <c r="C16" t="inlineStr">
        <is>
          <t>CHIMBOTE</t>
        </is>
      </c>
      <c r="D16" t="inlineStr">
        <is>
          <t>021801</t>
        </is>
      </c>
      <c r="E16" t="inlineStr">
        <is>
          <t>—</t>
        </is>
      </c>
      <c r="F16" s="11" t="n">
        <v>486068.3882</v>
      </c>
      <c r="G16" s="6">
        <f>IF($F$141=0,0,F16/$F$141)</f>
        <v/>
      </c>
      <c r="H16" s="5" t="n">
        <v>1174399.15</v>
      </c>
      <c r="I16" t="n">
        <v>5</v>
      </c>
      <c r="J16" t="n">
        <v>4</v>
      </c>
      <c r="K16" t="n">
        <v>3</v>
      </c>
      <c r="L16" s="5" t="n">
        <v>4697596.62</v>
      </c>
    </row>
    <row r="17">
      <c r="A17" t="inlineStr">
        <is>
          <t>LORETO</t>
        </is>
      </c>
      <c r="B17" t="inlineStr">
        <is>
          <t>MAYNAS</t>
        </is>
      </c>
      <c r="C17" t="inlineStr">
        <is>
          <t>IQUITOS</t>
        </is>
      </c>
      <c r="D17" t="inlineStr">
        <is>
          <t>160101</t>
        </is>
      </c>
      <c r="E17" t="inlineStr">
        <is>
          <t>—</t>
        </is>
      </c>
      <c r="F17" s="11" t="n">
        <v>454278.7631</v>
      </c>
      <c r="G17" s="6">
        <f>IF($F$141=0,0,F17/$F$141)</f>
        <v/>
      </c>
      <c r="H17" s="5" t="n">
        <v>1097591.63</v>
      </c>
      <c r="I17" t="n">
        <v>3</v>
      </c>
      <c r="J17" t="n">
        <v>4</v>
      </c>
      <c r="K17" t="n">
        <v>2</v>
      </c>
      <c r="L17" s="5" t="n">
        <v>3292774.9</v>
      </c>
    </row>
    <row r="18">
      <c r="A18" t="inlineStr">
        <is>
          <t>ICA</t>
        </is>
      </c>
      <c r="B18" t="inlineStr">
        <is>
          <t>CHINCHA</t>
        </is>
      </c>
      <c r="C18" t="inlineStr">
        <is>
          <t>CHINCHA ALTA</t>
        </is>
      </c>
      <c r="D18" t="inlineStr">
        <is>
          <t>110201</t>
        </is>
      </c>
      <c r="E18" t="inlineStr">
        <is>
          <t>—</t>
        </is>
      </c>
      <c r="F18" s="11" t="n">
        <v>440459.6495</v>
      </c>
      <c r="G18" s="6">
        <f>IF($F$141=0,0,F18/$F$141)</f>
        <v/>
      </c>
      <c r="H18" s="5" t="n">
        <v>1064203.01</v>
      </c>
      <c r="I18" t="n">
        <v>4</v>
      </c>
      <c r="J18" t="n">
        <v>4</v>
      </c>
      <c r="L18" s="5" t="n">
        <v>4256812.03</v>
      </c>
    </row>
    <row r="19">
      <c r="A19" t="inlineStr">
        <is>
          <t>CAJAMARCA</t>
        </is>
      </c>
      <c r="B19" t="inlineStr">
        <is>
          <t>CAJAMARCA</t>
        </is>
      </c>
      <c r="C19" t="inlineStr">
        <is>
          <t>CAJAMARCA</t>
        </is>
      </c>
      <c r="D19" t="inlineStr">
        <is>
          <t>060101</t>
        </is>
      </c>
      <c r="E19" t="inlineStr">
        <is>
          <t>—</t>
        </is>
      </c>
      <c r="F19" s="11" t="n">
        <v>434259.6422</v>
      </c>
      <c r="G19" s="6">
        <f>IF($F$141=0,0,F19/$F$141)</f>
        <v/>
      </c>
      <c r="H19" s="5" t="n">
        <v>1049223.05</v>
      </c>
      <c r="I19" t="n">
        <v>4</v>
      </c>
      <c r="J19" t="n">
        <v>4</v>
      </c>
      <c r="K19" t="n">
        <v>3</v>
      </c>
      <c r="L19" s="5" t="n">
        <v>3847151.18</v>
      </c>
    </row>
    <row r="20">
      <c r="A20" t="inlineStr">
        <is>
          <t>TACNA</t>
        </is>
      </c>
      <c r="B20" t="inlineStr">
        <is>
          <t>TACNA</t>
        </is>
      </c>
      <c r="C20" t="inlineStr">
        <is>
          <t>TACNA</t>
        </is>
      </c>
      <c r="D20" t="inlineStr">
        <is>
          <t>230101</t>
        </is>
      </c>
      <c r="E20" t="inlineStr">
        <is>
          <t>—</t>
        </is>
      </c>
      <c r="F20" s="11" t="n">
        <v>422786.6288</v>
      </c>
      <c r="G20" s="6">
        <f>IF($F$141=0,0,F20/$F$141)</f>
        <v/>
      </c>
      <c r="H20" s="5" t="n">
        <v>1021502.88</v>
      </c>
      <c r="I20" t="n">
        <v>3</v>
      </c>
      <c r="J20" t="n">
        <v>3</v>
      </c>
      <c r="L20" s="5" t="n">
        <v>3064508.65</v>
      </c>
    </row>
    <row r="21">
      <c r="A21" t="inlineStr">
        <is>
          <t>SAN MARTIN</t>
        </is>
      </c>
      <c r="B21" t="inlineStr">
        <is>
          <t>SAN MARTIN</t>
        </is>
      </c>
      <c r="C21" t="inlineStr">
        <is>
          <t>TARAPOTO</t>
        </is>
      </c>
      <c r="D21" t="inlineStr">
        <is>
          <t>220901</t>
        </is>
      </c>
      <c r="E21" t="inlineStr">
        <is>
          <t>—</t>
        </is>
      </c>
      <c r="F21" s="11" t="n">
        <v>379011.9598</v>
      </c>
      <c r="G21" s="6">
        <f>IF($F$141=0,0,F21/$F$141)</f>
        <v/>
      </c>
      <c r="H21" s="5" t="n">
        <v>915738.0699999999</v>
      </c>
      <c r="I21" t="n">
        <v>4</v>
      </c>
      <c r="J21" t="n">
        <v>4</v>
      </c>
      <c r="K21" t="n">
        <v>2</v>
      </c>
      <c r="L21" s="5" t="n">
        <v>3052460.22</v>
      </c>
    </row>
    <row r="22">
      <c r="A22" t="inlineStr">
        <is>
          <t>PUNO</t>
        </is>
      </c>
      <c r="B22" t="inlineStr">
        <is>
          <t>SAN ROMAN</t>
        </is>
      </c>
      <c r="C22" t="inlineStr">
        <is>
          <t>JULIACA</t>
        </is>
      </c>
      <c r="D22" t="inlineStr">
        <is>
          <t>211101</t>
        </is>
      </c>
      <c r="E22" t="inlineStr">
        <is>
          <t>—</t>
        </is>
      </c>
      <c r="F22" s="11" t="n">
        <v>376805.5591</v>
      </c>
      <c r="G22" s="6">
        <f>IF($F$141=0,0,F22/$F$141)</f>
        <v/>
      </c>
      <c r="H22" s="5" t="n">
        <v>910407.14</v>
      </c>
      <c r="I22" t="n">
        <v>3</v>
      </c>
      <c r="J22" t="n">
        <v>1</v>
      </c>
      <c r="K22" t="n">
        <v>4</v>
      </c>
      <c r="L22" s="5" t="n">
        <v>2427752.37</v>
      </c>
    </row>
    <row r="23">
      <c r="A23" t="inlineStr">
        <is>
          <t>UCAYALI</t>
        </is>
      </c>
      <c r="B23" t="inlineStr">
        <is>
          <t>CORONEL PORTILLO</t>
        </is>
      </c>
      <c r="C23" t="inlineStr">
        <is>
          <t>CALLERIA</t>
        </is>
      </c>
      <c r="D23" t="inlineStr">
        <is>
          <t>250101</t>
        </is>
      </c>
      <c r="E23" t="inlineStr">
        <is>
          <t>—</t>
        </is>
      </c>
      <c r="F23" s="11" t="n">
        <v>375982.9087</v>
      </c>
      <c r="G23" s="6">
        <f>IF($F$141=0,0,F23/$F$141)</f>
        <v/>
      </c>
      <c r="H23" s="5" t="n">
        <v>908419.52</v>
      </c>
      <c r="I23" t="n">
        <v>4</v>
      </c>
      <c r="J23" t="n">
        <v>4</v>
      </c>
      <c r="K23" t="n">
        <v>2</v>
      </c>
      <c r="L23" s="5" t="n">
        <v>3028065.06</v>
      </c>
    </row>
    <row r="24">
      <c r="A24" t="inlineStr">
        <is>
          <t>ANCASH</t>
        </is>
      </c>
      <c r="B24" t="inlineStr">
        <is>
          <t>HUARAZ</t>
        </is>
      </c>
      <c r="C24" t="inlineStr">
        <is>
          <t>HUARAZ</t>
        </is>
      </c>
      <c r="D24" t="inlineStr">
        <is>
          <t>020101</t>
        </is>
      </c>
      <c r="E24" t="inlineStr">
        <is>
          <t>—</t>
        </is>
      </c>
      <c r="F24" s="11" t="n">
        <v>345161.6488</v>
      </c>
      <c r="G24" s="6">
        <f>IF($F$141=0,0,F24/$F$141)</f>
        <v/>
      </c>
      <c r="H24" s="5" t="n">
        <v>833951.6800000001</v>
      </c>
      <c r="I24" t="n">
        <v>4</v>
      </c>
      <c r="J24" t="n">
        <v>3</v>
      </c>
      <c r="K24" t="n">
        <v>4</v>
      </c>
      <c r="L24" s="5" t="n">
        <v>3057822.82</v>
      </c>
    </row>
    <row r="25">
      <c r="A25" t="inlineStr">
        <is>
          <t>HUANUCO</t>
        </is>
      </c>
      <c r="B25" t="inlineStr">
        <is>
          <t>HUANUCO</t>
        </is>
      </c>
      <c r="C25" t="inlineStr">
        <is>
          <t>HUANUCO</t>
        </is>
      </c>
      <c r="D25" t="inlineStr">
        <is>
          <t>100101</t>
        </is>
      </c>
      <c r="E25" t="inlineStr">
        <is>
          <t>—</t>
        </is>
      </c>
      <c r="F25" s="11" t="n">
        <v>314017.8669</v>
      </c>
      <c r="G25" s="6">
        <f>IF($F$141=0,0,F25/$F$141)</f>
        <v/>
      </c>
      <c r="H25" s="5" t="n">
        <v>758704.59</v>
      </c>
      <c r="I25" t="n">
        <v>4</v>
      </c>
      <c r="J25" t="n">
        <v>3</v>
      </c>
      <c r="K25" t="n">
        <v>4</v>
      </c>
      <c r="L25" s="5" t="n">
        <v>2781916.83</v>
      </c>
    </row>
    <row r="26">
      <c r="A26" t="inlineStr">
        <is>
          <t>AYACUCHO</t>
        </is>
      </c>
      <c r="B26" t="inlineStr">
        <is>
          <t>HUAMANGA</t>
        </is>
      </c>
      <c r="C26" t="inlineStr">
        <is>
          <t>AYACUCHO</t>
        </is>
      </c>
      <c r="D26" t="inlineStr">
        <is>
          <t>050101</t>
        </is>
      </c>
      <c r="E26" t="inlineStr">
        <is>
          <t>—</t>
        </is>
      </c>
      <c r="F26" s="11" t="n">
        <v>312215.0151</v>
      </c>
      <c r="G26" s="6">
        <f>IF($F$141=0,0,F26/$F$141)</f>
        <v/>
      </c>
      <c r="H26" s="5" t="n">
        <v>754348.6899999999</v>
      </c>
      <c r="I26" t="n">
        <v>4</v>
      </c>
      <c r="J26" t="n">
        <v>3</v>
      </c>
      <c r="K26" t="n">
        <v>4</v>
      </c>
      <c r="L26" s="5" t="n">
        <v>2765945.18</v>
      </c>
    </row>
    <row r="27">
      <c r="A27" t="inlineStr">
        <is>
          <t>CAJAMARCA</t>
        </is>
      </c>
      <c r="B27" t="inlineStr">
        <is>
          <t>JAEN</t>
        </is>
      </c>
      <c r="C27" t="inlineStr">
        <is>
          <t>JAEN</t>
        </is>
      </c>
      <c r="D27" t="inlineStr">
        <is>
          <t>060801</t>
        </is>
      </c>
      <c r="E27" t="inlineStr">
        <is>
          <t>—</t>
        </is>
      </c>
      <c r="F27" s="11" t="n">
        <v>287183.6638</v>
      </c>
      <c r="G27" s="6">
        <f>IF($F$141=0,0,F27/$F$141)</f>
        <v/>
      </c>
      <c r="H27" s="5" t="n">
        <v>693869.96</v>
      </c>
      <c r="I27" t="n">
        <v>4</v>
      </c>
      <c r="J27" t="n">
        <v>3</v>
      </c>
      <c r="K27" t="n">
        <v>2</v>
      </c>
      <c r="L27" s="5" t="n">
        <v>2081609.87</v>
      </c>
    </row>
    <row r="28">
      <c r="A28" t="inlineStr">
        <is>
          <t>PIURA</t>
        </is>
      </c>
      <c r="B28" t="inlineStr">
        <is>
          <t>SULLANA</t>
        </is>
      </c>
      <c r="C28" t="inlineStr">
        <is>
          <t>SULLANA</t>
        </is>
      </c>
      <c r="D28" t="inlineStr">
        <is>
          <t>200601</t>
        </is>
      </c>
      <c r="E28" t="inlineStr">
        <is>
          <t>—</t>
        </is>
      </c>
      <c r="F28" s="11" t="n">
        <v>209300.3179</v>
      </c>
      <c r="G28" s="6">
        <f>IF($F$141=0,0,F28/$F$141)</f>
        <v/>
      </c>
      <c r="H28" s="5" t="n">
        <v>505694.51</v>
      </c>
      <c r="I28" t="n">
        <v>2</v>
      </c>
      <c r="J28" t="n">
        <v>5</v>
      </c>
      <c r="K28" t="n">
        <v>2</v>
      </c>
      <c r="L28" s="5" t="n">
        <v>1517083.54</v>
      </c>
    </row>
    <row r="29">
      <c r="A29" t="inlineStr">
        <is>
          <t>LIMA</t>
        </is>
      </c>
      <c r="B29" t="inlineStr">
        <is>
          <t>HUAURA</t>
        </is>
      </c>
      <c r="C29" t="inlineStr">
        <is>
          <t>HUACHO</t>
        </is>
      </c>
      <c r="D29" t="inlineStr">
        <is>
          <t>150801</t>
        </is>
      </c>
      <c r="E29" t="inlineStr">
        <is>
          <t>—</t>
        </is>
      </c>
      <c r="F29" s="11" t="n">
        <v>205386.0118</v>
      </c>
      <c r="G29" s="6">
        <f>IF($F$141=0,0,F29/$F$141)</f>
        <v/>
      </c>
      <c r="H29" s="5" t="n">
        <v>496237.08</v>
      </c>
      <c r="I29" t="n">
        <v>3</v>
      </c>
      <c r="J29" t="n">
        <v>3</v>
      </c>
      <c r="L29" s="5" t="n">
        <v>1488711.25</v>
      </c>
    </row>
    <row r="30">
      <c r="A30" t="inlineStr">
        <is>
          <t>SAN MARTIN</t>
        </is>
      </c>
      <c r="B30" t="inlineStr">
        <is>
          <t>MOYOBAMBA</t>
        </is>
      </c>
      <c r="C30" t="inlineStr">
        <is>
          <t>MOYOBAMBA</t>
        </is>
      </c>
      <c r="D30" t="inlineStr">
        <is>
          <t>220101</t>
        </is>
      </c>
      <c r="E30" t="inlineStr">
        <is>
          <t>—</t>
        </is>
      </c>
      <c r="F30" s="11" t="n">
        <v>201512.9764</v>
      </c>
      <c r="G30" s="6">
        <f>IF($F$141=0,0,F30/$F$141)</f>
        <v/>
      </c>
      <c r="H30" s="5" t="n">
        <v>486879.37</v>
      </c>
      <c r="I30" t="n">
        <v>4</v>
      </c>
      <c r="J30" t="n">
        <v>4</v>
      </c>
      <c r="K30" t="n">
        <v>2</v>
      </c>
      <c r="L30" s="5" t="n">
        <v>1622931.22</v>
      </c>
    </row>
    <row r="31">
      <c r="A31" t="inlineStr">
        <is>
          <t>LIMA</t>
        </is>
      </c>
      <c r="B31" t="inlineStr">
        <is>
          <t>HUARAL</t>
        </is>
      </c>
      <c r="C31" t="inlineStr">
        <is>
          <t>HUARAL</t>
        </is>
      </c>
      <c r="D31" t="inlineStr">
        <is>
          <t>150601</t>
        </is>
      </c>
      <c r="E31" t="inlineStr">
        <is>
          <t>—</t>
        </is>
      </c>
      <c r="F31" s="11" t="n">
        <v>133834.7035</v>
      </c>
      <c r="G31" s="6">
        <f>IF($F$141=0,0,F31/$F$141)</f>
        <v/>
      </c>
      <c r="H31" s="5" t="n">
        <v>323360.59</v>
      </c>
      <c r="I31" t="n">
        <v>4</v>
      </c>
      <c r="J31" t="n">
        <v>4</v>
      </c>
      <c r="L31" s="5" t="n">
        <v>1293442.38</v>
      </c>
    </row>
    <row r="32">
      <c r="A32" t="inlineStr">
        <is>
          <t>LIMA</t>
        </is>
      </c>
      <c r="B32" t="inlineStr">
        <is>
          <t>CAÑETE</t>
        </is>
      </c>
      <c r="C32" t="inlineStr">
        <is>
          <t>SAN VICENTE DE CAÑETE</t>
        </is>
      </c>
      <c r="D32" t="inlineStr">
        <is>
          <t>150501</t>
        </is>
      </c>
      <c r="E32" t="inlineStr">
        <is>
          <t>—</t>
        </is>
      </c>
      <c r="F32" s="11" t="n">
        <v>117470.8239</v>
      </c>
      <c r="G32" s="6">
        <f>IF($F$141=0,0,F32/$F$141)</f>
        <v/>
      </c>
      <c r="H32" s="5" t="n">
        <v>283823.51</v>
      </c>
      <c r="I32" t="n">
        <v>3</v>
      </c>
      <c r="J32" t="n">
        <v>5</v>
      </c>
      <c r="L32" s="5" t="n">
        <v>1135294.04</v>
      </c>
    </row>
    <row r="33">
      <c r="A33" t="inlineStr">
        <is>
          <t>TUMBES</t>
        </is>
      </c>
      <c r="B33" t="inlineStr">
        <is>
          <t>TUMBES</t>
        </is>
      </c>
      <c r="C33" t="inlineStr">
        <is>
          <t>TUMBES</t>
        </is>
      </c>
      <c r="D33" t="inlineStr">
        <is>
          <t>240101</t>
        </is>
      </c>
      <c r="E33" t="inlineStr">
        <is>
          <t>—</t>
        </is>
      </c>
      <c r="F33" s="11" t="n">
        <v>116036.5125</v>
      </c>
      <c r="G33" s="6">
        <f>IF($F$141=0,0,F33/$F$141)</f>
        <v/>
      </c>
      <c r="H33" s="5" t="n">
        <v>280358.04</v>
      </c>
      <c r="I33" t="n">
        <v>3</v>
      </c>
      <c r="J33" t="n">
        <v>5</v>
      </c>
      <c r="K33" t="n">
        <v>4</v>
      </c>
      <c r="L33" s="5" t="n">
        <v>1121432.17</v>
      </c>
    </row>
    <row r="34">
      <c r="A34" t="inlineStr">
        <is>
          <t>MADRE DE DIOS</t>
        </is>
      </c>
      <c r="B34" t="inlineStr">
        <is>
          <t>TAMBOPATA</t>
        </is>
      </c>
      <c r="C34" t="inlineStr">
        <is>
          <t>TAMBOPATA</t>
        </is>
      </c>
      <c r="D34" t="inlineStr">
        <is>
          <t>170101</t>
        </is>
      </c>
      <c r="E34" t="inlineStr">
        <is>
          <t>—</t>
        </is>
      </c>
      <c r="F34" s="11" t="n">
        <v>114845.056</v>
      </c>
      <c r="G34" s="6">
        <f>IF($F$141=0,0,F34/$F$141)</f>
        <v/>
      </c>
      <c r="H34" s="5" t="n">
        <v>277479.34</v>
      </c>
      <c r="I34" t="n">
        <v>3</v>
      </c>
      <c r="J34" t="n">
        <v>2</v>
      </c>
      <c r="K34" t="n">
        <v>2</v>
      </c>
      <c r="L34" s="5" t="n">
        <v>647451.8</v>
      </c>
    </row>
    <row r="35">
      <c r="A35" t="inlineStr">
        <is>
          <t>PUNO</t>
        </is>
      </c>
      <c r="B35" t="inlineStr">
        <is>
          <t>PUNO</t>
        </is>
      </c>
      <c r="C35" t="inlineStr">
        <is>
          <t>PUNO</t>
        </is>
      </c>
      <c r="D35" t="inlineStr">
        <is>
          <t>210101</t>
        </is>
      </c>
      <c r="E35" t="inlineStr">
        <is>
          <t>—</t>
        </is>
      </c>
      <c r="F35" s="11" t="n">
        <v>110955.8946</v>
      </c>
      <c r="G35" s="6">
        <f>IF($F$141=0,0,F35/$F$141)</f>
        <v/>
      </c>
      <c r="H35" s="5" t="n">
        <v>268082.66</v>
      </c>
      <c r="I35" t="n">
        <v>4</v>
      </c>
      <c r="J35" t="n">
        <v>3</v>
      </c>
      <c r="K35" t="n">
        <v>3</v>
      </c>
      <c r="L35" s="5" t="n">
        <v>893608.88</v>
      </c>
    </row>
    <row r="36">
      <c r="A36" t="inlineStr">
        <is>
          <t>APURIMAC</t>
        </is>
      </c>
      <c r="B36" t="inlineStr">
        <is>
          <t>ABANCAY</t>
        </is>
      </c>
      <c r="C36" t="inlineStr">
        <is>
          <t>ABANCAY</t>
        </is>
      </c>
      <c r="D36" t="inlineStr">
        <is>
          <t>030101</t>
        </is>
      </c>
      <c r="E36" t="inlineStr">
        <is>
          <t>—</t>
        </is>
      </c>
      <c r="F36" s="11" t="n">
        <v>109728.8047</v>
      </c>
      <c r="G36" s="6">
        <f>IF($F$141=0,0,F36/$F$141)</f>
        <v/>
      </c>
      <c r="H36" s="5" t="n">
        <v>265117.87</v>
      </c>
      <c r="I36" t="n">
        <v>4</v>
      </c>
      <c r="J36" t="n">
        <v>2</v>
      </c>
      <c r="K36" t="n">
        <v>3</v>
      </c>
      <c r="L36" s="5" t="n">
        <v>795353.61</v>
      </c>
    </row>
    <row r="37">
      <c r="A37" t="inlineStr">
        <is>
          <t>APURIMAC</t>
        </is>
      </c>
      <c r="B37" t="inlineStr">
        <is>
          <t>ANDAHUAYLAS</t>
        </is>
      </c>
      <c r="C37" t="inlineStr">
        <is>
          <t>ANDAHUAYLAS</t>
        </is>
      </c>
      <c r="D37" t="inlineStr">
        <is>
          <t>030201</t>
        </is>
      </c>
      <c r="E37" t="inlineStr">
        <is>
          <t>—</t>
        </is>
      </c>
      <c r="F37" s="11" t="n">
        <v>107866.5909</v>
      </c>
      <c r="G37" s="6">
        <f>IF($F$141=0,0,F37/$F$141)</f>
        <v/>
      </c>
      <c r="H37" s="5" t="n">
        <v>260618.54</v>
      </c>
      <c r="I37" t="n">
        <v>3</v>
      </c>
      <c r="J37" t="n">
        <v>3</v>
      </c>
      <c r="K37" t="n">
        <v>3</v>
      </c>
      <c r="L37" s="5" t="n">
        <v>781855.62</v>
      </c>
    </row>
    <row r="38">
      <c r="A38" t="inlineStr">
        <is>
          <t>ICA</t>
        </is>
      </c>
      <c r="B38" t="inlineStr">
        <is>
          <t>NAZCA</t>
        </is>
      </c>
      <c r="C38" t="inlineStr">
        <is>
          <t>NAZCA</t>
        </is>
      </c>
      <c r="D38" t="inlineStr">
        <is>
          <t>110301</t>
        </is>
      </c>
      <c r="E38" t="inlineStr">
        <is>
          <t>—</t>
        </is>
      </c>
      <c r="F38" s="11" t="n">
        <v>105544.8657</v>
      </c>
      <c r="G38" s="6">
        <f>IF($F$141=0,0,F38/$F$141)</f>
        <v/>
      </c>
      <c r="H38" s="5" t="n">
        <v>255008.97</v>
      </c>
      <c r="I38" t="n">
        <v>3</v>
      </c>
      <c r="J38" t="n">
        <v>5</v>
      </c>
      <c r="L38" s="5" t="n">
        <v>1020035.9</v>
      </c>
    </row>
    <row r="39">
      <c r="A39" t="inlineStr">
        <is>
          <t>LIMA</t>
        </is>
      </c>
      <c r="B39" t="inlineStr">
        <is>
          <t>BARRANCA</t>
        </is>
      </c>
      <c r="C39" t="inlineStr">
        <is>
          <t>BARRANCA</t>
        </is>
      </c>
      <c r="D39" t="inlineStr">
        <is>
          <t>150201</t>
        </is>
      </c>
      <c r="E39" t="inlineStr">
        <is>
          <t>—</t>
        </is>
      </c>
      <c r="F39" s="11" t="n">
        <v>105524.9424</v>
      </c>
      <c r="G39" s="6">
        <f>IF($F$141=0,0,F39/$F$141)</f>
        <v/>
      </c>
      <c r="H39" s="5" t="n">
        <v>254960.84</v>
      </c>
      <c r="I39" t="n">
        <v>3</v>
      </c>
      <c r="J39" t="n">
        <v>4</v>
      </c>
      <c r="L39" s="5" t="n">
        <v>892362.9300000001</v>
      </c>
    </row>
    <row r="40">
      <c r="A40" t="inlineStr">
        <is>
          <t>JUNIN</t>
        </is>
      </c>
      <c r="B40" t="inlineStr">
        <is>
          <t>CHANCHAMAYO</t>
        </is>
      </c>
      <c r="C40" t="inlineStr">
        <is>
          <t>CHANCHAMAYO</t>
        </is>
      </c>
      <c r="D40" t="inlineStr">
        <is>
          <t>120301</t>
        </is>
      </c>
      <c r="E40" t="inlineStr">
        <is>
          <t>—</t>
        </is>
      </c>
      <c r="F40" s="11" t="n">
        <v>104394.7134</v>
      </c>
      <c r="G40" s="6">
        <f>IF($F$141=0,0,F40/$F$141)</f>
        <v/>
      </c>
      <c r="H40" s="5" t="n">
        <v>252230.07</v>
      </c>
      <c r="I40" t="n">
        <v>5</v>
      </c>
      <c r="J40" t="n">
        <v>2</v>
      </c>
      <c r="K40" t="n">
        <v>3</v>
      </c>
      <c r="L40" s="5" t="n">
        <v>840766.9</v>
      </c>
    </row>
    <row r="41">
      <c r="A41" t="inlineStr">
        <is>
          <t>MOQUEGUA</t>
        </is>
      </c>
      <c r="B41" t="inlineStr">
        <is>
          <t>ILO</t>
        </is>
      </c>
      <c r="C41" t="inlineStr">
        <is>
          <t>ILO</t>
        </is>
      </c>
      <c r="D41" t="inlineStr">
        <is>
          <t>180301</t>
        </is>
      </c>
      <c r="E41" t="inlineStr">
        <is>
          <t>—</t>
        </is>
      </c>
      <c r="F41" s="11" t="n">
        <v>91598.9114</v>
      </c>
      <c r="G41" s="6">
        <f>IF($F$141=0,0,F41/$F$141)</f>
        <v/>
      </c>
      <c r="H41" s="5" t="n">
        <v>221313.89</v>
      </c>
      <c r="I41" t="n">
        <v>4</v>
      </c>
      <c r="J41" t="n">
        <v>2</v>
      </c>
      <c r="L41" s="5" t="n">
        <v>663941.66</v>
      </c>
    </row>
    <row r="42">
      <c r="A42" t="inlineStr">
        <is>
          <t>LAMBAYEQUE</t>
        </is>
      </c>
      <c r="B42" t="inlineStr">
        <is>
          <t>LAMBAYEQUE</t>
        </is>
      </c>
      <c r="C42" t="inlineStr">
        <is>
          <t>LAMBAYEQUE</t>
        </is>
      </c>
      <c r="D42" t="inlineStr">
        <is>
          <t>140301</t>
        </is>
      </c>
      <c r="E42" t="inlineStr">
        <is>
          <t>—</t>
        </is>
      </c>
      <c r="F42" s="11" t="n">
        <v>91140.9912</v>
      </c>
      <c r="G42" s="6">
        <f>IF($F$141=0,0,F42/$F$141)</f>
        <v/>
      </c>
      <c r="H42" s="5" t="n">
        <v>220207.5</v>
      </c>
      <c r="I42" t="n">
        <v>1</v>
      </c>
      <c r="J42" t="n">
        <v>4</v>
      </c>
      <c r="L42" s="5" t="n">
        <v>550518.74</v>
      </c>
    </row>
    <row r="43">
      <c r="A43" t="inlineStr">
        <is>
          <t>ICA</t>
        </is>
      </c>
      <c r="B43" t="inlineStr">
        <is>
          <t>PISCO</t>
        </is>
      </c>
      <c r="C43" t="inlineStr">
        <is>
          <t>PISCO</t>
        </is>
      </c>
      <c r="D43" t="inlineStr">
        <is>
          <t>110501</t>
        </is>
      </c>
      <c r="E43" t="inlineStr">
        <is>
          <t>—</t>
        </is>
      </c>
      <c r="F43" s="11" t="n">
        <v>90209.3333</v>
      </c>
      <c r="G43" s="6">
        <f>IF($F$141=0,0,F43/$F$141)</f>
        <v/>
      </c>
      <c r="H43" s="5" t="n">
        <v>217956.5</v>
      </c>
      <c r="I43" t="n">
        <v>3</v>
      </c>
      <c r="J43" t="n">
        <v>5</v>
      </c>
      <c r="L43" s="5" t="n">
        <v>871826</v>
      </c>
    </row>
    <row r="44">
      <c r="A44" t="inlineStr">
        <is>
          <t>LA LIBERTAD</t>
        </is>
      </c>
      <c r="B44" t="inlineStr">
        <is>
          <t>PACASMAYO</t>
        </is>
      </c>
      <c r="C44" t="inlineStr">
        <is>
          <t>PACASMAYO</t>
        </is>
      </c>
      <c r="D44" t="inlineStr">
        <is>
          <t>130704</t>
        </is>
      </c>
      <c r="E44" t="inlineStr">
        <is>
          <t>—</t>
        </is>
      </c>
      <c r="F44" s="11" t="n">
        <v>89509.4213</v>
      </c>
      <c r="G44" s="6">
        <f>IF($F$141=0,0,F44/$F$141)</f>
        <v/>
      </c>
      <c r="H44" s="5" t="n">
        <v>216265.43</v>
      </c>
      <c r="I44" t="n">
        <v>2</v>
      </c>
      <c r="J44" t="n">
        <v>4</v>
      </c>
      <c r="L44" s="5" t="n">
        <v>648796.29</v>
      </c>
    </row>
    <row r="45">
      <c r="A45" t="inlineStr">
        <is>
          <t>MOQUEGUA</t>
        </is>
      </c>
      <c r="B45" t="inlineStr">
        <is>
          <t>MARISCAL NIETO</t>
        </is>
      </c>
      <c r="C45" t="inlineStr">
        <is>
          <t>MOQUEGUA</t>
        </is>
      </c>
      <c r="D45" t="inlineStr">
        <is>
          <t>180101</t>
        </is>
      </c>
      <c r="E45" t="inlineStr">
        <is>
          <t>—</t>
        </is>
      </c>
      <c r="F45" s="11" t="n">
        <v>85424.89320000001</v>
      </c>
      <c r="G45" s="6">
        <f>IF($F$141=0,0,F45/$F$141)</f>
        <v/>
      </c>
      <c r="H45" s="5" t="n">
        <v>206396.72</v>
      </c>
      <c r="I45" t="n">
        <v>4</v>
      </c>
      <c r="J45" t="n">
        <v>4</v>
      </c>
      <c r="L45" s="5" t="n">
        <v>825586.89</v>
      </c>
    </row>
    <row r="46">
      <c r="A46" t="inlineStr">
        <is>
          <t>AMAZONAS</t>
        </is>
      </c>
      <c r="B46" t="inlineStr">
        <is>
          <t>UTCUBAMBA</t>
        </is>
      </c>
      <c r="C46" t="inlineStr">
        <is>
          <t>BAGUA GRANDE</t>
        </is>
      </c>
      <c r="D46" t="inlineStr">
        <is>
          <t>010701</t>
        </is>
      </c>
      <c r="E46" t="inlineStr">
        <is>
          <t>—</t>
        </is>
      </c>
      <c r="F46" s="11" t="n">
        <v>83480.8299</v>
      </c>
      <c r="G46" s="6">
        <f>IF($F$141=0,0,F46/$F$141)</f>
        <v/>
      </c>
      <c r="H46" s="5" t="n">
        <v>201699.63</v>
      </c>
      <c r="I46" t="n">
        <v>5</v>
      </c>
      <c r="J46" t="n">
        <v>3</v>
      </c>
      <c r="K46" t="n">
        <v>3</v>
      </c>
      <c r="L46" s="5" t="n">
        <v>739565.33</v>
      </c>
    </row>
    <row r="47">
      <c r="A47" t="inlineStr">
        <is>
          <t>JUNIN</t>
        </is>
      </c>
      <c r="B47" t="inlineStr">
        <is>
          <t>TARMA</t>
        </is>
      </c>
      <c r="C47" t="inlineStr">
        <is>
          <t>TARMA</t>
        </is>
      </c>
      <c r="D47" t="inlineStr">
        <is>
          <t>120701</t>
        </is>
      </c>
      <c r="E47" t="inlineStr">
        <is>
          <t>—</t>
        </is>
      </c>
      <c r="F47" s="11" t="n">
        <v>81777.3526</v>
      </c>
      <c r="G47" s="6">
        <f>IF($F$141=0,0,F47/$F$141)</f>
        <v/>
      </c>
      <c r="H47" s="5" t="n">
        <v>197583.83</v>
      </c>
      <c r="I47" t="n">
        <v>5</v>
      </c>
      <c r="J47" t="n">
        <v>2</v>
      </c>
      <c r="K47" t="n">
        <v>5</v>
      </c>
      <c r="L47" s="5" t="n">
        <v>790335.3199999999</v>
      </c>
    </row>
    <row r="48">
      <c r="A48" t="inlineStr">
        <is>
          <t>HUANUCO</t>
        </is>
      </c>
      <c r="B48" t="inlineStr">
        <is>
          <t>LEONCIO PRADO</t>
        </is>
      </c>
      <c r="C48" t="inlineStr">
        <is>
          <t>RUPA-RUPA</t>
        </is>
      </c>
      <c r="D48" t="inlineStr">
        <is>
          <t>100601</t>
        </is>
      </c>
      <c r="E48" t="inlineStr">
        <is>
          <t>—</t>
        </is>
      </c>
      <c r="F48" s="11" t="n">
        <v>81403.3713</v>
      </c>
      <c r="G48" s="6">
        <f>IF($F$141=0,0,F48/$F$141)</f>
        <v/>
      </c>
      <c r="H48" s="5" t="n">
        <v>196680.25</v>
      </c>
      <c r="I48" t="n">
        <v>4</v>
      </c>
      <c r="J48" t="n">
        <v>3</v>
      </c>
      <c r="K48" t="n">
        <v>2</v>
      </c>
      <c r="L48" s="5" t="n">
        <v>590040.74</v>
      </c>
    </row>
    <row r="49">
      <c r="A49" t="inlineStr">
        <is>
          <t>AMAZONAS</t>
        </is>
      </c>
      <c r="B49" t="inlineStr">
        <is>
          <t>CHACHAPOYAS</t>
        </is>
      </c>
      <c r="C49" t="inlineStr">
        <is>
          <t>CHACHAPOYAS</t>
        </is>
      </c>
      <c r="D49" t="inlineStr">
        <is>
          <t>010101</t>
        </is>
      </c>
      <c r="E49" t="inlineStr">
        <is>
          <t>—</t>
        </is>
      </c>
      <c r="F49" s="11" t="n">
        <v>80483.0059</v>
      </c>
      <c r="G49" s="6">
        <f>IF($F$141=0,0,F49/$F$141)</f>
        <v/>
      </c>
      <c r="H49" s="5" t="n">
        <v>194456.53</v>
      </c>
      <c r="I49" t="n">
        <v>4</v>
      </c>
      <c r="J49" t="n">
        <v>1</v>
      </c>
      <c r="K49" t="n">
        <v>2</v>
      </c>
      <c r="L49" s="5" t="n">
        <v>453731.91</v>
      </c>
    </row>
    <row r="50">
      <c r="A50" t="inlineStr">
        <is>
          <t>PASCO</t>
        </is>
      </c>
      <c r="B50" t="inlineStr">
        <is>
          <t>PASCO</t>
        </is>
      </c>
      <c r="C50" t="inlineStr">
        <is>
          <t>CHAUPIMARCA</t>
        </is>
      </c>
      <c r="D50" t="inlineStr">
        <is>
          <t>190101</t>
        </is>
      </c>
      <c r="E50" t="inlineStr">
        <is>
          <t>—</t>
        </is>
      </c>
      <c r="F50" s="11" t="n">
        <v>78417.0481</v>
      </c>
      <c r="G50" s="6">
        <f>IF($F$141=0,0,F50/$F$141)</f>
        <v/>
      </c>
      <c r="H50" s="5" t="n">
        <v>189464.93</v>
      </c>
      <c r="I50" t="n">
        <v>4</v>
      </c>
      <c r="J50" t="n">
        <v>4</v>
      </c>
      <c r="K50" t="n">
        <v>3</v>
      </c>
      <c r="L50" s="5" t="n">
        <v>694704.76</v>
      </c>
    </row>
    <row r="51">
      <c r="A51" t="inlineStr">
        <is>
          <t>LA LIBERTAD</t>
        </is>
      </c>
      <c r="B51" t="inlineStr">
        <is>
          <t>CHEPEN</t>
        </is>
      </c>
      <c r="C51" t="inlineStr">
        <is>
          <t>CHEPEN</t>
        </is>
      </c>
      <c r="D51" t="inlineStr">
        <is>
          <t>130401</t>
        </is>
      </c>
      <c r="E51" t="inlineStr">
        <is>
          <t>—</t>
        </is>
      </c>
      <c r="F51" s="11" t="n">
        <v>74842.28939999999</v>
      </c>
      <c r="G51" s="6">
        <f>IF($F$141=0,0,F51/$F$141)</f>
        <v/>
      </c>
      <c r="H51" s="5" t="n">
        <v>180827.89</v>
      </c>
      <c r="I51" t="n">
        <v>5</v>
      </c>
      <c r="J51" t="n">
        <v>4</v>
      </c>
      <c r="L51" s="5" t="n">
        <v>813725.51</v>
      </c>
    </row>
    <row r="52">
      <c r="A52" t="inlineStr">
        <is>
          <t>PIURA</t>
        </is>
      </c>
      <c r="B52" t="inlineStr">
        <is>
          <t>TALARA</t>
        </is>
      </c>
      <c r="C52" t="inlineStr">
        <is>
          <t>PARIÑAS</t>
        </is>
      </c>
      <c r="D52" t="inlineStr">
        <is>
          <t>200701</t>
        </is>
      </c>
      <c r="E52" t="inlineStr">
        <is>
          <t>—</t>
        </is>
      </c>
      <c r="F52" s="11" t="n">
        <v>69400.8037</v>
      </c>
      <c r="G52" s="6">
        <f>IF($F$141=0,0,F52/$F$141)</f>
        <v/>
      </c>
      <c r="H52" s="5" t="n">
        <v>167680.61</v>
      </c>
      <c r="I52" t="n">
        <v>3</v>
      </c>
      <c r="J52" t="n">
        <v>4</v>
      </c>
      <c r="K52" t="n">
        <v>3</v>
      </c>
      <c r="L52" s="5" t="n">
        <v>558935.38</v>
      </c>
    </row>
    <row r="53">
      <c r="A53" t="inlineStr">
        <is>
          <t>JUNIN</t>
        </is>
      </c>
      <c r="B53" t="inlineStr">
        <is>
          <t>SATIPO</t>
        </is>
      </c>
      <c r="C53" t="inlineStr">
        <is>
          <t>SATIPO</t>
        </is>
      </c>
      <c r="D53" t="inlineStr">
        <is>
          <t>120601</t>
        </is>
      </c>
      <c r="E53" t="inlineStr">
        <is>
          <t>—</t>
        </is>
      </c>
      <c r="F53" s="11" t="n">
        <v>64974.4133</v>
      </c>
      <c r="G53" s="6">
        <f>IF($F$141=0,0,F53/$F$141)</f>
        <v/>
      </c>
      <c r="H53" s="5" t="n">
        <v>156985.93</v>
      </c>
      <c r="I53" t="n">
        <v>4</v>
      </c>
      <c r="J53" t="n">
        <v>3</v>
      </c>
      <c r="K53" t="n">
        <v>2</v>
      </c>
      <c r="L53" s="5" t="n">
        <v>470957.78</v>
      </c>
    </row>
    <row r="54">
      <c r="A54" t="inlineStr">
        <is>
          <t>CUSCO</t>
        </is>
      </c>
      <c r="B54" t="inlineStr">
        <is>
          <t>LA CONVENCION</t>
        </is>
      </c>
      <c r="C54" t="inlineStr">
        <is>
          <t>SANTA ANA</t>
        </is>
      </c>
      <c r="D54" t="inlineStr">
        <is>
          <t>080901</t>
        </is>
      </c>
      <c r="E54" t="inlineStr">
        <is>
          <t>—</t>
        </is>
      </c>
      <c r="F54" s="11" t="n">
        <v>63031.6456</v>
      </c>
      <c r="G54" s="6">
        <f>IF($F$141=0,0,F54/$F$141)</f>
        <v/>
      </c>
      <c r="H54" s="5" t="n">
        <v>152291.97</v>
      </c>
      <c r="I54" t="n">
        <v>4</v>
      </c>
      <c r="J54" t="n">
        <v>2</v>
      </c>
      <c r="K54" t="n">
        <v>2</v>
      </c>
      <c r="L54" s="5" t="n">
        <v>406111.91</v>
      </c>
    </row>
    <row r="55">
      <c r="A55" t="inlineStr">
        <is>
          <t>LORETO</t>
        </is>
      </c>
      <c r="B55" t="inlineStr">
        <is>
          <t>ALTO AMAZONAS</t>
        </is>
      </c>
      <c r="C55" t="inlineStr">
        <is>
          <t>YURIMAGUAS</t>
        </is>
      </c>
      <c r="D55" t="inlineStr">
        <is>
          <t>160201</t>
        </is>
      </c>
      <c r="E55" t="inlineStr">
        <is>
          <t>—</t>
        </is>
      </c>
      <c r="F55" s="11" t="n">
        <v>59855.6474</v>
      </c>
      <c r="G55" s="6">
        <f>IF($F$141=0,0,F55/$F$141)</f>
        <v/>
      </c>
      <c r="H55" s="5" t="n">
        <v>144618.38</v>
      </c>
      <c r="I55" t="n">
        <v>3</v>
      </c>
      <c r="J55" t="n">
        <v>3</v>
      </c>
      <c r="K55" t="n">
        <v>2</v>
      </c>
      <c r="L55" s="5" t="n">
        <v>385649.01</v>
      </c>
    </row>
    <row r="56">
      <c r="A56" t="inlineStr">
        <is>
          <t>CAJAMARCA</t>
        </is>
      </c>
      <c r="B56" t="inlineStr">
        <is>
          <t>CHOTA</t>
        </is>
      </c>
      <c r="C56" t="inlineStr">
        <is>
          <t>CHOTA</t>
        </is>
      </c>
      <c r="D56" t="inlineStr">
        <is>
          <t>060401</t>
        </is>
      </c>
      <c r="E56" t="inlineStr">
        <is>
          <t>—</t>
        </is>
      </c>
      <c r="F56" s="11" t="n">
        <v>58068.3803</v>
      </c>
      <c r="G56" s="6">
        <f>IF($F$141=0,0,F56/$F$141)</f>
        <v/>
      </c>
      <c r="H56" s="5" t="n">
        <v>140300.13</v>
      </c>
      <c r="I56" t="n">
        <v>4</v>
      </c>
      <c r="J56" t="n">
        <v>3</v>
      </c>
      <c r="K56" t="n">
        <v>3</v>
      </c>
      <c r="L56" s="5" t="n">
        <v>467667.09</v>
      </c>
    </row>
    <row r="57">
      <c r="A57" t="inlineStr">
        <is>
          <t>HUANCAVELICA</t>
        </is>
      </c>
      <c r="B57" t="inlineStr">
        <is>
          <t>HUANCAVELICA</t>
        </is>
      </c>
      <c r="C57" t="inlineStr">
        <is>
          <t>HUANCAVELICA</t>
        </is>
      </c>
      <c r="D57" t="inlineStr">
        <is>
          <t>090101</t>
        </is>
      </c>
      <c r="E57" t="inlineStr">
        <is>
          <t>—</t>
        </is>
      </c>
      <c r="F57" s="11" t="n">
        <v>50776.1786</v>
      </c>
      <c r="G57" s="6">
        <f>IF($F$141=0,0,F57/$F$141)</f>
        <v/>
      </c>
      <c r="H57" s="5" t="n">
        <v>122681.3</v>
      </c>
      <c r="I57" t="n">
        <v>4</v>
      </c>
      <c r="J57" t="n">
        <v>3</v>
      </c>
      <c r="K57" t="n">
        <v>3</v>
      </c>
      <c r="L57" s="5" t="n">
        <v>408937.66</v>
      </c>
    </row>
    <row r="58">
      <c r="A58" t="inlineStr">
        <is>
          <t>JUNIN</t>
        </is>
      </c>
      <c r="B58" t="inlineStr">
        <is>
          <t>CHANCHAMAYO</t>
        </is>
      </c>
      <c r="C58" t="inlineStr">
        <is>
          <t>PICHANAQUI</t>
        </is>
      </c>
      <c r="D58" t="inlineStr">
        <is>
          <t>120303</t>
        </is>
      </c>
      <c r="E58" t="inlineStr">
        <is>
          <t>—</t>
        </is>
      </c>
      <c r="F58" s="11" t="n">
        <v>49548.5581</v>
      </c>
      <c r="G58" s="6">
        <f>IF($F$141=0,0,F58/$F$141)</f>
        <v/>
      </c>
      <c r="H58" s="5" t="n">
        <v>119715.22</v>
      </c>
      <c r="I58" t="n">
        <v>4</v>
      </c>
      <c r="J58" t="n">
        <v>2</v>
      </c>
      <c r="K58" t="n">
        <v>2</v>
      </c>
      <c r="L58" s="5" t="n">
        <v>319240.59</v>
      </c>
    </row>
    <row r="59">
      <c r="A59" t="inlineStr">
        <is>
          <t>PASCO</t>
        </is>
      </c>
      <c r="B59" t="inlineStr">
        <is>
          <t>OXAPAMPA</t>
        </is>
      </c>
      <c r="C59" t="inlineStr">
        <is>
          <t>OXAPAMPA</t>
        </is>
      </c>
      <c r="D59" t="inlineStr">
        <is>
          <t>190301</t>
        </is>
      </c>
      <c r="E59" t="inlineStr">
        <is>
          <t>—</t>
        </is>
      </c>
      <c r="F59" s="11" t="n">
        <v>44505.1885</v>
      </c>
      <c r="G59" s="6">
        <f>IF($F$141=0,0,F59/$F$141)</f>
        <v/>
      </c>
      <c r="H59" s="5" t="n">
        <v>107529.84</v>
      </c>
      <c r="I59" t="n">
        <v>4</v>
      </c>
      <c r="J59" t="n">
        <v>3</v>
      </c>
      <c r="K59" t="n">
        <v>2</v>
      </c>
      <c r="L59" s="5" t="n">
        <v>322589.52</v>
      </c>
    </row>
    <row r="60">
      <c r="A60" t="inlineStr">
        <is>
          <t>JUNIN</t>
        </is>
      </c>
      <c r="B60" t="inlineStr">
        <is>
          <t>YAULI</t>
        </is>
      </c>
      <c r="C60" t="inlineStr">
        <is>
          <t>LA OROYA</t>
        </is>
      </c>
      <c r="D60" t="inlineStr">
        <is>
          <t>120801</t>
        </is>
      </c>
      <c r="E60" t="inlineStr">
        <is>
          <t>—</t>
        </is>
      </c>
      <c r="F60" s="11" t="n">
        <v>44267.1065</v>
      </c>
      <c r="G60" s="6">
        <f>IF($F$141=0,0,F60/$F$141)</f>
        <v/>
      </c>
      <c r="H60" s="5" t="n">
        <v>106954.61</v>
      </c>
      <c r="I60" t="n">
        <v>5</v>
      </c>
      <c r="J60" t="n">
        <v>2</v>
      </c>
      <c r="K60" t="n">
        <v>4</v>
      </c>
      <c r="L60" s="5" t="n">
        <v>392166.89</v>
      </c>
    </row>
    <row r="61">
      <c r="A61" t="inlineStr">
        <is>
          <t>CUSCO</t>
        </is>
      </c>
      <c r="B61" t="inlineStr">
        <is>
          <t>CANCHIS</t>
        </is>
      </c>
      <c r="C61" t="inlineStr">
        <is>
          <t>SICUANI</t>
        </is>
      </c>
      <c r="D61" t="inlineStr">
        <is>
          <t>080601</t>
        </is>
      </c>
      <c r="E61" t="inlineStr">
        <is>
          <t>—</t>
        </is>
      </c>
      <c r="F61" s="11" t="n">
        <v>44049.706</v>
      </c>
      <c r="G61" s="6">
        <f>IF($F$141=0,0,F61/$F$141)</f>
        <v/>
      </c>
      <c r="H61" s="5" t="n">
        <v>106429.34</v>
      </c>
      <c r="I61" t="n">
        <v>4</v>
      </c>
      <c r="J61" t="n">
        <v>3</v>
      </c>
      <c r="K61" t="n">
        <v>3</v>
      </c>
      <c r="L61" s="5" t="n">
        <v>354764.46</v>
      </c>
    </row>
    <row r="62">
      <c r="A62" t="inlineStr">
        <is>
          <t>LA LIBERTAD</t>
        </is>
      </c>
      <c r="B62" t="inlineStr">
        <is>
          <t>SANCHEZ CARRION</t>
        </is>
      </c>
      <c r="C62" t="inlineStr">
        <is>
          <t>HUAMACHUCO</t>
        </is>
      </c>
      <c r="D62" t="inlineStr">
        <is>
          <t>130901</t>
        </is>
      </c>
      <c r="E62" t="inlineStr">
        <is>
          <t>—</t>
        </is>
      </c>
      <c r="F62" s="11" t="n">
        <v>43869.2508</v>
      </c>
      <c r="G62" s="6">
        <f>IF($F$141=0,0,F62/$F$141)</f>
        <v/>
      </c>
      <c r="H62" s="5" t="n">
        <v>105993.34</v>
      </c>
      <c r="I62" t="n">
        <v>4</v>
      </c>
      <c r="J62" t="n">
        <v>4</v>
      </c>
      <c r="K62" t="n">
        <v>3</v>
      </c>
      <c r="L62" s="5" t="n">
        <v>388642.24</v>
      </c>
    </row>
    <row r="63">
      <c r="A63" t="inlineStr">
        <is>
          <t>ANCASH</t>
        </is>
      </c>
      <c r="B63" t="inlineStr">
        <is>
          <t>CASMA</t>
        </is>
      </c>
      <c r="C63" t="inlineStr">
        <is>
          <t>CASMA</t>
        </is>
      </c>
      <c r="D63" t="inlineStr">
        <is>
          <t>020801</t>
        </is>
      </c>
      <c r="E63" t="inlineStr">
        <is>
          <t>—</t>
        </is>
      </c>
      <c r="F63" s="11" t="n">
        <v>41523.7246</v>
      </c>
      <c r="G63" s="6">
        <f>IF($F$141=0,0,F63/$F$141)</f>
        <v/>
      </c>
      <c r="H63" s="5" t="n">
        <v>100326.27</v>
      </c>
      <c r="I63" t="n">
        <v>3</v>
      </c>
      <c r="J63" t="n">
        <v>4</v>
      </c>
      <c r="L63" s="5" t="n">
        <v>351141.94</v>
      </c>
    </row>
    <row r="64">
      <c r="A64" t="inlineStr">
        <is>
          <t>JUNIN</t>
        </is>
      </c>
      <c r="B64" t="inlineStr">
        <is>
          <t>JAUJA</t>
        </is>
      </c>
      <c r="C64" t="inlineStr">
        <is>
          <t>JAUJA</t>
        </is>
      </c>
      <c r="D64" t="inlineStr">
        <is>
          <t>120401</t>
        </is>
      </c>
      <c r="E64" t="inlineStr">
        <is>
          <t>—</t>
        </is>
      </c>
      <c r="F64" s="11" t="n">
        <v>39849.5425</v>
      </c>
      <c r="G64" s="6">
        <f>IF($F$141=0,0,F64/$F$141)</f>
        <v/>
      </c>
      <c r="H64" s="5" t="n">
        <v>96281.24000000001</v>
      </c>
      <c r="I64" t="n">
        <v>3</v>
      </c>
      <c r="J64" t="n">
        <v>1</v>
      </c>
      <c r="K64" t="n">
        <v>4</v>
      </c>
      <c r="L64" s="5" t="n">
        <v>256749.98</v>
      </c>
    </row>
    <row r="65">
      <c r="A65" t="inlineStr">
        <is>
          <t>AREQUIPA</t>
        </is>
      </c>
      <c r="B65" t="inlineStr">
        <is>
          <t>ISLAY</t>
        </is>
      </c>
      <c r="C65" t="inlineStr">
        <is>
          <t>MOLLENDO</t>
        </is>
      </c>
      <c r="D65" t="inlineStr">
        <is>
          <t>040701</t>
        </is>
      </c>
      <c r="E65" t="inlineStr">
        <is>
          <t>—</t>
        </is>
      </c>
      <c r="F65" s="11" t="n">
        <v>39121.6004</v>
      </c>
      <c r="G65" s="6">
        <f>IF($F$141=0,0,F65/$F$141)</f>
        <v/>
      </c>
      <c r="H65" s="5" t="n">
        <v>94522.45</v>
      </c>
      <c r="I65" t="n">
        <v>2</v>
      </c>
      <c r="J65" t="n">
        <v>4</v>
      </c>
      <c r="L65" s="5" t="n">
        <v>283567.35</v>
      </c>
    </row>
    <row r="66">
      <c r="A66" t="inlineStr">
        <is>
          <t>AMAZONAS</t>
        </is>
      </c>
      <c r="B66" t="inlineStr">
        <is>
          <t>BAGUA</t>
        </is>
      </c>
      <c r="C66" t="inlineStr">
        <is>
          <t>BAGUA</t>
        </is>
      </c>
      <c r="D66" t="inlineStr">
        <is>
          <t>010201</t>
        </is>
      </c>
      <c r="E66" t="inlineStr">
        <is>
          <t>—</t>
        </is>
      </c>
      <c r="F66" s="11" t="n">
        <v>37758.7159</v>
      </c>
      <c r="G66" s="6">
        <f>IF($F$141=0,0,F66/$F$141)</f>
        <v/>
      </c>
      <c r="H66" s="5" t="n">
        <v>91229.56</v>
      </c>
      <c r="I66" t="n">
        <v>4</v>
      </c>
      <c r="J66" t="n">
        <v>4</v>
      </c>
      <c r="K66" t="n">
        <v>3</v>
      </c>
      <c r="L66" s="5" t="n">
        <v>334508.38</v>
      </c>
    </row>
    <row r="67">
      <c r="A67" t="inlineStr">
        <is>
          <t>PIURA</t>
        </is>
      </c>
      <c r="B67" t="inlineStr">
        <is>
          <t>PAITA</t>
        </is>
      </c>
      <c r="C67" t="inlineStr">
        <is>
          <t>PAITA</t>
        </is>
      </c>
      <c r="D67" t="inlineStr">
        <is>
          <t>200501</t>
        </is>
      </c>
      <c r="E67" t="inlineStr">
        <is>
          <t>—</t>
        </is>
      </c>
      <c r="F67" s="11" t="n">
        <v>36734.5336</v>
      </c>
      <c r="G67" s="6">
        <f>IF($F$141=0,0,F67/$F$141)</f>
        <v/>
      </c>
      <c r="H67" s="5" t="n">
        <v>88755.00999999999</v>
      </c>
      <c r="I67" t="n">
        <v>2</v>
      </c>
      <c r="J67" t="n">
        <v>4</v>
      </c>
      <c r="L67" s="5" t="n">
        <v>266265.03</v>
      </c>
    </row>
    <row r="68">
      <c r="A68" t="inlineStr">
        <is>
          <t>AREQUIPA</t>
        </is>
      </c>
      <c r="B68" t="inlineStr">
        <is>
          <t>CAYLLOMA</t>
        </is>
      </c>
      <c r="C68" t="inlineStr">
        <is>
          <t>MAJES</t>
        </is>
      </c>
      <c r="D68" t="inlineStr">
        <is>
          <t>040520</t>
        </is>
      </c>
      <c r="E68" t="inlineStr">
        <is>
          <t>—</t>
        </is>
      </c>
      <c r="F68" s="11" t="n">
        <v>34937.2629</v>
      </c>
      <c r="G68" s="6">
        <f>IF($F$141=0,0,F68/$F$141)</f>
        <v/>
      </c>
      <c r="H68" s="5" t="n">
        <v>84412.59</v>
      </c>
      <c r="I68" t="n">
        <v>4</v>
      </c>
      <c r="J68" t="n">
        <v>4</v>
      </c>
      <c r="L68" s="5" t="n">
        <v>337650.36</v>
      </c>
    </row>
    <row r="69">
      <c r="A69" t="inlineStr">
        <is>
          <t>AREQUIPA</t>
        </is>
      </c>
      <c r="B69" t="inlineStr">
        <is>
          <t>CAMANA</t>
        </is>
      </c>
      <c r="C69" t="inlineStr">
        <is>
          <t>CAMANA</t>
        </is>
      </c>
      <c r="D69" t="inlineStr">
        <is>
          <t>040201</t>
        </is>
      </c>
      <c r="E69" t="inlineStr">
        <is>
          <t>—</t>
        </is>
      </c>
      <c r="F69" s="11" t="n">
        <v>34658.5789</v>
      </c>
      <c r="G69" s="6">
        <f>IF($F$141=0,0,F69/$F$141)</f>
        <v/>
      </c>
      <c r="H69" s="5" t="n">
        <v>83739.25999999999</v>
      </c>
      <c r="I69" t="n">
        <v>4</v>
      </c>
      <c r="J69" t="n">
        <v>4</v>
      </c>
      <c r="L69" s="5" t="n">
        <v>334957.03</v>
      </c>
    </row>
    <row r="70">
      <c r="A70" t="inlineStr">
        <is>
          <t>ICA</t>
        </is>
      </c>
      <c r="B70" t="inlineStr">
        <is>
          <t>NAZCA</t>
        </is>
      </c>
      <c r="C70" t="inlineStr">
        <is>
          <t>MARCONA</t>
        </is>
      </c>
      <c r="D70" t="inlineStr">
        <is>
          <t>110304</t>
        </is>
      </c>
      <c r="E70" t="inlineStr">
        <is>
          <t>—</t>
        </is>
      </c>
      <c r="F70" s="11" t="n">
        <v>28237.2936</v>
      </c>
      <c r="G70" s="6">
        <f>IF($F$141=0,0,F70/$F$141)</f>
        <v/>
      </c>
      <c r="H70" s="5" t="n">
        <v>68224.67</v>
      </c>
      <c r="I70" t="n">
        <v>3</v>
      </c>
      <c r="J70" t="n">
        <v>4</v>
      </c>
      <c r="L70" s="5" t="n">
        <v>238786.33</v>
      </c>
    </row>
    <row r="71">
      <c r="A71" t="inlineStr">
        <is>
          <t>JUNIN</t>
        </is>
      </c>
      <c r="B71" t="inlineStr">
        <is>
          <t>SATIPO</t>
        </is>
      </c>
      <c r="C71" t="inlineStr">
        <is>
          <t>PANGOA</t>
        </is>
      </c>
      <c r="D71" t="inlineStr">
        <is>
          <t>120606</t>
        </is>
      </c>
      <c r="E71" t="inlineStr">
        <is>
          <t>—</t>
        </is>
      </c>
      <c r="F71" s="11" t="n">
        <v>27586.3789</v>
      </c>
      <c r="G71" s="6">
        <f>IF($F$141=0,0,F71/$F$141)</f>
        <v/>
      </c>
      <c r="H71" s="5" t="n">
        <v>66651.98</v>
      </c>
      <c r="I71" t="n">
        <v>3</v>
      </c>
      <c r="J71" t="n">
        <v>2</v>
      </c>
      <c r="L71" s="5" t="n">
        <v>166629.95</v>
      </c>
    </row>
    <row r="72">
      <c r="A72" t="inlineStr">
        <is>
          <t>ANCASH</t>
        </is>
      </c>
      <c r="B72" t="inlineStr">
        <is>
          <t>HUAYLAS</t>
        </is>
      </c>
      <c r="C72" t="inlineStr">
        <is>
          <t>CARAZ</t>
        </is>
      </c>
      <c r="D72" t="inlineStr">
        <is>
          <t>021201</t>
        </is>
      </c>
      <c r="E72" t="inlineStr">
        <is>
          <t>—</t>
        </is>
      </c>
      <c r="F72" s="11" t="n">
        <v>26448.1705</v>
      </c>
      <c r="G72" s="6">
        <f>IF($F$141=0,0,F72/$F$141)</f>
        <v/>
      </c>
      <c r="H72" s="5" t="n">
        <v>63901.93</v>
      </c>
      <c r="I72" t="n">
        <v>4</v>
      </c>
      <c r="J72" t="n">
        <v>3</v>
      </c>
      <c r="K72" t="n">
        <v>4</v>
      </c>
      <c r="L72" s="5" t="n">
        <v>234307.08</v>
      </c>
    </row>
    <row r="73">
      <c r="A73" t="inlineStr">
        <is>
          <t>SAN MARTIN</t>
        </is>
      </c>
      <c r="B73" t="inlineStr">
        <is>
          <t>MARISCAL CACERES</t>
        </is>
      </c>
      <c r="C73" t="inlineStr">
        <is>
          <t>JUANJUI</t>
        </is>
      </c>
      <c r="D73" t="inlineStr">
        <is>
          <t>220601</t>
        </is>
      </c>
      <c r="E73" t="inlineStr">
        <is>
          <t>—</t>
        </is>
      </c>
      <c r="F73" s="11" t="n">
        <v>20423.788</v>
      </c>
      <c r="G73" s="6">
        <f>IF($F$141=0,0,F73/$F$141)</f>
        <v/>
      </c>
      <c r="H73" s="5" t="n">
        <v>49346.31</v>
      </c>
      <c r="I73" t="n">
        <v>4</v>
      </c>
      <c r="J73" t="n">
        <v>4</v>
      </c>
      <c r="K73" t="n">
        <v>2</v>
      </c>
      <c r="L73" s="5" t="n">
        <v>164487.69</v>
      </c>
    </row>
    <row r="74">
      <c r="A74" t="inlineStr">
        <is>
          <t>LIMA</t>
        </is>
      </c>
      <c r="B74" t="inlineStr">
        <is>
          <t>HUARAL</t>
        </is>
      </c>
      <c r="C74" t="inlineStr">
        <is>
          <t>CHANCAY</t>
        </is>
      </c>
      <c r="D74" t="inlineStr">
        <is>
          <t>150605</t>
        </is>
      </c>
      <c r="E74" t="inlineStr">
        <is>
          <t>—</t>
        </is>
      </c>
      <c r="F74" s="11" t="n">
        <v>15050.1359</v>
      </c>
      <c r="G74" s="6">
        <f>IF($F$141=0,0,F74/$F$141)</f>
        <v/>
      </c>
      <c r="H74" s="5" t="n">
        <v>36362.92</v>
      </c>
      <c r="I74" t="n">
        <v>3</v>
      </c>
      <c r="J74" t="n">
        <v>4</v>
      </c>
      <c r="L74" s="5" t="n">
        <v>127270.23</v>
      </c>
    </row>
    <row r="75">
      <c r="A75" t="inlineStr">
        <is>
          <t>TACNA</t>
        </is>
      </c>
      <c r="B75" t="inlineStr">
        <is>
          <t>JORGE BASADRE</t>
        </is>
      </c>
      <c r="C75" t="inlineStr">
        <is>
          <t>ILABAYA</t>
        </is>
      </c>
      <c r="D75" t="inlineStr">
        <is>
          <t>230302</t>
        </is>
      </c>
      <c r="E75" t="inlineStr">
        <is>
          <t>—</t>
        </is>
      </c>
      <c r="F75" s="11" t="n">
        <v>2266.2438</v>
      </c>
      <c r="G75" s="6">
        <f>IF($F$141=0,0,F75/$F$141)</f>
        <v/>
      </c>
      <c r="H75" s="5" t="n">
        <v>5475.51</v>
      </c>
      <c r="I75" t="n">
        <v>5</v>
      </c>
      <c r="J75" t="n">
        <v>3</v>
      </c>
      <c r="K75" t="n">
        <v>3</v>
      </c>
      <c r="L75" s="5" t="n">
        <v>20076.89</v>
      </c>
    </row>
    <row r="76">
      <c r="A76" t="inlineStr">
        <is>
          <t>LIMA</t>
        </is>
      </c>
      <c r="B76" t="inlineStr">
        <is>
          <t>LIMA</t>
        </is>
      </c>
      <c r="C76" t="inlineStr">
        <is>
          <t>SANTIAGO DE SURCO</t>
        </is>
      </c>
      <c r="D76" t="inlineStr">
        <is>
          <t>150140</t>
        </is>
      </c>
      <c r="E76" t="inlineStr">
        <is>
          <t>—</t>
        </is>
      </c>
      <c r="F76" s="11" t="n">
        <v>1748.2963</v>
      </c>
      <c r="G76" s="6">
        <f>IF($F$141=0,0,F76/$F$141)</f>
        <v/>
      </c>
      <c r="H76" s="5" t="n">
        <v>4224.09</v>
      </c>
      <c r="I76" t="n">
        <v>1</v>
      </c>
      <c r="J76" t="n">
        <v>3</v>
      </c>
      <c r="L76" s="5" t="n">
        <v>8448.18</v>
      </c>
    </row>
    <row r="77">
      <c r="A77" t="inlineStr">
        <is>
          <t>LIMA</t>
        </is>
      </c>
      <c r="B77" t="inlineStr">
        <is>
          <t>LIMA</t>
        </is>
      </c>
      <c r="C77" t="inlineStr">
        <is>
          <t>LA MOLINA</t>
        </is>
      </c>
      <c r="D77" t="inlineStr">
        <is>
          <t>150114</t>
        </is>
      </c>
      <c r="E77" t="inlineStr">
        <is>
          <t>—</t>
        </is>
      </c>
      <c r="F77" s="11" t="n">
        <v>853.1495</v>
      </c>
      <c r="G77" s="6">
        <f>IF($F$141=0,0,F77/$F$141)</f>
        <v/>
      </c>
      <c r="H77" s="5" t="n">
        <v>2061.31</v>
      </c>
      <c r="I77" t="n">
        <v>4</v>
      </c>
      <c r="J77" t="n">
        <v>3</v>
      </c>
      <c r="L77" s="5" t="n">
        <v>7214.59</v>
      </c>
    </row>
    <row r="78">
      <c r="A78" t="inlineStr">
        <is>
          <t>LIMA</t>
        </is>
      </c>
      <c r="B78" t="inlineStr">
        <is>
          <t>LIMA</t>
        </is>
      </c>
      <c r="C78" t="inlineStr">
        <is>
          <t>SURQUILLO</t>
        </is>
      </c>
      <c r="D78" t="inlineStr">
        <is>
          <t>150141</t>
        </is>
      </c>
      <c r="E78" t="inlineStr">
        <is>
          <t>—</t>
        </is>
      </c>
      <c r="F78" s="11" t="n">
        <v>521.7011</v>
      </c>
      <c r="G78" s="6">
        <f>IF($F$141=0,0,F78/$F$141)</f>
        <v/>
      </c>
      <c r="H78" s="5" t="n">
        <v>1260.49</v>
      </c>
      <c r="I78" t="n">
        <v>1</v>
      </c>
      <c r="J78" t="n">
        <v>4</v>
      </c>
      <c r="L78" s="5" t="n">
        <v>3151.23</v>
      </c>
    </row>
    <row r="79">
      <c r="A79" t="inlineStr">
        <is>
          <t>LIMA</t>
        </is>
      </c>
      <c r="B79" t="inlineStr">
        <is>
          <t>LIMA</t>
        </is>
      </c>
      <c r="C79" t="inlineStr">
        <is>
          <t>SANTA ANITA</t>
        </is>
      </c>
      <c r="D79" t="inlineStr">
        <is>
          <t>150137</t>
        </is>
      </c>
      <c r="E79" t="inlineStr">
        <is>
          <t>—</t>
        </is>
      </c>
      <c r="F79" s="11" t="n">
        <v>509.4375</v>
      </c>
      <c r="G79" s="6">
        <f>IF($F$141=0,0,F79/$F$141)</f>
        <v/>
      </c>
      <c r="H79" s="5" t="n">
        <v>1230.86</v>
      </c>
      <c r="I79" t="n">
        <v>2</v>
      </c>
      <c r="J79" t="n">
        <v>4</v>
      </c>
      <c r="L79" s="5" t="n">
        <v>3692.58</v>
      </c>
    </row>
    <row r="80">
      <c r="A80" t="inlineStr">
        <is>
          <t>LIMA</t>
        </is>
      </c>
      <c r="B80" t="inlineStr">
        <is>
          <t>LIMA</t>
        </is>
      </c>
      <c r="C80" t="inlineStr">
        <is>
          <t>LA VICTORIA</t>
        </is>
      </c>
      <c r="D80" t="inlineStr">
        <is>
          <t>150115</t>
        </is>
      </c>
      <c r="E80" t="inlineStr">
        <is>
          <t>—</t>
        </is>
      </c>
      <c r="F80" s="11" t="n">
        <v>501.1717</v>
      </c>
      <c r="G80" s="6">
        <f>IF($F$141=0,0,F80/$F$141)</f>
        <v/>
      </c>
      <c r="H80" s="5" t="n">
        <v>1210.89</v>
      </c>
      <c r="I80" t="n">
        <v>1</v>
      </c>
      <c r="J80" t="n">
        <v>3</v>
      </c>
      <c r="L80" s="5" t="n">
        <v>2421.78</v>
      </c>
    </row>
    <row r="81">
      <c r="A81" t="inlineStr">
        <is>
          <t>LIMA</t>
        </is>
      </c>
      <c r="B81" t="inlineStr">
        <is>
          <t>LIMA</t>
        </is>
      </c>
      <c r="C81" t="inlineStr">
        <is>
          <t>SAN JUAN DE LURIGANCHO</t>
        </is>
      </c>
      <c r="D81" t="inlineStr">
        <is>
          <t>150132</t>
        </is>
      </c>
      <c r="E81" t="inlineStr">
        <is>
          <t>—</t>
        </is>
      </c>
      <c r="F81" s="11" t="n">
        <v>459.642</v>
      </c>
      <c r="G81" s="6">
        <f>IF($F$141=0,0,F81/$F$141)</f>
        <v/>
      </c>
      <c r="H81" s="5" t="n">
        <v>1110.55</v>
      </c>
      <c r="I81" t="n">
        <v>5</v>
      </c>
      <c r="J81" t="n">
        <v>2</v>
      </c>
      <c r="L81" s="5" t="n">
        <v>3886.92</v>
      </c>
    </row>
    <row r="82">
      <c r="A82" t="inlineStr">
        <is>
          <t>LIMA</t>
        </is>
      </c>
      <c r="B82" t="inlineStr">
        <is>
          <t>LIMA</t>
        </is>
      </c>
      <c r="C82" t="inlineStr">
        <is>
          <t>COMAS</t>
        </is>
      </c>
      <c r="D82" t="inlineStr">
        <is>
          <t>150110</t>
        </is>
      </c>
      <c r="E82" t="inlineStr">
        <is>
          <t>—</t>
        </is>
      </c>
      <c r="F82" s="11" t="n">
        <v>413.2038</v>
      </c>
      <c r="G82" s="6">
        <f>IF($F$141=0,0,F82/$F$141)</f>
        <v/>
      </c>
      <c r="H82" s="5" t="n">
        <v>998.35</v>
      </c>
      <c r="I82" t="n">
        <v>3</v>
      </c>
      <c r="J82" t="n">
        <v>3</v>
      </c>
      <c r="L82" s="5" t="n">
        <v>2995.05</v>
      </c>
    </row>
    <row r="83">
      <c r="A83" t="inlineStr">
        <is>
          <t>LIMA</t>
        </is>
      </c>
      <c r="B83" t="inlineStr">
        <is>
          <t>LIMA</t>
        </is>
      </c>
      <c r="C83" t="inlineStr">
        <is>
          <t>SAN MIGUEL</t>
        </is>
      </c>
      <c r="D83" t="inlineStr">
        <is>
          <t>150136</t>
        </is>
      </c>
      <c r="E83" t="inlineStr">
        <is>
          <t>—</t>
        </is>
      </c>
      <c r="F83" s="11" t="n">
        <v>377.0755</v>
      </c>
      <c r="G83" s="6">
        <f>IF($F$141=0,0,F83/$F$141)</f>
        <v/>
      </c>
      <c r="H83" s="5" t="n">
        <v>911.0599999999999</v>
      </c>
      <c r="I83" t="n">
        <v>1</v>
      </c>
      <c r="J83" t="n">
        <v>4</v>
      </c>
      <c r="L83" s="5" t="n">
        <v>2277.65</v>
      </c>
    </row>
    <row r="84">
      <c r="A84" t="inlineStr">
        <is>
          <t>LIMA</t>
        </is>
      </c>
      <c r="B84" t="inlineStr">
        <is>
          <t>LIMA</t>
        </is>
      </c>
      <c r="C84" t="inlineStr">
        <is>
          <t>SAN LUIS</t>
        </is>
      </c>
      <c r="D84" t="inlineStr">
        <is>
          <t>150134</t>
        </is>
      </c>
      <c r="E84" t="inlineStr">
        <is>
          <t>—</t>
        </is>
      </c>
      <c r="F84" s="11" t="n">
        <v>353.5276</v>
      </c>
      <c r="G84" s="6">
        <f>IF($F$141=0,0,F84/$F$141)</f>
        <v/>
      </c>
      <c r="H84" s="5" t="n">
        <v>854.16</v>
      </c>
      <c r="I84" t="n">
        <v>1</v>
      </c>
      <c r="J84" t="n">
        <v>3</v>
      </c>
      <c r="L84" s="5" t="n">
        <v>1708.33</v>
      </c>
    </row>
    <row r="85">
      <c r="A85" t="inlineStr">
        <is>
          <t>CALLAO</t>
        </is>
      </c>
      <c r="B85" t="inlineStr">
        <is>
          <t>CALLAO</t>
        </is>
      </c>
      <c r="C85" t="inlineStr">
        <is>
          <t>CALLAO</t>
        </is>
      </c>
      <c r="D85" t="inlineStr">
        <is>
          <t>070101</t>
        </is>
      </c>
      <c r="E85" t="inlineStr">
        <is>
          <t>—</t>
        </is>
      </c>
      <c r="F85" s="11" t="n">
        <v>334.2094</v>
      </c>
      <c r="G85" s="6">
        <f>IF($F$141=0,0,F85/$F$141)</f>
        <v/>
      </c>
      <c r="H85" s="5" t="n">
        <v>807.49</v>
      </c>
      <c r="I85" t="n">
        <v>1</v>
      </c>
      <c r="J85" t="n">
        <v>5</v>
      </c>
      <c r="L85" s="5" t="n">
        <v>2422.47</v>
      </c>
    </row>
    <row r="86">
      <c r="A86" t="inlineStr">
        <is>
          <t>LIMA</t>
        </is>
      </c>
      <c r="B86" t="inlineStr">
        <is>
          <t>LIMA</t>
        </is>
      </c>
      <c r="C86" t="inlineStr">
        <is>
          <t>LINCE</t>
        </is>
      </c>
      <c r="D86" t="inlineStr">
        <is>
          <t>150116</t>
        </is>
      </c>
      <c r="E86" t="inlineStr">
        <is>
          <t>—</t>
        </is>
      </c>
      <c r="F86" s="11" t="n">
        <v>323.4639</v>
      </c>
      <c r="G86" s="6">
        <f>IF($F$141=0,0,F86/$F$141)</f>
        <v/>
      </c>
      <c r="H86" s="5" t="n">
        <v>781.53</v>
      </c>
      <c r="I86" t="n">
        <v>1</v>
      </c>
      <c r="J86" t="n">
        <v>4</v>
      </c>
      <c r="L86" s="5" t="n">
        <v>1953.82</v>
      </c>
    </row>
    <row r="87">
      <c r="A87" t="inlineStr">
        <is>
          <t>LIMA</t>
        </is>
      </c>
      <c r="B87" t="inlineStr">
        <is>
          <t>LIMA</t>
        </is>
      </c>
      <c r="C87" t="inlineStr">
        <is>
          <t>LOS OLIVOS</t>
        </is>
      </c>
      <c r="D87" t="inlineStr">
        <is>
          <t>150117</t>
        </is>
      </c>
      <c r="E87" t="inlineStr">
        <is>
          <t>—</t>
        </is>
      </c>
      <c r="F87" s="11" t="n">
        <v>299.8151</v>
      </c>
      <c r="G87" s="6">
        <f>IF($F$141=0,0,F87/$F$141)</f>
        <v/>
      </c>
      <c r="H87" s="5" t="n">
        <v>724.39</v>
      </c>
      <c r="I87" t="n">
        <v>1</v>
      </c>
      <c r="J87" t="n">
        <v>4</v>
      </c>
      <c r="L87" s="5" t="n">
        <v>1810.97</v>
      </c>
    </row>
    <row r="88">
      <c r="A88" t="inlineStr">
        <is>
          <t>LIMA</t>
        </is>
      </c>
      <c r="B88" t="inlineStr">
        <is>
          <t>LIMA</t>
        </is>
      </c>
      <c r="C88" t="inlineStr">
        <is>
          <t>MAGDALENA DEL MAR</t>
        </is>
      </c>
      <c r="D88" t="inlineStr">
        <is>
          <t>150120</t>
        </is>
      </c>
      <c r="E88" t="inlineStr">
        <is>
          <t>—</t>
        </is>
      </c>
      <c r="F88" s="11" t="n">
        <v>295.1549</v>
      </c>
      <c r="G88" s="6">
        <f>IF($F$141=0,0,F88/$F$141)</f>
        <v/>
      </c>
      <c r="H88" s="5" t="n">
        <v>713.13</v>
      </c>
      <c r="I88" t="n">
        <v>2</v>
      </c>
      <c r="J88" t="n">
        <v>4</v>
      </c>
      <c r="L88" s="5" t="n">
        <v>2139.39</v>
      </c>
    </row>
    <row r="89">
      <c r="A89" t="inlineStr">
        <is>
          <t>LIMA</t>
        </is>
      </c>
      <c r="B89" t="inlineStr">
        <is>
          <t>LIMA</t>
        </is>
      </c>
      <c r="C89" t="inlineStr">
        <is>
          <t>SAN BORJA</t>
        </is>
      </c>
      <c r="D89" t="inlineStr">
        <is>
          <t>150130</t>
        </is>
      </c>
      <c r="E89" t="inlineStr">
        <is>
          <t>—</t>
        </is>
      </c>
      <c r="F89" s="11" t="n">
        <v>272.4208</v>
      </c>
      <c r="G89" s="6">
        <f>IF($F$141=0,0,F89/$F$141)</f>
        <v/>
      </c>
      <c r="H89" s="5" t="n">
        <v>658.2</v>
      </c>
      <c r="I89" t="n">
        <v>1</v>
      </c>
      <c r="J89" t="n">
        <v>2</v>
      </c>
      <c r="L89" s="5" t="n">
        <v>987.3</v>
      </c>
    </row>
    <row r="90">
      <c r="A90" t="inlineStr">
        <is>
          <t>LIMA</t>
        </is>
      </c>
      <c r="B90" t="inlineStr">
        <is>
          <t>LIMA</t>
        </is>
      </c>
      <c r="C90" t="inlineStr">
        <is>
          <t>SAN JUAN DE MIRAFLORES</t>
        </is>
      </c>
      <c r="D90" t="inlineStr">
        <is>
          <t>150133</t>
        </is>
      </c>
      <c r="E90" t="inlineStr">
        <is>
          <t>—</t>
        </is>
      </c>
      <c r="F90" s="11" t="n">
        <v>231.2052</v>
      </c>
      <c r="G90" s="6">
        <f>IF($F$141=0,0,F90/$F$141)</f>
        <v/>
      </c>
      <c r="H90" s="5" t="n">
        <v>558.62</v>
      </c>
      <c r="I90" t="n">
        <v>2</v>
      </c>
      <c r="J90" t="n">
        <v>3</v>
      </c>
      <c r="L90" s="5" t="n">
        <v>1396.55</v>
      </c>
    </row>
    <row r="91">
      <c r="A91" t="inlineStr">
        <is>
          <t>LIMA</t>
        </is>
      </c>
      <c r="B91" t="inlineStr">
        <is>
          <t>LIMA</t>
        </is>
      </c>
      <c r="C91" t="inlineStr">
        <is>
          <t>JESUS MARIA</t>
        </is>
      </c>
      <c r="D91" t="inlineStr">
        <is>
          <t>150113</t>
        </is>
      </c>
      <c r="E91" t="inlineStr">
        <is>
          <t>—</t>
        </is>
      </c>
      <c r="F91" s="11" t="n">
        <v>212.1692</v>
      </c>
      <c r="G91" s="6">
        <f>IF($F$141=0,0,F91/$F$141)</f>
        <v/>
      </c>
      <c r="H91" s="5" t="n">
        <v>512.63</v>
      </c>
      <c r="I91" t="n">
        <v>1</v>
      </c>
      <c r="J91" t="n">
        <v>4</v>
      </c>
      <c r="L91" s="5" t="n">
        <v>1281.57</v>
      </c>
    </row>
    <row r="92">
      <c r="A92" t="inlineStr">
        <is>
          <t>LIMA</t>
        </is>
      </c>
      <c r="B92" t="inlineStr">
        <is>
          <t>LIMA</t>
        </is>
      </c>
      <c r="C92" t="inlineStr">
        <is>
          <t>INDEPENDENCIA</t>
        </is>
      </c>
      <c r="D92" t="inlineStr">
        <is>
          <t>150112</t>
        </is>
      </c>
      <c r="E92" t="inlineStr">
        <is>
          <t>—</t>
        </is>
      </c>
      <c r="F92" s="11" t="n">
        <v>208.3269</v>
      </c>
      <c r="G92" s="6">
        <f>IF($F$141=0,0,F92/$F$141)</f>
        <v/>
      </c>
      <c r="H92" s="5" t="n">
        <v>503.34</v>
      </c>
      <c r="I92" t="n">
        <v>5</v>
      </c>
      <c r="J92" t="n">
        <v>2</v>
      </c>
      <c r="L92" s="5" t="n">
        <v>1761.7</v>
      </c>
    </row>
    <row r="93">
      <c r="A93" t="inlineStr">
        <is>
          <t>LIMA</t>
        </is>
      </c>
      <c r="B93" t="inlineStr">
        <is>
          <t>LIMA</t>
        </is>
      </c>
      <c r="C93" t="inlineStr">
        <is>
          <t>MAGDALENA VIEJA</t>
        </is>
      </c>
      <c r="D93" t="inlineStr">
        <is>
          <t>150121</t>
        </is>
      </c>
      <c r="E93" t="inlineStr">
        <is>
          <t>—</t>
        </is>
      </c>
      <c r="F93" s="11" t="n">
        <v>204.8443</v>
      </c>
      <c r="G93" s="6">
        <f>IF($F$141=0,0,F93/$F$141)</f>
        <v/>
      </c>
      <c r="H93" s="5" t="n">
        <v>494.93</v>
      </c>
      <c r="I93" t="n">
        <v>1</v>
      </c>
      <c r="J93" t="n">
        <v>4</v>
      </c>
      <c r="L93" s="5" t="n">
        <v>1237.32</v>
      </c>
    </row>
    <row r="94">
      <c r="A94" t="inlineStr">
        <is>
          <t>LIMA</t>
        </is>
      </c>
      <c r="B94" t="inlineStr">
        <is>
          <t>LIMA</t>
        </is>
      </c>
      <c r="C94" t="inlineStr">
        <is>
          <t>CHORRILLOS</t>
        </is>
      </c>
      <c r="D94" t="inlineStr">
        <is>
          <t>150108</t>
        </is>
      </c>
      <c r="E94" t="inlineStr">
        <is>
          <t>—</t>
        </is>
      </c>
      <c r="F94" s="11" t="n">
        <v>194.8275</v>
      </c>
      <c r="G94" s="6">
        <f>IF($F$141=0,0,F94/$F$141)</f>
        <v/>
      </c>
      <c r="H94" s="5" t="n">
        <v>470.73</v>
      </c>
      <c r="I94" t="n">
        <v>2</v>
      </c>
      <c r="J94" t="n">
        <v>4</v>
      </c>
      <c r="L94" s="5" t="n">
        <v>1412.18</v>
      </c>
    </row>
    <row r="95">
      <c r="A95" t="inlineStr">
        <is>
          <t>LIMA</t>
        </is>
      </c>
      <c r="B95" t="inlineStr">
        <is>
          <t>LIMA</t>
        </is>
      </c>
      <c r="C95" t="inlineStr">
        <is>
          <t>SAN MARTIN DE PORRES</t>
        </is>
      </c>
      <c r="D95" t="inlineStr">
        <is>
          <t>150135</t>
        </is>
      </c>
      <c r="E95" t="inlineStr">
        <is>
          <t>—</t>
        </is>
      </c>
      <c r="F95" s="11" t="n">
        <v>128.5222</v>
      </c>
      <c r="G95" s="6">
        <f>IF($F$141=0,0,F95/$F$141)</f>
        <v/>
      </c>
      <c r="H95" s="5" t="n">
        <v>310.52</v>
      </c>
      <c r="I95" t="n">
        <v>2</v>
      </c>
      <c r="J95" t="n">
        <v>5</v>
      </c>
      <c r="L95" s="5" t="n">
        <v>1086.84</v>
      </c>
    </row>
    <row r="96">
      <c r="A96" t="inlineStr">
        <is>
          <t>LIMA</t>
        </is>
      </c>
      <c r="B96" t="inlineStr">
        <is>
          <t>LIMA</t>
        </is>
      </c>
      <c r="C96" t="inlineStr">
        <is>
          <t>VILLA EL SALVADOR</t>
        </is>
      </c>
      <c r="D96" t="inlineStr">
        <is>
          <t>150142</t>
        </is>
      </c>
      <c r="E96" t="inlineStr">
        <is>
          <t>—</t>
        </is>
      </c>
      <c r="F96" s="11" t="n">
        <v>114.7632</v>
      </c>
      <c r="G96" s="6">
        <f>IF($F$141=0,0,F96/$F$141)</f>
        <v/>
      </c>
      <c r="H96" s="5" t="n">
        <v>277.28</v>
      </c>
      <c r="I96" t="n">
        <v>1</v>
      </c>
      <c r="J96" t="n">
        <v>3</v>
      </c>
      <c r="L96" s="5" t="n">
        <v>554.5599999999999</v>
      </c>
    </row>
    <row r="97">
      <c r="A97" t="inlineStr">
        <is>
          <t>LIMA</t>
        </is>
      </c>
      <c r="B97" t="inlineStr">
        <is>
          <t>LIMA</t>
        </is>
      </c>
      <c r="C97" t="inlineStr">
        <is>
          <t>ATE</t>
        </is>
      </c>
      <c r="D97" t="inlineStr">
        <is>
          <t>150103</t>
        </is>
      </c>
      <c r="E97" t="inlineStr">
        <is>
          <t>—</t>
        </is>
      </c>
      <c r="F97" s="11" t="n">
        <v>106.0187</v>
      </c>
      <c r="G97" s="6">
        <f>IF($F$141=0,0,F97/$F$141)</f>
        <v/>
      </c>
      <c r="H97" s="5" t="n">
        <v>256.15</v>
      </c>
      <c r="I97" t="n">
        <v>4</v>
      </c>
      <c r="J97" t="n">
        <v>3</v>
      </c>
      <c r="L97" s="5" t="n">
        <v>896.54</v>
      </c>
    </row>
    <row r="98">
      <c r="A98" t="inlineStr">
        <is>
          <t>CALLAO</t>
        </is>
      </c>
      <c r="B98" t="inlineStr">
        <is>
          <t>CALLAO</t>
        </is>
      </c>
      <c r="C98" t="inlineStr">
        <is>
          <t>BELLAVISTA</t>
        </is>
      </c>
      <c r="D98" t="inlineStr">
        <is>
          <t>070102</t>
        </is>
      </c>
      <c r="E98" t="inlineStr">
        <is>
          <t>—</t>
        </is>
      </c>
      <c r="F98" s="11" t="n">
        <v>82.62820000000001</v>
      </c>
      <c r="G98" s="6">
        <f>IF($F$141=0,0,F98/$F$141)</f>
        <v/>
      </c>
      <c r="H98" s="5" t="n">
        <v>199.64</v>
      </c>
      <c r="I98" t="n">
        <v>1</v>
      </c>
      <c r="J98" t="n">
        <v>4</v>
      </c>
      <c r="L98" s="5" t="n">
        <v>499.1</v>
      </c>
    </row>
    <row r="99">
      <c r="A99" t="inlineStr">
        <is>
          <t>LIMA</t>
        </is>
      </c>
      <c r="B99" t="inlineStr">
        <is>
          <t>LIMA</t>
        </is>
      </c>
      <c r="C99" t="inlineStr">
        <is>
          <t>VILLA MARIA DEL TRIUNFO</t>
        </is>
      </c>
      <c r="D99" t="inlineStr">
        <is>
          <t>150143</t>
        </is>
      </c>
      <c r="E99" t="inlineStr">
        <is>
          <t>—</t>
        </is>
      </c>
      <c r="F99" s="11" t="n">
        <v>79.235</v>
      </c>
      <c r="G99" s="6">
        <f>IF($F$141=0,0,F99/$F$141)</f>
        <v/>
      </c>
      <c r="H99" s="5" t="n">
        <v>191.44</v>
      </c>
      <c r="I99" t="n">
        <v>4</v>
      </c>
      <c r="J99" t="n">
        <v>1</v>
      </c>
      <c r="L99" s="5" t="n">
        <v>478.6</v>
      </c>
    </row>
    <row r="100">
      <c r="A100" t="inlineStr">
        <is>
          <t>AREQUIPA</t>
        </is>
      </c>
      <c r="B100" t="inlineStr">
        <is>
          <t>AREQUIPA</t>
        </is>
      </c>
      <c r="C100" t="inlineStr">
        <is>
          <t>CAYMA</t>
        </is>
      </c>
      <c r="D100" t="inlineStr">
        <is>
          <t>040103</t>
        </is>
      </c>
      <c r="E100" t="inlineStr">
        <is>
          <t>—</t>
        </is>
      </c>
      <c r="F100" s="11" t="n">
        <v>76.79600000000001</v>
      </c>
      <c r="G100" s="6">
        <f>IF($F$141=0,0,F100/$F$141)</f>
        <v/>
      </c>
      <c r="H100" s="5" t="n">
        <v>185.55</v>
      </c>
      <c r="I100" t="n">
        <v>4</v>
      </c>
      <c r="J100" t="n">
        <v>3</v>
      </c>
      <c r="K100" t="n">
        <v>4</v>
      </c>
      <c r="L100" s="5" t="n">
        <v>680.34</v>
      </c>
    </row>
    <row r="101">
      <c r="A101" t="inlineStr">
        <is>
          <t>JUNIN</t>
        </is>
      </c>
      <c r="B101" t="inlineStr">
        <is>
          <t>HUANCAYO</t>
        </is>
      </c>
      <c r="C101" t="inlineStr">
        <is>
          <t>EL TAMBO</t>
        </is>
      </c>
      <c r="D101" t="inlineStr">
        <is>
          <t>120114</t>
        </is>
      </c>
      <c r="E101" t="inlineStr">
        <is>
          <t>—</t>
        </is>
      </c>
      <c r="F101" s="11" t="n">
        <v>70.4448</v>
      </c>
      <c r="G101" s="6">
        <f>IF($F$141=0,0,F101/$F$141)</f>
        <v/>
      </c>
      <c r="H101" s="5" t="n">
        <v>170.2</v>
      </c>
      <c r="I101" t="n">
        <v>4</v>
      </c>
      <c r="J101" t="n">
        <v>2</v>
      </c>
      <c r="K101" t="n">
        <v>3</v>
      </c>
      <c r="L101" s="5" t="n">
        <v>510.61</v>
      </c>
    </row>
    <row r="102">
      <c r="A102" t="inlineStr">
        <is>
          <t>CALLAO</t>
        </is>
      </c>
      <c r="B102" t="inlineStr">
        <is>
          <t>CALLAO</t>
        </is>
      </c>
      <c r="C102" t="inlineStr">
        <is>
          <t>VENTANILLA</t>
        </is>
      </c>
      <c r="D102" t="inlineStr">
        <is>
          <t>070106</t>
        </is>
      </c>
      <c r="E102" t="inlineStr">
        <is>
          <t>—</t>
        </is>
      </c>
      <c r="F102" s="11" t="n">
        <v>59.3741</v>
      </c>
      <c r="G102" s="6">
        <f>IF($F$141=0,0,F102/$F$141)</f>
        <v/>
      </c>
      <c r="H102" s="5" t="n">
        <v>143.45</v>
      </c>
      <c r="I102" t="n">
        <v>3</v>
      </c>
      <c r="J102" t="n">
        <v>3</v>
      </c>
      <c r="L102" s="5" t="n">
        <v>430.36</v>
      </c>
    </row>
    <row r="103">
      <c r="A103" t="inlineStr">
        <is>
          <t>LIMA</t>
        </is>
      </c>
      <c r="B103" t="inlineStr">
        <is>
          <t>LIMA</t>
        </is>
      </c>
      <c r="C103" t="inlineStr">
        <is>
          <t>BARRANCO</t>
        </is>
      </c>
      <c r="D103" t="inlineStr">
        <is>
          <t>150104</t>
        </is>
      </c>
      <c r="E103" t="inlineStr">
        <is>
          <t>—</t>
        </is>
      </c>
      <c r="F103" s="11" t="n">
        <v>56.1034</v>
      </c>
      <c r="G103" s="6">
        <f>IF($F$141=0,0,F103/$F$141)</f>
        <v/>
      </c>
      <c r="H103" s="5" t="n">
        <v>135.55</v>
      </c>
      <c r="I103" t="n">
        <v>1</v>
      </c>
      <c r="J103" t="n">
        <v>4</v>
      </c>
      <c r="L103" s="5" t="n">
        <v>338.88</v>
      </c>
    </row>
    <row r="104">
      <c r="A104" t="inlineStr">
        <is>
          <t>PIURA</t>
        </is>
      </c>
      <c r="B104" t="inlineStr">
        <is>
          <t>PIURA</t>
        </is>
      </c>
      <c r="C104" t="inlineStr">
        <is>
          <t>CASTILLA</t>
        </is>
      </c>
      <c r="D104" t="inlineStr">
        <is>
          <t>200104</t>
        </is>
      </c>
      <c r="E104" t="inlineStr">
        <is>
          <t>—</t>
        </is>
      </c>
      <c r="F104" s="11" t="n">
        <v>55.4254</v>
      </c>
      <c r="G104" s="6">
        <f>IF($F$141=0,0,F104/$F$141)</f>
        <v/>
      </c>
      <c r="H104" s="5" t="n">
        <v>133.91</v>
      </c>
      <c r="I104" t="n">
        <v>2</v>
      </c>
      <c r="J104" t="n">
        <v>5</v>
      </c>
      <c r="L104" s="5" t="n">
        <v>468.7</v>
      </c>
    </row>
    <row r="105">
      <c r="A105" t="inlineStr">
        <is>
          <t>LIMA</t>
        </is>
      </c>
      <c r="B105" t="inlineStr">
        <is>
          <t>LIMA</t>
        </is>
      </c>
      <c r="C105" t="inlineStr">
        <is>
          <t>PUENTE PIEDRA</t>
        </is>
      </c>
      <c r="D105" t="inlineStr">
        <is>
          <t>150125</t>
        </is>
      </c>
      <c r="E105" t="inlineStr">
        <is>
          <t>—</t>
        </is>
      </c>
      <c r="F105" s="11" t="n">
        <v>51.3205</v>
      </c>
      <c r="G105" s="6">
        <f>IF($F$141=0,0,F105/$F$141)</f>
        <v/>
      </c>
      <c r="H105" s="5" t="n">
        <v>124</v>
      </c>
      <c r="I105" t="n">
        <v>2</v>
      </c>
      <c r="J105" t="n">
        <v>3</v>
      </c>
      <c r="L105" s="5" t="n">
        <v>309.99</v>
      </c>
    </row>
    <row r="106">
      <c r="A106" t="inlineStr">
        <is>
          <t>AREQUIPA</t>
        </is>
      </c>
      <c r="B106" t="inlineStr">
        <is>
          <t>AREQUIPA</t>
        </is>
      </c>
      <c r="C106" t="inlineStr">
        <is>
          <t>SOCABAYA</t>
        </is>
      </c>
      <c r="D106" t="inlineStr">
        <is>
          <t>040122</t>
        </is>
      </c>
      <c r="E106" t="inlineStr">
        <is>
          <t>—</t>
        </is>
      </c>
      <c r="F106" s="11" t="n">
        <v>49.235</v>
      </c>
      <c r="G106" s="6">
        <f>IF($F$141=0,0,F106/$F$141)</f>
        <v/>
      </c>
      <c r="H106" s="5" t="n">
        <v>118.96</v>
      </c>
      <c r="I106" t="n">
        <v>3</v>
      </c>
      <c r="J106" t="n">
        <v>5</v>
      </c>
      <c r="L106" s="5" t="n">
        <v>475.83</v>
      </c>
    </row>
    <row r="107">
      <c r="A107" t="inlineStr">
        <is>
          <t>LIMA</t>
        </is>
      </c>
      <c r="B107" t="inlineStr">
        <is>
          <t>LIMA</t>
        </is>
      </c>
      <c r="C107" t="inlineStr">
        <is>
          <t>BREÑA</t>
        </is>
      </c>
      <c r="D107" t="inlineStr">
        <is>
          <t>150105</t>
        </is>
      </c>
      <c r="E107" t="inlineStr">
        <is>
          <t>—</t>
        </is>
      </c>
      <c r="F107" s="11" t="n">
        <v>49.084</v>
      </c>
      <c r="G107" s="6">
        <f>IF($F$141=0,0,F107/$F$141)</f>
        <v/>
      </c>
      <c r="H107" s="5" t="n">
        <v>118.59</v>
      </c>
      <c r="I107" t="n">
        <v>1</v>
      </c>
      <c r="J107" t="n">
        <v>3</v>
      </c>
      <c r="L107" s="5" t="n">
        <v>237.19</v>
      </c>
    </row>
    <row r="108">
      <c r="A108" t="inlineStr">
        <is>
          <t>LIMA</t>
        </is>
      </c>
      <c r="B108" t="inlineStr">
        <is>
          <t>LIMA</t>
        </is>
      </c>
      <c r="C108" t="inlineStr">
        <is>
          <t>LURIN</t>
        </is>
      </c>
      <c r="D108" t="inlineStr">
        <is>
          <t>150119</t>
        </is>
      </c>
      <c r="E108" t="inlineStr">
        <is>
          <t>—</t>
        </is>
      </c>
      <c r="F108" s="11" t="n">
        <v>48.0731</v>
      </c>
      <c r="G108" s="6">
        <f>IF($F$141=0,0,F108/$F$141)</f>
        <v/>
      </c>
      <c r="H108" s="5" t="n">
        <v>116.15</v>
      </c>
      <c r="I108" t="n">
        <v>3</v>
      </c>
      <c r="J108" t="n">
        <v>3</v>
      </c>
      <c r="L108" s="5" t="n">
        <v>348.45</v>
      </c>
    </row>
    <row r="109">
      <c r="A109" t="inlineStr">
        <is>
          <t>CUSCO</t>
        </is>
      </c>
      <c r="B109" t="inlineStr">
        <is>
          <t>CUSCO</t>
        </is>
      </c>
      <c r="C109" t="inlineStr">
        <is>
          <t>WANCHAQ</t>
        </is>
      </c>
      <c r="D109" t="inlineStr">
        <is>
          <t>080108</t>
        </is>
      </c>
      <c r="E109" t="inlineStr">
        <is>
          <t>—</t>
        </is>
      </c>
      <c r="F109" s="11" t="n">
        <v>45.6059</v>
      </c>
      <c r="G109" s="6">
        <f>IF($F$141=0,0,F109/$F$141)</f>
        <v/>
      </c>
      <c r="H109" s="5" t="n">
        <v>110.19</v>
      </c>
      <c r="I109" t="n">
        <v>3</v>
      </c>
      <c r="J109" t="n">
        <v>4</v>
      </c>
      <c r="K109" t="n">
        <v>4</v>
      </c>
      <c r="L109" s="5" t="n">
        <v>404.03</v>
      </c>
    </row>
    <row r="110">
      <c r="A110" t="inlineStr">
        <is>
          <t>AREQUIPA</t>
        </is>
      </c>
      <c r="B110" t="inlineStr">
        <is>
          <t>AREQUIPA</t>
        </is>
      </c>
      <c r="C110" t="inlineStr">
        <is>
          <t>MIRAFLORES</t>
        </is>
      </c>
      <c r="D110" t="inlineStr">
        <is>
          <t>040110</t>
        </is>
      </c>
      <c r="E110" t="inlineStr">
        <is>
          <t>—</t>
        </is>
      </c>
      <c r="F110" s="11" t="n">
        <v>42.8238</v>
      </c>
      <c r="G110" s="6">
        <f>IF($F$141=0,0,F110/$F$141)</f>
        <v/>
      </c>
      <c r="H110" s="5" t="n">
        <v>103.47</v>
      </c>
      <c r="I110" t="n">
        <v>5</v>
      </c>
      <c r="J110" t="n">
        <v>3</v>
      </c>
      <c r="K110" t="n">
        <v>2</v>
      </c>
      <c r="L110" s="5" t="n">
        <v>344.89</v>
      </c>
    </row>
    <row r="111">
      <c r="A111" t="inlineStr">
        <is>
          <t>LIMA</t>
        </is>
      </c>
      <c r="B111" t="inlineStr">
        <is>
          <t>LIMA</t>
        </is>
      </c>
      <c r="C111" t="inlineStr">
        <is>
          <t>RIMAC</t>
        </is>
      </c>
      <c r="D111" t="inlineStr">
        <is>
          <t>150128</t>
        </is>
      </c>
      <c r="E111" t="inlineStr">
        <is>
          <t>—</t>
        </is>
      </c>
      <c r="F111" s="11" t="n">
        <v>33.2754</v>
      </c>
      <c r="G111" s="6">
        <f>IF($F$141=0,0,F111/$F$141)</f>
        <v/>
      </c>
      <c r="H111" s="5" t="n">
        <v>80.40000000000001</v>
      </c>
      <c r="I111" t="n">
        <v>3</v>
      </c>
      <c r="J111" t="n">
        <v>3</v>
      </c>
      <c r="L111" s="5" t="n">
        <v>241.19</v>
      </c>
    </row>
    <row r="112">
      <c r="A112" t="inlineStr">
        <is>
          <t>AREQUIPA</t>
        </is>
      </c>
      <c r="B112" t="inlineStr">
        <is>
          <t>AREQUIPA</t>
        </is>
      </c>
      <c r="C112" t="inlineStr">
        <is>
          <t>MARIANO MELGAR</t>
        </is>
      </c>
      <c r="D112" t="inlineStr">
        <is>
          <t>040109</t>
        </is>
      </c>
      <c r="E112" t="inlineStr">
        <is>
          <t>—</t>
        </is>
      </c>
      <c r="F112" s="11" t="n">
        <v>28.7563</v>
      </c>
      <c r="G112" s="6">
        <f>IF($F$141=0,0,F112/$F$141)</f>
        <v/>
      </c>
      <c r="H112" s="5" t="n">
        <v>69.48</v>
      </c>
      <c r="I112" t="n">
        <v>4</v>
      </c>
      <c r="J112" t="n">
        <v>3</v>
      </c>
      <c r="K112" t="n">
        <v>2</v>
      </c>
      <c r="L112" s="5" t="n">
        <v>208.44</v>
      </c>
    </row>
    <row r="113">
      <c r="A113" t="inlineStr">
        <is>
          <t>LIMA</t>
        </is>
      </c>
      <c r="B113" t="inlineStr">
        <is>
          <t>LIMA</t>
        </is>
      </c>
      <c r="C113" t="inlineStr">
        <is>
          <t>CARABAYLLO</t>
        </is>
      </c>
      <c r="D113" t="inlineStr">
        <is>
          <t>150106</t>
        </is>
      </c>
      <c r="E113" t="inlineStr">
        <is>
          <t>—</t>
        </is>
      </c>
      <c r="F113" s="11" t="n">
        <v>22.2835</v>
      </c>
      <c r="G113" s="6">
        <f>IF($F$141=0,0,F113/$F$141)</f>
        <v/>
      </c>
      <c r="H113" s="5" t="n">
        <v>53.84</v>
      </c>
      <c r="I113" t="n">
        <v>5</v>
      </c>
      <c r="J113" t="n">
        <v>3</v>
      </c>
      <c r="L113" s="5" t="n">
        <v>215.36</v>
      </c>
    </row>
    <row r="114">
      <c r="A114" t="inlineStr">
        <is>
          <t>LIMA</t>
        </is>
      </c>
      <c r="B114" t="inlineStr">
        <is>
          <t>LIMA</t>
        </is>
      </c>
      <c r="C114" t="inlineStr">
        <is>
          <t>PACHACAMAC</t>
        </is>
      </c>
      <c r="D114" t="inlineStr">
        <is>
          <t>150123</t>
        </is>
      </c>
      <c r="E114" t="inlineStr">
        <is>
          <t>—</t>
        </is>
      </c>
      <c r="F114" s="11" t="n">
        <v>19.664</v>
      </c>
      <c r="G114" s="6">
        <f>IF($F$141=0,0,F114/$F$141)</f>
        <v/>
      </c>
      <c r="H114" s="5" t="n">
        <v>47.51</v>
      </c>
      <c r="I114" t="n">
        <v>4</v>
      </c>
      <c r="J114" t="n">
        <v>2</v>
      </c>
      <c r="L114" s="5" t="n">
        <v>142.53</v>
      </c>
    </row>
    <row r="115">
      <c r="A115" t="inlineStr">
        <is>
          <t>LIMA</t>
        </is>
      </c>
      <c r="B115" t="inlineStr">
        <is>
          <t>LIMA</t>
        </is>
      </c>
      <c r="C115" t="inlineStr">
        <is>
          <t>EL AGUSTINO</t>
        </is>
      </c>
      <c r="D115" t="inlineStr">
        <is>
          <t>150111</t>
        </is>
      </c>
      <c r="E115" t="inlineStr">
        <is>
          <t>—</t>
        </is>
      </c>
      <c r="F115" s="11" t="n">
        <v>17.2388</v>
      </c>
      <c r="G115" s="6">
        <f>IF($F$141=0,0,F115/$F$141)</f>
        <v/>
      </c>
      <c r="H115" s="5" t="n">
        <v>41.65</v>
      </c>
      <c r="I115" t="n">
        <v>2</v>
      </c>
      <c r="J115" t="n">
        <v>4</v>
      </c>
      <c r="L115" s="5" t="n">
        <v>124.95</v>
      </c>
    </row>
    <row r="116">
      <c r="A116" t="inlineStr">
        <is>
          <t>AREQUIPA</t>
        </is>
      </c>
      <c r="B116" t="inlineStr">
        <is>
          <t>AREQUIPA</t>
        </is>
      </c>
      <c r="C116" t="inlineStr">
        <is>
          <t>CERRO COLORADO</t>
        </is>
      </c>
      <c r="D116" t="inlineStr">
        <is>
          <t>040104</t>
        </is>
      </c>
      <c r="E116" t="inlineStr">
        <is>
          <t>—</t>
        </is>
      </c>
      <c r="F116" s="11" t="n">
        <v>16.3951</v>
      </c>
      <c r="G116" s="6">
        <f>IF($F$141=0,0,F116/$F$141)</f>
        <v/>
      </c>
      <c r="H116" s="5" t="n">
        <v>39.61</v>
      </c>
      <c r="I116" t="n">
        <v>4</v>
      </c>
      <c r="J116" t="n">
        <v>4</v>
      </c>
      <c r="K116" t="n">
        <v>2</v>
      </c>
      <c r="L116" s="5" t="n">
        <v>132.04</v>
      </c>
    </row>
    <row r="117">
      <c r="A117" t="inlineStr">
        <is>
          <t>PIURA</t>
        </is>
      </c>
      <c r="B117" t="inlineStr">
        <is>
          <t>SECHURA</t>
        </is>
      </c>
      <c r="C117" t="inlineStr">
        <is>
          <t>SECHURA</t>
        </is>
      </c>
      <c r="D117" t="inlineStr">
        <is>
          <t>200801</t>
        </is>
      </c>
      <c r="E117" t="inlineStr">
        <is>
          <t>—</t>
        </is>
      </c>
      <c r="F117" s="11" t="n">
        <v>16.1918</v>
      </c>
      <c r="G117" s="6">
        <f>IF($F$141=0,0,F117/$F$141)</f>
        <v/>
      </c>
      <c r="H117" s="5" t="n">
        <v>39.12</v>
      </c>
      <c r="I117" t="n">
        <v>2</v>
      </c>
      <c r="J117" t="n">
        <v>5</v>
      </c>
      <c r="L117" s="5" t="n">
        <v>136.92</v>
      </c>
    </row>
    <row r="118">
      <c r="A118" t="inlineStr">
        <is>
          <t>LIMA</t>
        </is>
      </c>
      <c r="B118" t="inlineStr">
        <is>
          <t>LIMA</t>
        </is>
      </c>
      <c r="C118" t="inlineStr">
        <is>
          <t>CHACLACAYO</t>
        </is>
      </c>
      <c r="D118" t="inlineStr">
        <is>
          <t>150107</t>
        </is>
      </c>
      <c r="E118" t="inlineStr">
        <is>
          <t>—</t>
        </is>
      </c>
      <c r="F118" s="11" t="n">
        <v>15.1003</v>
      </c>
      <c r="G118" s="6">
        <f>IF($F$141=0,0,F118/$F$141)</f>
        <v/>
      </c>
      <c r="H118" s="5" t="n">
        <v>36.48</v>
      </c>
      <c r="I118" t="n">
        <v>4</v>
      </c>
      <c r="J118" t="n">
        <v>4</v>
      </c>
      <c r="L118" s="5" t="n">
        <v>145.94</v>
      </c>
    </row>
    <row r="119">
      <c r="A119" t="inlineStr">
        <is>
          <t>AREQUIPA</t>
        </is>
      </c>
      <c r="B119" t="inlineStr">
        <is>
          <t>AREQUIPA</t>
        </is>
      </c>
      <c r="C119" t="inlineStr">
        <is>
          <t>JOSE LUIS BUSTAMANTE Y RIVERO</t>
        </is>
      </c>
      <c r="D119" t="inlineStr">
        <is>
          <t>040129</t>
        </is>
      </c>
      <c r="E119" t="inlineStr">
        <is>
          <t>—</t>
        </is>
      </c>
      <c r="F119" s="11" t="n">
        <v>14.9365</v>
      </c>
      <c r="G119" s="6">
        <f>IF($F$141=0,0,F119/$F$141)</f>
        <v/>
      </c>
      <c r="H119" s="5" t="n">
        <v>36.09</v>
      </c>
      <c r="I119" t="n">
        <v>2</v>
      </c>
      <c r="J119" t="n">
        <v>5</v>
      </c>
      <c r="L119" s="5" t="n">
        <v>126.31</v>
      </c>
    </row>
    <row r="120">
      <c r="A120" t="inlineStr">
        <is>
          <t>LAMBAYEQUE</t>
        </is>
      </c>
      <c r="B120" t="inlineStr">
        <is>
          <t>CHICLAYO</t>
        </is>
      </c>
      <c r="C120" t="inlineStr">
        <is>
          <t>JOSE LEONARDO ORTIZ</t>
        </is>
      </c>
      <c r="D120" t="inlineStr">
        <is>
          <t>140105</t>
        </is>
      </c>
      <c r="E120" t="inlineStr">
        <is>
          <t>—</t>
        </is>
      </c>
      <c r="F120" s="11" t="n">
        <v>14.8782</v>
      </c>
      <c r="G120" s="6">
        <f>IF($F$141=0,0,F120/$F$141)</f>
        <v/>
      </c>
      <c r="H120" s="5" t="n">
        <v>35.95</v>
      </c>
      <c r="I120" t="n">
        <v>1</v>
      </c>
      <c r="J120" t="n">
        <v>4</v>
      </c>
      <c r="L120" s="5" t="n">
        <v>89.87</v>
      </c>
    </row>
    <row r="121">
      <c r="A121" t="inlineStr">
        <is>
          <t>AREQUIPA</t>
        </is>
      </c>
      <c r="B121" t="inlineStr">
        <is>
          <t>AREQUIPA</t>
        </is>
      </c>
      <c r="C121" t="inlineStr">
        <is>
          <t>PAUCARPATA</t>
        </is>
      </c>
      <c r="D121" t="inlineStr">
        <is>
          <t>040112</t>
        </is>
      </c>
      <c r="E121" t="inlineStr">
        <is>
          <t>—</t>
        </is>
      </c>
      <c r="F121" s="11" t="n">
        <v>14.3374</v>
      </c>
      <c r="G121" s="6">
        <f>IF($F$141=0,0,F121/$F$141)</f>
        <v/>
      </c>
      <c r="H121" s="5" t="n">
        <v>34.64</v>
      </c>
      <c r="I121" t="n">
        <v>5</v>
      </c>
      <c r="J121" t="n">
        <v>4</v>
      </c>
      <c r="K121" t="n">
        <v>2</v>
      </c>
      <c r="L121" s="5" t="n">
        <v>127.02</v>
      </c>
    </row>
    <row r="122">
      <c r="A122" t="inlineStr">
        <is>
          <t>LIMA</t>
        </is>
      </c>
      <c r="B122" t="inlineStr">
        <is>
          <t>CAÑETE</t>
        </is>
      </c>
      <c r="C122" t="inlineStr">
        <is>
          <t>IMPERIAL</t>
        </is>
      </c>
      <c r="D122" t="inlineStr">
        <is>
          <t>150507</t>
        </is>
      </c>
      <c r="E122" t="inlineStr">
        <is>
          <t>—</t>
        </is>
      </c>
      <c r="F122" s="11" t="n">
        <v>12.7699</v>
      </c>
      <c r="G122" s="6">
        <f>IF($F$141=0,0,F122/$F$141)</f>
        <v/>
      </c>
      <c r="H122" s="5" t="n">
        <v>30.85</v>
      </c>
      <c r="I122" t="n">
        <v>1</v>
      </c>
      <c r="J122" t="n">
        <v>4</v>
      </c>
      <c r="L122" s="5" t="n">
        <v>77.13</v>
      </c>
    </row>
    <row r="123">
      <c r="A123" t="inlineStr">
        <is>
          <t>LIMA</t>
        </is>
      </c>
      <c r="B123" t="inlineStr">
        <is>
          <t>LIMA</t>
        </is>
      </c>
      <c r="C123" t="inlineStr">
        <is>
          <t>LURIGANCHO</t>
        </is>
      </c>
      <c r="D123" t="inlineStr">
        <is>
          <t>150118</t>
        </is>
      </c>
      <c r="E123" t="inlineStr">
        <is>
          <t>—</t>
        </is>
      </c>
      <c r="F123" s="11" t="n">
        <v>12.4206</v>
      </c>
      <c r="G123" s="6">
        <f>IF($F$141=0,0,F123/$F$141)</f>
        <v/>
      </c>
      <c r="H123" s="5" t="n">
        <v>30.01</v>
      </c>
      <c r="I123" t="n">
        <v>5</v>
      </c>
      <c r="J123" t="n">
        <v>4</v>
      </c>
      <c r="L123" s="5" t="n">
        <v>135.04</v>
      </c>
    </row>
    <row r="124">
      <c r="A124" t="inlineStr">
        <is>
          <t>AREQUIPA</t>
        </is>
      </c>
      <c r="B124" t="inlineStr">
        <is>
          <t>AREQUIPA</t>
        </is>
      </c>
      <c r="C124" t="inlineStr">
        <is>
          <t>YANAHUARA</t>
        </is>
      </c>
      <c r="D124" t="inlineStr">
        <is>
          <t>040126</t>
        </is>
      </c>
      <c r="E124" t="inlineStr">
        <is>
          <t>—</t>
        </is>
      </c>
      <c r="F124" s="11" t="n">
        <v>11.995</v>
      </c>
      <c r="G124" s="6">
        <f>IF($F$141=0,0,F124/$F$141)</f>
        <v/>
      </c>
      <c r="H124" s="5" t="n">
        <v>28.98</v>
      </c>
      <c r="I124" t="n">
        <v>2</v>
      </c>
      <c r="J124" t="n">
        <v>5</v>
      </c>
      <c r="L124" s="5" t="n">
        <v>101.43</v>
      </c>
    </row>
    <row r="125">
      <c r="A125" t="inlineStr">
        <is>
          <t>LA LIBERTAD</t>
        </is>
      </c>
      <c r="B125" t="inlineStr">
        <is>
          <t>TRUJILLO</t>
        </is>
      </c>
      <c r="C125" t="inlineStr">
        <is>
          <t>EL PORVENIR</t>
        </is>
      </c>
      <c r="D125" t="inlineStr">
        <is>
          <t>130102</t>
        </is>
      </c>
      <c r="E125" t="inlineStr">
        <is>
          <t>—</t>
        </is>
      </c>
      <c r="F125" s="11" t="n">
        <v>9.309799999999999</v>
      </c>
      <c r="G125" s="6">
        <f>IF($F$141=0,0,F125/$F$141)</f>
        <v/>
      </c>
      <c r="H125" s="5" t="n">
        <v>22.49</v>
      </c>
      <c r="I125" t="n">
        <v>5</v>
      </c>
      <c r="J125" t="n">
        <v>4</v>
      </c>
      <c r="L125" s="5" t="n">
        <v>101.22</v>
      </c>
    </row>
    <row r="126">
      <c r="A126" t="inlineStr">
        <is>
          <t>SAN MARTIN</t>
        </is>
      </c>
      <c r="B126" t="inlineStr">
        <is>
          <t>RIOJA</t>
        </is>
      </c>
      <c r="C126" t="inlineStr">
        <is>
          <t>RIOJA</t>
        </is>
      </c>
      <c r="D126" t="inlineStr">
        <is>
          <t>220801</t>
        </is>
      </c>
      <c r="E126" t="inlineStr">
        <is>
          <t>—</t>
        </is>
      </c>
      <c r="F126" s="11" t="n">
        <v>8.164300000000001</v>
      </c>
      <c r="G126" s="6">
        <f>IF($F$141=0,0,F126/$F$141)</f>
        <v/>
      </c>
      <c r="H126" s="5" t="n">
        <v>19.73</v>
      </c>
      <c r="I126" t="n">
        <v>3</v>
      </c>
      <c r="J126" t="n">
        <v>3</v>
      </c>
      <c r="K126" t="n">
        <v>2</v>
      </c>
      <c r="L126" s="5" t="n">
        <v>52.6</v>
      </c>
    </row>
    <row r="127">
      <c r="A127" t="inlineStr">
        <is>
          <t>CUSCO</t>
        </is>
      </c>
      <c r="B127" t="inlineStr">
        <is>
          <t>CUSCO</t>
        </is>
      </c>
      <c r="C127" t="inlineStr">
        <is>
          <t>SAN JERONIMO</t>
        </is>
      </c>
      <c r="D127" t="inlineStr">
        <is>
          <t>080104</t>
        </is>
      </c>
      <c r="E127" t="inlineStr">
        <is>
          <t>—</t>
        </is>
      </c>
      <c r="F127" s="11" t="n">
        <v>6.4066</v>
      </c>
      <c r="G127" s="6">
        <f>IF($F$141=0,0,F127/$F$141)</f>
        <v/>
      </c>
      <c r="H127" s="5" t="n">
        <v>15.48</v>
      </c>
      <c r="I127" t="n">
        <v>4</v>
      </c>
      <c r="J127" t="n">
        <v>2</v>
      </c>
      <c r="K127" t="n">
        <v>3</v>
      </c>
      <c r="L127" s="5" t="n">
        <v>46.44</v>
      </c>
    </row>
    <row r="128">
      <c r="A128" t="inlineStr">
        <is>
          <t>CUSCO</t>
        </is>
      </c>
      <c r="B128" t="inlineStr">
        <is>
          <t>URUBAMBA</t>
        </is>
      </c>
      <c r="C128" t="inlineStr">
        <is>
          <t>URUBAMBA</t>
        </is>
      </c>
      <c r="D128" t="inlineStr">
        <is>
          <t>081301</t>
        </is>
      </c>
      <c r="E128" t="inlineStr">
        <is>
          <t>—</t>
        </is>
      </c>
      <c r="F128" s="11" t="n">
        <v>5.2736</v>
      </c>
      <c r="G128" s="6">
        <f>IF($F$141=0,0,F128/$F$141)</f>
        <v/>
      </c>
      <c r="H128" s="5" t="n">
        <v>12.74</v>
      </c>
      <c r="I128" t="n">
        <v>4</v>
      </c>
      <c r="J128" t="n">
        <v>2</v>
      </c>
      <c r="K128" t="n">
        <v>3</v>
      </c>
      <c r="L128" s="5" t="n">
        <v>38.22</v>
      </c>
    </row>
    <row r="129">
      <c r="A129" t="inlineStr">
        <is>
          <t>UCAYALI</t>
        </is>
      </c>
      <c r="B129" t="inlineStr">
        <is>
          <t>CORONEL PORTILLO</t>
        </is>
      </c>
      <c r="C129" t="inlineStr">
        <is>
          <t>YARINACOCHA</t>
        </is>
      </c>
      <c r="D129" t="inlineStr">
        <is>
          <t>250105</t>
        </is>
      </c>
      <c r="E129" t="inlineStr">
        <is>
          <t>—</t>
        </is>
      </c>
      <c r="F129" s="11" t="n">
        <v>5.0002</v>
      </c>
      <c r="G129" s="6">
        <f>IF($F$141=0,0,F129/$F$141)</f>
        <v/>
      </c>
      <c r="H129" s="5" t="n">
        <v>12.08</v>
      </c>
      <c r="I129" t="n">
        <v>1</v>
      </c>
      <c r="J129" t="n">
        <v>5</v>
      </c>
      <c r="K129" t="n">
        <v>2</v>
      </c>
      <c r="L129" s="5" t="n">
        <v>32.22</v>
      </c>
    </row>
    <row r="130">
      <c r="A130" t="inlineStr">
        <is>
          <t>SAN MARTIN</t>
        </is>
      </c>
      <c r="B130" t="inlineStr">
        <is>
          <t>RIOJA</t>
        </is>
      </c>
      <c r="C130" t="inlineStr">
        <is>
          <t>NUEVA CAJAMARCA</t>
        </is>
      </c>
      <c r="D130" t="inlineStr">
        <is>
          <t>220804</t>
        </is>
      </c>
      <c r="E130" t="inlineStr">
        <is>
          <t>—</t>
        </is>
      </c>
      <c r="F130" s="11" t="n">
        <v>4.5401</v>
      </c>
      <c r="G130" s="6">
        <f>IF($F$141=0,0,F130/$F$141)</f>
        <v/>
      </c>
      <c r="H130" s="5" t="n">
        <v>10.97</v>
      </c>
      <c r="I130" t="n">
        <v>4</v>
      </c>
      <c r="J130" t="n">
        <v>4</v>
      </c>
      <c r="K130" t="n">
        <v>2</v>
      </c>
      <c r="L130" s="5" t="n">
        <v>36.56</v>
      </c>
    </row>
    <row r="131">
      <c r="A131" t="inlineStr">
        <is>
          <t>AREQUIPA</t>
        </is>
      </c>
      <c r="B131" t="inlineStr">
        <is>
          <t>AREQUIPA</t>
        </is>
      </c>
      <c r="C131" t="inlineStr">
        <is>
          <t>JACOBO HUNTER</t>
        </is>
      </c>
      <c r="D131" t="inlineStr">
        <is>
          <t>040107</t>
        </is>
      </c>
      <c r="E131" t="inlineStr">
        <is>
          <t>—</t>
        </is>
      </c>
      <c r="F131" s="11" t="n">
        <v>3.6237</v>
      </c>
      <c r="G131" s="6">
        <f>IF($F$141=0,0,F131/$F$141)</f>
        <v/>
      </c>
      <c r="H131" s="5" t="n">
        <v>8.76</v>
      </c>
      <c r="I131" t="n">
        <v>4</v>
      </c>
      <c r="J131" t="n">
        <v>4</v>
      </c>
      <c r="L131" s="5" t="n">
        <v>35.02</v>
      </c>
    </row>
    <row r="132">
      <c r="A132" t="inlineStr">
        <is>
          <t>MOQUEGUA</t>
        </is>
      </c>
      <c r="B132" t="inlineStr">
        <is>
          <t>ILO</t>
        </is>
      </c>
      <c r="C132" t="inlineStr">
        <is>
          <t>PACOCHA</t>
        </is>
      </c>
      <c r="D132" t="inlineStr">
        <is>
          <t>180303</t>
        </is>
      </c>
      <c r="E132" t="inlineStr">
        <is>
          <t>—</t>
        </is>
      </c>
      <c r="F132" s="11" t="n">
        <v>3.1153</v>
      </c>
      <c r="G132" s="6">
        <f>IF($F$141=0,0,F132/$F$141)</f>
        <v/>
      </c>
      <c r="H132" s="5" t="n">
        <v>7.53</v>
      </c>
      <c r="I132" t="n">
        <v>4</v>
      </c>
      <c r="J132" t="n">
        <v>2</v>
      </c>
      <c r="L132" s="5" t="n">
        <v>22.58</v>
      </c>
    </row>
    <row r="133">
      <c r="A133" t="inlineStr">
        <is>
          <t>LIMA</t>
        </is>
      </c>
      <c r="B133" t="inlineStr">
        <is>
          <t>CAÑETE</t>
        </is>
      </c>
      <c r="C133" t="inlineStr">
        <is>
          <t>MALA</t>
        </is>
      </c>
      <c r="D133" t="inlineStr">
        <is>
          <t>150509</t>
        </is>
      </c>
      <c r="E133" t="inlineStr">
        <is>
          <t>—</t>
        </is>
      </c>
      <c r="F133" s="11" t="n">
        <v>2.1103</v>
      </c>
      <c r="G133" s="6">
        <f>IF($F$141=0,0,F133/$F$141)</f>
        <v/>
      </c>
      <c r="H133" s="5" t="n">
        <v>5.1</v>
      </c>
      <c r="I133" t="n">
        <v>3</v>
      </c>
      <c r="J133" t="n">
        <v>3</v>
      </c>
      <c r="L133" s="5" t="n">
        <v>15.3</v>
      </c>
    </row>
    <row r="134">
      <c r="A134" t="inlineStr">
        <is>
          <t>PIURA</t>
        </is>
      </c>
      <c r="B134" t="inlineStr">
        <is>
          <t>PIURA</t>
        </is>
      </c>
      <c r="C134" t="inlineStr">
        <is>
          <t>TAMBO GRANDE</t>
        </is>
      </c>
      <c r="D134" t="inlineStr">
        <is>
          <t>200114</t>
        </is>
      </c>
      <c r="E134" t="inlineStr">
        <is>
          <t>—</t>
        </is>
      </c>
      <c r="F134" s="11" t="n">
        <v>1.8169</v>
      </c>
      <c r="G134" s="6">
        <f>IF($F$141=0,0,F134/$F$141)</f>
        <v/>
      </c>
      <c r="H134" s="5" t="n">
        <v>4.39</v>
      </c>
      <c r="I134" t="n">
        <v>4</v>
      </c>
      <c r="J134" t="n">
        <v>4</v>
      </c>
      <c r="K134" t="n">
        <v>2</v>
      </c>
      <c r="L134" s="5" t="n">
        <v>14.63</v>
      </c>
    </row>
    <row r="135">
      <c r="A135" t="inlineStr">
        <is>
          <t>PIURA</t>
        </is>
      </c>
      <c r="B135" t="inlineStr">
        <is>
          <t>MORROPON</t>
        </is>
      </c>
      <c r="C135" t="inlineStr">
        <is>
          <t>CHULUCANAS</t>
        </is>
      </c>
      <c r="D135" t="inlineStr">
        <is>
          <t>200401</t>
        </is>
      </c>
      <c r="E135" t="inlineStr">
        <is>
          <t>—</t>
        </is>
      </c>
      <c r="F135" s="11" t="n">
        <v>1.5771</v>
      </c>
      <c r="G135" s="6">
        <f>IF($F$141=0,0,F135/$F$141)</f>
        <v/>
      </c>
      <c r="H135" s="5" t="n">
        <v>3.81</v>
      </c>
      <c r="I135" t="n">
        <v>2</v>
      </c>
      <c r="J135" t="n">
        <v>5</v>
      </c>
      <c r="K135" t="n">
        <v>2</v>
      </c>
      <c r="L135" s="5" t="n">
        <v>11.43</v>
      </c>
    </row>
    <row r="136">
      <c r="A136" t="inlineStr">
        <is>
          <t>LIMA</t>
        </is>
      </c>
      <c r="B136" t="inlineStr">
        <is>
          <t>CAÑETE</t>
        </is>
      </c>
      <c r="C136" t="inlineStr">
        <is>
          <t>ASIA</t>
        </is>
      </c>
      <c r="D136" t="inlineStr">
        <is>
          <t>150502</t>
        </is>
      </c>
      <c r="E136" t="inlineStr">
        <is>
          <t>—</t>
        </is>
      </c>
      <c r="F136" s="11" t="n">
        <v>1.2952</v>
      </c>
      <c r="G136" s="6">
        <f>IF($F$141=0,0,F136/$F$141)</f>
        <v/>
      </c>
      <c r="H136" s="5" t="n">
        <v>3.13</v>
      </c>
      <c r="I136" t="n">
        <v>3</v>
      </c>
      <c r="J136" t="n">
        <v>3</v>
      </c>
      <c r="L136" s="5" t="n">
        <v>9.390000000000001</v>
      </c>
    </row>
    <row r="137">
      <c r="A137" t="inlineStr">
        <is>
          <t>MOQUEGUA</t>
        </is>
      </c>
      <c r="B137" t="inlineStr">
        <is>
          <t>MARISCAL NIETO</t>
        </is>
      </c>
      <c r="C137" t="inlineStr">
        <is>
          <t>TORATA</t>
        </is>
      </c>
      <c r="D137" t="inlineStr">
        <is>
          <t>180106</t>
        </is>
      </c>
      <c r="E137" t="inlineStr">
        <is>
          <t>—</t>
        </is>
      </c>
      <c r="F137" s="11" t="n">
        <v>0</v>
      </c>
      <c r="G137" s="6">
        <f>IF($F$141=0,0,F137/$F$141)</f>
        <v/>
      </c>
      <c r="H137" s="5" t="n">
        <v>0</v>
      </c>
      <c r="I137" t="n">
        <v>5</v>
      </c>
      <c r="J137" t="n">
        <v>3</v>
      </c>
      <c r="K137" t="n">
        <v>4</v>
      </c>
      <c r="L137" s="5" t="n">
        <v>0</v>
      </c>
    </row>
    <row r="138">
      <c r="A138" t="inlineStr">
        <is>
          <t>CALLAO</t>
        </is>
      </c>
      <c r="B138" t="inlineStr">
        <is>
          <t>CALLAO</t>
        </is>
      </c>
      <c r="C138" t="inlineStr">
        <is>
          <t>CARMEN DE LA LEGUA REYNOSO</t>
        </is>
      </c>
      <c r="D138" t="inlineStr">
        <is>
          <t>070103</t>
        </is>
      </c>
      <c r="E138" t="inlineStr">
        <is>
          <t>—</t>
        </is>
      </c>
      <c r="F138" s="11" t="n">
        <v>0</v>
      </c>
      <c r="G138" s="6">
        <f>IF($F$141=0,0,F138/$F$141)</f>
        <v/>
      </c>
      <c r="H138" s="5" t="n">
        <v>0</v>
      </c>
      <c r="I138" t="n">
        <v>1</v>
      </c>
      <c r="J138" t="n">
        <v>4</v>
      </c>
      <c r="L138" s="5" t="n">
        <v>0</v>
      </c>
    </row>
    <row r="139">
      <c r="A139" t="inlineStr">
        <is>
          <t>LORETO</t>
        </is>
      </c>
      <c r="B139" t="inlineStr">
        <is>
          <t>MAYNAS</t>
        </is>
      </c>
      <c r="C139" t="inlineStr">
        <is>
          <t>SAN JUAN BAUTISTA</t>
        </is>
      </c>
      <c r="D139" t="inlineStr">
        <is>
          <t>160113</t>
        </is>
      </c>
      <c r="E139" t="inlineStr">
        <is>
          <t>—</t>
        </is>
      </c>
      <c r="F139" s="11" t="n">
        <v>0</v>
      </c>
      <c r="G139" s="6">
        <f>IF($F$141=0,0,F139/$F$141)</f>
        <v/>
      </c>
      <c r="H139" s="5" t="n">
        <v>0</v>
      </c>
      <c r="I139" t="n">
        <v>3</v>
      </c>
      <c r="J139" t="n">
        <v>4</v>
      </c>
      <c r="K139" t="n">
        <v>2</v>
      </c>
      <c r="L139" s="5" t="n">
        <v>0</v>
      </c>
    </row>
    <row r="140">
      <c r="A140" t="inlineStr">
        <is>
          <t>CUSCO</t>
        </is>
      </c>
      <c r="B140" t="inlineStr">
        <is>
          <t>URUBAMBA</t>
        </is>
      </c>
      <c r="C140" t="inlineStr">
        <is>
          <t>MACHUPICCHU</t>
        </is>
      </c>
      <c r="D140" t="inlineStr">
        <is>
          <t>081304</t>
        </is>
      </c>
      <c r="E140" t="inlineStr">
        <is>
          <t>—</t>
        </is>
      </c>
      <c r="F140" s="11" t="n">
        <v>0</v>
      </c>
      <c r="G140" s="6">
        <f>IF($F$141=0,0,F140/$F$141)</f>
        <v/>
      </c>
      <c r="H140" s="5" t="n">
        <v>0</v>
      </c>
      <c r="I140" t="n">
        <v>4</v>
      </c>
      <c r="J140" t="n">
        <v>2</v>
      </c>
      <c r="K140" t="n">
        <v>3</v>
      </c>
      <c r="L140" s="5" t="n">
        <v>0</v>
      </c>
    </row>
    <row r="141">
      <c r="A141" s="12" t="inlineStr">
        <is>
          <t>TOTAL</t>
        </is>
      </c>
      <c r="B141" t="inlineStr"/>
      <c r="C141" t="inlineStr"/>
      <c r="D141" t="inlineStr"/>
      <c r="E141" t="inlineStr"/>
      <c r="F141" s="13">
        <f>SUM(F5:F140)</f>
        <v/>
      </c>
      <c r="G141" t="inlineStr"/>
      <c r="H141" s="14">
        <f>SUM(H5:H140)</f>
        <v/>
      </c>
      <c r="I141" t="inlineStr"/>
      <c r="J141" t="inlineStr"/>
      <c r="K141" t="inlineStr"/>
      <c r="L141" s="14">
        <f>SUM(L5:L140)</f>
        <v/>
      </c>
    </row>
    <row r="144">
      <c r="A144" s="15" t="inlineStr">
        <is>
          <t>Detalle por colocaciones (Miles S/)</t>
        </is>
      </c>
    </row>
    <row r="145">
      <c r="A145" s="3" t="inlineStr">
        <is>
          <t>Distrito</t>
        </is>
      </c>
      <c r="B145" s="3" t="inlineStr">
        <is>
          <t>Ubigeo</t>
        </is>
      </c>
      <c r="C145" s="3" t="inlineStr">
        <is>
          <t>Mineral</t>
        </is>
      </c>
      <c r="D145" s="3" t="inlineStr">
        <is>
          <t>Unidad</t>
        </is>
      </c>
      <c r="E145" s="3" t="inlineStr">
        <is>
          <t>Cantidad (orig.)</t>
        </is>
      </c>
      <c r="F145" s="3" t="inlineStr">
        <is>
          <t>TMF equiv.</t>
        </is>
      </c>
    </row>
    <row r="146">
      <c r="A146" t="inlineStr">
        <is>
          <t>LIMA</t>
        </is>
      </c>
      <c r="B146" t="inlineStr">
        <is>
          <t>150101</t>
        </is>
      </c>
      <c r="C146" t="inlineStr">
        <is>
          <t>Créditos</t>
        </is>
      </c>
      <c r="D146" t="inlineStr">
        <is>
          <t>Miles S/</t>
        </is>
      </c>
      <c r="E146" s="11" t="n">
        <v>60014041.712</v>
      </c>
      <c r="F146" s="16" t="n">
        <v>60014041.712</v>
      </c>
    </row>
    <row r="147">
      <c r="A147" t="inlineStr">
        <is>
          <t>SAN ISIDRO</t>
        </is>
      </c>
      <c r="B147" t="inlineStr">
        <is>
          <t>150131</t>
        </is>
      </c>
      <c r="C147" t="inlineStr">
        <is>
          <t>Créditos</t>
        </is>
      </c>
      <c r="D147" t="inlineStr">
        <is>
          <t>Miles S/</t>
        </is>
      </c>
      <c r="E147" s="11" t="n">
        <v>29188857.5936</v>
      </c>
      <c r="F147" s="16" t="n">
        <v>29188857.59362</v>
      </c>
    </row>
    <row r="148">
      <c r="A148" t="inlineStr">
        <is>
          <t>MIRAFLORES</t>
        </is>
      </c>
      <c r="B148" t="inlineStr">
        <is>
          <t>150122</t>
        </is>
      </c>
      <c r="C148" t="inlineStr">
        <is>
          <t>Créditos</t>
        </is>
      </c>
      <c r="D148" t="inlineStr">
        <is>
          <t>Miles S/</t>
        </is>
      </c>
      <c r="E148" s="11" t="n">
        <v>11670134.8109</v>
      </c>
      <c r="F148" s="16" t="n">
        <v>11670134.81088</v>
      </c>
    </row>
    <row r="149">
      <c r="A149" t="inlineStr">
        <is>
          <t>AREQUIPA</t>
        </is>
      </c>
      <c r="B149" t="inlineStr">
        <is>
          <t>040101</t>
        </is>
      </c>
      <c r="C149" t="inlineStr">
        <is>
          <t>Créditos</t>
        </is>
      </c>
      <c r="D149" t="inlineStr">
        <is>
          <t>Miles S/</t>
        </is>
      </c>
      <c r="E149" s="11" t="n">
        <v>3365415.7169</v>
      </c>
      <c r="F149" s="16" t="n">
        <v>3365415.71689</v>
      </c>
    </row>
    <row r="150">
      <c r="A150" t="inlineStr">
        <is>
          <t>LA PUNTA</t>
        </is>
      </c>
      <c r="B150" t="inlineStr">
        <is>
          <t>070105</t>
        </is>
      </c>
      <c r="C150" t="inlineStr">
        <is>
          <t>Créditos</t>
        </is>
      </c>
      <c r="D150" t="inlineStr">
        <is>
          <t>Miles S/</t>
        </is>
      </c>
      <c r="E150" s="11" t="n">
        <v>2838844.6067</v>
      </c>
      <c r="F150" s="16" t="n">
        <v>2838844.60669</v>
      </c>
    </row>
    <row r="151">
      <c r="A151" t="inlineStr">
        <is>
          <t>TRUJILLO</t>
        </is>
      </c>
      <c r="B151" t="inlineStr">
        <is>
          <t>130101</t>
        </is>
      </c>
      <c r="C151" t="inlineStr">
        <is>
          <t>Créditos</t>
        </is>
      </c>
      <c r="D151" t="inlineStr">
        <is>
          <t>Miles S/</t>
        </is>
      </c>
      <c r="E151" s="11" t="n">
        <v>2428982.0782</v>
      </c>
      <c r="F151" s="16" t="n">
        <v>2428982.07822</v>
      </c>
    </row>
    <row r="152">
      <c r="A152" t="inlineStr">
        <is>
          <t>CHICLAYO</t>
        </is>
      </c>
      <c r="B152" t="inlineStr">
        <is>
          <t>140101</t>
        </is>
      </c>
      <c r="C152" t="inlineStr">
        <is>
          <t>Créditos</t>
        </is>
      </c>
      <c r="D152" t="inlineStr">
        <is>
          <t>Miles S/</t>
        </is>
      </c>
      <c r="E152" s="11" t="n">
        <v>1404839.5513</v>
      </c>
      <c r="F152" s="16" t="n">
        <v>1404839.55131</v>
      </c>
    </row>
    <row r="153">
      <c r="A153" t="inlineStr">
        <is>
          <t>PIURA</t>
        </is>
      </c>
      <c r="B153" t="inlineStr">
        <is>
          <t>200101</t>
        </is>
      </c>
      <c r="C153" t="inlineStr">
        <is>
          <t>Créditos</t>
        </is>
      </c>
      <c r="D153" t="inlineStr">
        <is>
          <t>Miles S/</t>
        </is>
      </c>
      <c r="E153" s="11" t="n">
        <v>993898.7248</v>
      </c>
      <c r="F153" s="16" t="n">
        <v>993898.72485</v>
      </c>
    </row>
    <row r="154">
      <c r="A154" t="inlineStr">
        <is>
          <t>CUSCO</t>
        </is>
      </c>
      <c r="B154" t="inlineStr">
        <is>
          <t>080101</t>
        </is>
      </c>
      <c r="C154" t="inlineStr">
        <is>
          <t>Créditos</t>
        </is>
      </c>
      <c r="D154" t="inlineStr">
        <is>
          <t>Miles S/</t>
        </is>
      </c>
      <c r="E154" s="11" t="n">
        <v>692264.577</v>
      </c>
      <c r="F154" s="16" t="n">
        <v>692264.57703</v>
      </c>
    </row>
    <row r="155">
      <c r="A155" t="inlineStr">
        <is>
          <t>ICA</t>
        </is>
      </c>
      <c r="B155" t="inlineStr">
        <is>
          <t>110101</t>
        </is>
      </c>
      <c r="C155" t="inlineStr">
        <is>
          <t>Créditos</t>
        </is>
      </c>
      <c r="D155" t="inlineStr">
        <is>
          <t>Miles S/</t>
        </is>
      </c>
      <c r="E155" s="11" t="n">
        <v>582697.3724</v>
      </c>
      <c r="F155" s="16" t="n">
        <v>582697.37236</v>
      </c>
    </row>
    <row r="156">
      <c r="A156" t="inlineStr">
        <is>
          <t>HUANCAYO</t>
        </is>
      </c>
      <c r="B156" t="inlineStr">
        <is>
          <t>120101</t>
        </is>
      </c>
      <c r="C156" t="inlineStr">
        <is>
          <t>Créditos</t>
        </is>
      </c>
      <c r="D156" t="inlineStr">
        <is>
          <t>Miles S/</t>
        </is>
      </c>
      <c r="E156" s="11" t="n">
        <v>559951.59</v>
      </c>
      <c r="F156" s="16" t="n">
        <v>559951.58998</v>
      </c>
    </row>
    <row r="157">
      <c r="A157" t="inlineStr">
        <is>
          <t>CHIMBOTE</t>
        </is>
      </c>
      <c r="B157" t="inlineStr">
        <is>
          <t>021801</t>
        </is>
      </c>
      <c r="C157" t="inlineStr">
        <is>
          <t>Créditos</t>
        </is>
      </c>
      <c r="D157" t="inlineStr">
        <is>
          <t>Miles S/</t>
        </is>
      </c>
      <c r="E157" s="11" t="n">
        <v>486068.3882</v>
      </c>
      <c r="F157" s="16" t="n">
        <v>486068.38823</v>
      </c>
    </row>
    <row r="158">
      <c r="A158" t="inlineStr">
        <is>
          <t>IQUITOS</t>
        </is>
      </c>
      <c r="B158" t="inlineStr">
        <is>
          <t>160101</t>
        </is>
      </c>
      <c r="C158" t="inlineStr">
        <is>
          <t>Créditos</t>
        </is>
      </c>
      <c r="D158" t="inlineStr">
        <is>
          <t>Miles S/</t>
        </is>
      </c>
      <c r="E158" s="11" t="n">
        <v>454278.7631</v>
      </c>
      <c r="F158" s="16" t="n">
        <v>454278.76313</v>
      </c>
    </row>
    <row r="159">
      <c r="A159" t="inlineStr">
        <is>
          <t>CHINCHA ALTA</t>
        </is>
      </c>
      <c r="B159" t="inlineStr">
        <is>
          <t>110201</t>
        </is>
      </c>
      <c r="C159" t="inlineStr">
        <is>
          <t>Créditos</t>
        </is>
      </c>
      <c r="D159" t="inlineStr">
        <is>
          <t>Miles S/</t>
        </is>
      </c>
      <c r="E159" s="11" t="n">
        <v>440459.6495</v>
      </c>
      <c r="F159" s="16" t="n">
        <v>440459.64952</v>
      </c>
    </row>
    <row r="160">
      <c r="A160" t="inlineStr">
        <is>
          <t>CAJAMARCA</t>
        </is>
      </c>
      <c r="B160" t="inlineStr">
        <is>
          <t>060101</t>
        </is>
      </c>
      <c r="C160" t="inlineStr">
        <is>
          <t>Créditos</t>
        </is>
      </c>
      <c r="D160" t="inlineStr">
        <is>
          <t>Miles S/</t>
        </is>
      </c>
      <c r="E160" s="11" t="n">
        <v>434259.6422</v>
      </c>
      <c r="F160" s="16" t="n">
        <v>434259.6422</v>
      </c>
    </row>
    <row r="161">
      <c r="A161" t="inlineStr">
        <is>
          <t>TACNA</t>
        </is>
      </c>
      <c r="B161" t="inlineStr">
        <is>
          <t>230101</t>
        </is>
      </c>
      <c r="C161" t="inlineStr">
        <is>
          <t>Créditos</t>
        </is>
      </c>
      <c r="D161" t="inlineStr">
        <is>
          <t>Miles S/</t>
        </is>
      </c>
      <c r="E161" s="11" t="n">
        <v>422786.6288</v>
      </c>
      <c r="F161" s="16" t="n">
        <v>422786.62876</v>
      </c>
    </row>
    <row r="162">
      <c r="A162" t="inlineStr">
        <is>
          <t>TARAPOTO</t>
        </is>
      </c>
      <c r="B162" t="inlineStr">
        <is>
          <t>220901</t>
        </is>
      </c>
      <c r="C162" t="inlineStr">
        <is>
          <t>Créditos</t>
        </is>
      </c>
      <c r="D162" t="inlineStr">
        <is>
          <t>Miles S/</t>
        </is>
      </c>
      <c r="E162" s="11" t="n">
        <v>379011.9598</v>
      </c>
      <c r="F162" s="16" t="n">
        <v>379011.95984</v>
      </c>
    </row>
    <row r="163">
      <c r="A163" t="inlineStr">
        <is>
          <t>JULIACA</t>
        </is>
      </c>
      <c r="B163" t="inlineStr">
        <is>
          <t>211101</t>
        </is>
      </c>
      <c r="C163" t="inlineStr">
        <is>
          <t>Créditos</t>
        </is>
      </c>
      <c r="D163" t="inlineStr">
        <is>
          <t>Miles S/</t>
        </is>
      </c>
      <c r="E163" s="11" t="n">
        <v>376805.5591</v>
      </c>
      <c r="F163" s="16" t="n">
        <v>376805.55911</v>
      </c>
    </row>
    <row r="164">
      <c r="A164" t="inlineStr">
        <is>
          <t>CALLERIA</t>
        </is>
      </c>
      <c r="B164" t="inlineStr">
        <is>
          <t>250101</t>
        </is>
      </c>
      <c r="C164" t="inlineStr">
        <is>
          <t>Créditos</t>
        </is>
      </c>
      <c r="D164" t="inlineStr">
        <is>
          <t>Miles S/</t>
        </is>
      </c>
      <c r="E164" s="11" t="n">
        <v>375982.9087</v>
      </c>
      <c r="F164" s="16" t="n">
        <v>375982.90872</v>
      </c>
    </row>
    <row r="165">
      <c r="A165" t="inlineStr">
        <is>
          <t>HUARAZ</t>
        </is>
      </c>
      <c r="B165" t="inlineStr">
        <is>
          <t>020101</t>
        </is>
      </c>
      <c r="C165" t="inlineStr">
        <is>
          <t>Créditos</t>
        </is>
      </c>
      <c r="D165" t="inlineStr">
        <is>
          <t>Miles S/</t>
        </is>
      </c>
      <c r="E165" s="11" t="n">
        <v>345161.6488</v>
      </c>
      <c r="F165" s="16" t="n">
        <v>345161.64884</v>
      </c>
    </row>
    <row r="166">
      <c r="A166" t="inlineStr">
        <is>
          <t>HUANUCO</t>
        </is>
      </c>
      <c r="B166" t="inlineStr">
        <is>
          <t>100101</t>
        </is>
      </c>
      <c r="C166" t="inlineStr">
        <is>
          <t>Créditos</t>
        </is>
      </c>
      <c r="D166" t="inlineStr">
        <is>
          <t>Miles S/</t>
        </is>
      </c>
      <c r="E166" s="11" t="n">
        <v>314017.8669</v>
      </c>
      <c r="F166" s="16" t="n">
        <v>314017.86688</v>
      </c>
    </row>
    <row r="167">
      <c r="A167" t="inlineStr">
        <is>
          <t>AYACUCHO</t>
        </is>
      </c>
      <c r="B167" t="inlineStr">
        <is>
          <t>050101</t>
        </is>
      </c>
      <c r="C167" t="inlineStr">
        <is>
          <t>Créditos</t>
        </is>
      </c>
      <c r="D167" t="inlineStr">
        <is>
          <t>Miles S/</t>
        </is>
      </c>
      <c r="E167" s="11" t="n">
        <v>312215.0151</v>
      </c>
      <c r="F167" s="16" t="n">
        <v>312215.0151</v>
      </c>
    </row>
    <row r="168">
      <c r="A168" t="inlineStr">
        <is>
          <t>JAEN</t>
        </is>
      </c>
      <c r="B168" t="inlineStr">
        <is>
          <t>060801</t>
        </is>
      </c>
      <c r="C168" t="inlineStr">
        <is>
          <t>Créditos</t>
        </is>
      </c>
      <c r="D168" t="inlineStr">
        <is>
          <t>Miles S/</t>
        </is>
      </c>
      <c r="E168" s="11" t="n">
        <v>287183.6638</v>
      </c>
      <c r="F168" s="16" t="n">
        <v>287183.66378</v>
      </c>
    </row>
    <row r="169">
      <c r="A169" t="inlineStr">
        <is>
          <t>SULLANA</t>
        </is>
      </c>
      <c r="B169" t="inlineStr">
        <is>
          <t>200601</t>
        </is>
      </c>
      <c r="C169" t="inlineStr">
        <is>
          <t>Créditos</t>
        </is>
      </c>
      <c r="D169" t="inlineStr">
        <is>
          <t>Miles S/</t>
        </is>
      </c>
      <c r="E169" s="11" t="n">
        <v>209300.3179</v>
      </c>
      <c r="F169" s="16" t="n">
        <v>209300.31788</v>
      </c>
    </row>
    <row r="170">
      <c r="A170" t="inlineStr">
        <is>
          <t>HUACHO</t>
        </is>
      </c>
      <c r="B170" t="inlineStr">
        <is>
          <t>150801</t>
        </is>
      </c>
      <c r="C170" t="inlineStr">
        <is>
          <t>Créditos</t>
        </is>
      </c>
      <c r="D170" t="inlineStr">
        <is>
          <t>Miles S/</t>
        </is>
      </c>
      <c r="E170" s="11" t="n">
        <v>205386.0118</v>
      </c>
      <c r="F170" s="16" t="n">
        <v>205386.01175</v>
      </c>
    </row>
    <row r="171">
      <c r="A171" t="inlineStr">
        <is>
          <t>MOYOBAMBA</t>
        </is>
      </c>
      <c r="B171" t="inlineStr">
        <is>
          <t>220101</t>
        </is>
      </c>
      <c r="C171" t="inlineStr">
        <is>
          <t>Créditos</t>
        </is>
      </c>
      <c r="D171" t="inlineStr">
        <is>
          <t>Miles S/</t>
        </is>
      </c>
      <c r="E171" s="11" t="n">
        <v>201512.9764</v>
      </c>
      <c r="F171" s="16" t="n">
        <v>201512.97637</v>
      </c>
    </row>
    <row r="172">
      <c r="A172" t="inlineStr">
        <is>
          <t>HUARAL</t>
        </is>
      </c>
      <c r="B172" t="inlineStr">
        <is>
          <t>150601</t>
        </is>
      </c>
      <c r="C172" t="inlineStr">
        <is>
          <t>Créditos</t>
        </is>
      </c>
      <c r="D172" t="inlineStr">
        <is>
          <t>Miles S/</t>
        </is>
      </c>
      <c r="E172" s="11" t="n">
        <v>133834.7035</v>
      </c>
      <c r="F172" s="16" t="n">
        <v>133834.70354</v>
      </c>
    </row>
    <row r="173">
      <c r="A173" t="inlineStr">
        <is>
          <t>SAN VICENTE DE CAÑETE</t>
        </is>
      </c>
      <c r="B173" t="inlineStr">
        <is>
          <t>150501</t>
        </is>
      </c>
      <c r="C173" t="inlineStr">
        <is>
          <t>Créditos</t>
        </is>
      </c>
      <c r="D173" t="inlineStr">
        <is>
          <t>Miles S/</t>
        </is>
      </c>
      <c r="E173" s="11" t="n">
        <v>117470.8239</v>
      </c>
      <c r="F173" s="16" t="n">
        <v>117470.82391</v>
      </c>
    </row>
    <row r="174">
      <c r="A174" t="inlineStr">
        <is>
          <t>TUMBES</t>
        </is>
      </c>
      <c r="B174" t="inlineStr">
        <is>
          <t>240101</t>
        </is>
      </c>
      <c r="C174" t="inlineStr">
        <is>
          <t>Créditos</t>
        </is>
      </c>
      <c r="D174" t="inlineStr">
        <is>
          <t>Miles S/</t>
        </is>
      </c>
      <c r="E174" s="11" t="n">
        <v>116036.5125</v>
      </c>
      <c r="F174" s="16" t="n">
        <v>116036.51248</v>
      </c>
    </row>
    <row r="175">
      <c r="A175" t="inlineStr">
        <is>
          <t>TAMBOPATA</t>
        </is>
      </c>
      <c r="B175" t="inlineStr">
        <is>
          <t>170101</t>
        </is>
      </c>
      <c r="C175" t="inlineStr">
        <is>
          <t>Créditos</t>
        </is>
      </c>
      <c r="D175" t="inlineStr">
        <is>
          <t>Miles S/</t>
        </is>
      </c>
      <c r="E175" s="11" t="n">
        <v>114845.056</v>
      </c>
      <c r="F175" s="16" t="n">
        <v>114845.05599</v>
      </c>
    </row>
    <row r="176">
      <c r="A176" t="inlineStr">
        <is>
          <t>PUNO</t>
        </is>
      </c>
      <c r="B176" t="inlineStr">
        <is>
          <t>210101</t>
        </is>
      </c>
      <c r="C176" t="inlineStr">
        <is>
          <t>Créditos</t>
        </is>
      </c>
      <c r="D176" t="inlineStr">
        <is>
          <t>Miles S/</t>
        </is>
      </c>
      <c r="E176" s="11" t="n">
        <v>110955.8946</v>
      </c>
      <c r="F176" s="16" t="n">
        <v>110955.89461</v>
      </c>
    </row>
    <row r="177">
      <c r="A177" t="inlineStr">
        <is>
          <t>ABANCAY</t>
        </is>
      </c>
      <c r="B177" t="inlineStr">
        <is>
          <t>030101</t>
        </is>
      </c>
      <c r="C177" t="inlineStr">
        <is>
          <t>Créditos</t>
        </is>
      </c>
      <c r="D177" t="inlineStr">
        <is>
          <t>Miles S/</t>
        </is>
      </c>
      <c r="E177" s="11" t="n">
        <v>109728.8047</v>
      </c>
      <c r="F177" s="16" t="n">
        <v>109728.80471</v>
      </c>
    </row>
    <row r="178">
      <c r="A178" t="inlineStr">
        <is>
          <t>ANDAHUAYLAS</t>
        </is>
      </c>
      <c r="B178" t="inlineStr">
        <is>
          <t>030201</t>
        </is>
      </c>
      <c r="C178" t="inlineStr">
        <is>
          <t>Créditos</t>
        </is>
      </c>
      <c r="D178" t="inlineStr">
        <is>
          <t>Miles S/</t>
        </is>
      </c>
      <c r="E178" s="11" t="n">
        <v>107866.5909</v>
      </c>
      <c r="F178" s="16" t="n">
        <v>107866.59086</v>
      </c>
    </row>
    <row r="179">
      <c r="A179" t="inlineStr">
        <is>
          <t>NAZCA</t>
        </is>
      </c>
      <c r="B179" t="inlineStr">
        <is>
          <t>110301</t>
        </is>
      </c>
      <c r="C179" t="inlineStr">
        <is>
          <t>Créditos</t>
        </is>
      </c>
      <c r="D179" t="inlineStr">
        <is>
          <t>Miles S/</t>
        </is>
      </c>
      <c r="E179" s="11" t="n">
        <v>105544.8657</v>
      </c>
      <c r="F179" s="16" t="n">
        <v>105544.86573</v>
      </c>
    </row>
    <row r="180">
      <c r="A180" t="inlineStr">
        <is>
          <t>BARRANCA</t>
        </is>
      </c>
      <c r="B180" t="inlineStr">
        <is>
          <t>150201</t>
        </is>
      </c>
      <c r="C180" t="inlineStr">
        <is>
          <t>Créditos</t>
        </is>
      </c>
      <c r="D180" t="inlineStr">
        <is>
          <t>Miles S/</t>
        </is>
      </c>
      <c r="E180" s="11" t="n">
        <v>105524.9424</v>
      </c>
      <c r="F180" s="16" t="n">
        <v>105524.94236</v>
      </c>
    </row>
    <row r="181">
      <c r="A181" t="inlineStr">
        <is>
          <t>CHANCHAMAYO</t>
        </is>
      </c>
      <c r="B181" t="inlineStr">
        <is>
          <t>120301</t>
        </is>
      </c>
      <c r="C181" t="inlineStr">
        <is>
          <t>Créditos</t>
        </is>
      </c>
      <c r="D181" t="inlineStr">
        <is>
          <t>Miles S/</t>
        </is>
      </c>
      <c r="E181" s="11" t="n">
        <v>104394.7134</v>
      </c>
      <c r="F181" s="16" t="n">
        <v>104394.71343</v>
      </c>
    </row>
    <row r="182">
      <c r="A182" t="inlineStr">
        <is>
          <t>ILO</t>
        </is>
      </c>
      <c r="B182" t="inlineStr">
        <is>
          <t>180301</t>
        </is>
      </c>
      <c r="C182" t="inlineStr">
        <is>
          <t>Créditos</t>
        </is>
      </c>
      <c r="D182" t="inlineStr">
        <is>
          <t>Miles S/</t>
        </is>
      </c>
      <c r="E182" s="11" t="n">
        <v>91598.9114</v>
      </c>
      <c r="F182" s="16" t="n">
        <v>91598.91145</v>
      </c>
    </row>
    <row r="183">
      <c r="A183" t="inlineStr">
        <is>
          <t>LAMBAYEQUE</t>
        </is>
      </c>
      <c r="B183" t="inlineStr">
        <is>
          <t>140301</t>
        </is>
      </c>
      <c r="C183" t="inlineStr">
        <is>
          <t>Créditos</t>
        </is>
      </c>
      <c r="D183" t="inlineStr">
        <is>
          <t>Miles S/</t>
        </is>
      </c>
      <c r="E183" s="11" t="n">
        <v>91140.9912</v>
      </c>
      <c r="F183" s="16" t="n">
        <v>91140.99122</v>
      </c>
    </row>
    <row r="184">
      <c r="A184" t="inlineStr">
        <is>
          <t>PISCO</t>
        </is>
      </c>
      <c r="B184" t="inlineStr">
        <is>
          <t>110501</t>
        </is>
      </c>
      <c r="C184" t="inlineStr">
        <is>
          <t>Créditos</t>
        </is>
      </c>
      <c r="D184" t="inlineStr">
        <is>
          <t>Miles S/</t>
        </is>
      </c>
      <c r="E184" s="11" t="n">
        <v>90209.3333</v>
      </c>
      <c r="F184" s="16" t="n">
        <v>90209.33327</v>
      </c>
    </row>
    <row r="185">
      <c r="A185" t="inlineStr">
        <is>
          <t>PACASMAYO</t>
        </is>
      </c>
      <c r="B185" t="inlineStr">
        <is>
          <t>130704</t>
        </is>
      </c>
      <c r="C185" t="inlineStr">
        <is>
          <t>Créditos</t>
        </is>
      </c>
      <c r="D185" t="inlineStr">
        <is>
          <t>Miles S/</t>
        </is>
      </c>
      <c r="E185" s="11" t="n">
        <v>89509.4213</v>
      </c>
      <c r="F185" s="16" t="n">
        <v>89509.42129</v>
      </c>
    </row>
    <row r="186">
      <c r="A186" t="inlineStr">
        <is>
          <t>MOQUEGUA</t>
        </is>
      </c>
      <c r="B186" t="inlineStr">
        <is>
          <t>180101</t>
        </is>
      </c>
      <c r="C186" t="inlineStr">
        <is>
          <t>Créditos</t>
        </is>
      </c>
      <c r="D186" t="inlineStr">
        <is>
          <t>Miles S/</t>
        </is>
      </c>
      <c r="E186" s="11" t="n">
        <v>85424.89320000001</v>
      </c>
      <c r="F186" s="16" t="n">
        <v>85424.89316000001</v>
      </c>
    </row>
    <row r="187">
      <c r="A187" t="inlineStr">
        <is>
          <t>BAGUA GRANDE</t>
        </is>
      </c>
      <c r="B187" t="inlineStr">
        <is>
          <t>010701</t>
        </is>
      </c>
      <c r="C187" t="inlineStr">
        <is>
          <t>Créditos</t>
        </is>
      </c>
      <c r="D187" t="inlineStr">
        <is>
          <t>Miles S/</t>
        </is>
      </c>
      <c r="E187" s="11" t="n">
        <v>83480.8299</v>
      </c>
      <c r="F187" s="16" t="n">
        <v>83480.82991</v>
      </c>
    </row>
    <row r="188">
      <c r="A188" t="inlineStr">
        <is>
          <t>TARMA</t>
        </is>
      </c>
      <c r="B188" t="inlineStr">
        <is>
          <t>120701</t>
        </is>
      </c>
      <c r="C188" t="inlineStr">
        <is>
          <t>Créditos</t>
        </is>
      </c>
      <c r="D188" t="inlineStr">
        <is>
          <t>Miles S/</t>
        </is>
      </c>
      <c r="E188" s="11" t="n">
        <v>81777.3526</v>
      </c>
      <c r="F188" s="16" t="n">
        <v>81777.35264</v>
      </c>
    </row>
    <row r="189">
      <c r="A189" t="inlineStr">
        <is>
          <t>RUPA-RUPA</t>
        </is>
      </c>
      <c r="B189" t="inlineStr">
        <is>
          <t>100601</t>
        </is>
      </c>
      <c r="C189" t="inlineStr">
        <is>
          <t>Créditos</t>
        </is>
      </c>
      <c r="D189" t="inlineStr">
        <is>
          <t>Miles S/</t>
        </is>
      </c>
      <c r="E189" s="11" t="n">
        <v>81403.3713</v>
      </c>
      <c r="F189" s="16" t="n">
        <v>81403.37131</v>
      </c>
    </row>
    <row r="190">
      <c r="A190" t="inlineStr">
        <is>
          <t>CHACHAPOYAS</t>
        </is>
      </c>
      <c r="B190" t="inlineStr">
        <is>
          <t>010101</t>
        </is>
      </c>
      <c r="C190" t="inlineStr">
        <is>
          <t>Créditos</t>
        </is>
      </c>
      <c r="D190" t="inlineStr">
        <is>
          <t>Miles S/</t>
        </is>
      </c>
      <c r="E190" s="11" t="n">
        <v>80483.0059</v>
      </c>
      <c r="F190" s="16" t="n">
        <v>80483.00588</v>
      </c>
    </row>
    <row r="191">
      <c r="A191" t="inlineStr">
        <is>
          <t>CHAUPIMARCA</t>
        </is>
      </c>
      <c r="B191" t="inlineStr">
        <is>
          <t>190101</t>
        </is>
      </c>
      <c r="C191" t="inlineStr">
        <is>
          <t>Créditos</t>
        </is>
      </c>
      <c r="D191" t="inlineStr">
        <is>
          <t>Miles S/</t>
        </is>
      </c>
      <c r="E191" s="11" t="n">
        <v>78417.0481</v>
      </c>
      <c r="F191" s="16" t="n">
        <v>78417.04807</v>
      </c>
    </row>
    <row r="192">
      <c r="A192" t="inlineStr">
        <is>
          <t>CHEPEN</t>
        </is>
      </c>
      <c r="B192" t="inlineStr">
        <is>
          <t>130401</t>
        </is>
      </c>
      <c r="C192" t="inlineStr">
        <is>
          <t>Créditos</t>
        </is>
      </c>
      <c r="D192" t="inlineStr">
        <is>
          <t>Miles S/</t>
        </is>
      </c>
      <c r="E192" s="11" t="n">
        <v>74842.28939999999</v>
      </c>
      <c r="F192" s="16" t="n">
        <v>74842.28938</v>
      </c>
    </row>
    <row r="193">
      <c r="A193" t="inlineStr">
        <is>
          <t>PARIÑAS</t>
        </is>
      </c>
      <c r="B193" t="inlineStr">
        <is>
          <t>200701</t>
        </is>
      </c>
      <c r="C193" t="inlineStr">
        <is>
          <t>Créditos</t>
        </is>
      </c>
      <c r="D193" t="inlineStr">
        <is>
          <t>Miles S/</t>
        </is>
      </c>
      <c r="E193" s="11" t="n">
        <v>69400.8037</v>
      </c>
      <c r="F193" s="16" t="n">
        <v>69400.80365</v>
      </c>
    </row>
    <row r="194">
      <c r="A194" t="inlineStr">
        <is>
          <t>SATIPO</t>
        </is>
      </c>
      <c r="B194" t="inlineStr">
        <is>
          <t>120601</t>
        </is>
      </c>
      <c r="C194" t="inlineStr">
        <is>
          <t>Créditos</t>
        </is>
      </c>
      <c r="D194" t="inlineStr">
        <is>
          <t>Miles S/</t>
        </is>
      </c>
      <c r="E194" s="11" t="n">
        <v>64974.4133</v>
      </c>
      <c r="F194" s="16" t="n">
        <v>64974.41333</v>
      </c>
    </row>
    <row r="195">
      <c r="A195" t="inlineStr">
        <is>
          <t>SANTA ANA</t>
        </is>
      </c>
      <c r="B195" t="inlineStr">
        <is>
          <t>080901</t>
        </is>
      </c>
      <c r="C195" t="inlineStr">
        <is>
          <t>Créditos</t>
        </is>
      </c>
      <c r="D195" t="inlineStr">
        <is>
          <t>Miles S/</t>
        </is>
      </c>
      <c r="E195" s="11" t="n">
        <v>63031.6456</v>
      </c>
      <c r="F195" s="16" t="n">
        <v>63031.64564</v>
      </c>
    </row>
    <row r="196">
      <c r="A196" t="inlineStr">
        <is>
          <t>YURIMAGUAS</t>
        </is>
      </c>
      <c r="B196" t="inlineStr">
        <is>
          <t>160201</t>
        </is>
      </c>
      <c r="C196" t="inlineStr">
        <is>
          <t>Créditos</t>
        </is>
      </c>
      <c r="D196" t="inlineStr">
        <is>
          <t>Miles S/</t>
        </is>
      </c>
      <c r="E196" s="11" t="n">
        <v>59855.6474</v>
      </c>
      <c r="F196" s="16" t="n">
        <v>59855.64739</v>
      </c>
    </row>
    <row r="197">
      <c r="A197" t="inlineStr">
        <is>
          <t>CHOTA</t>
        </is>
      </c>
      <c r="B197" t="inlineStr">
        <is>
          <t>060401</t>
        </is>
      </c>
      <c r="C197" t="inlineStr">
        <is>
          <t>Créditos</t>
        </is>
      </c>
      <c r="D197" t="inlineStr">
        <is>
          <t>Miles S/</t>
        </is>
      </c>
      <c r="E197" s="11" t="n">
        <v>58068.3803</v>
      </c>
      <c r="F197" s="16" t="n">
        <v>58068.38028</v>
      </c>
    </row>
    <row r="198">
      <c r="A198" t="inlineStr">
        <is>
          <t>HUANCAVELICA</t>
        </is>
      </c>
      <c r="B198" t="inlineStr">
        <is>
          <t>090101</t>
        </is>
      </c>
      <c r="C198" t="inlineStr">
        <is>
          <t>Créditos</t>
        </is>
      </c>
      <c r="D198" t="inlineStr">
        <is>
          <t>Miles S/</t>
        </is>
      </c>
      <c r="E198" s="11" t="n">
        <v>50776.1786</v>
      </c>
      <c r="F198" s="16" t="n">
        <v>50776.17858</v>
      </c>
    </row>
    <row r="199">
      <c r="A199" t="inlineStr">
        <is>
          <t>PICHANAQUI</t>
        </is>
      </c>
      <c r="B199" t="inlineStr">
        <is>
          <t>120303</t>
        </is>
      </c>
      <c r="C199" t="inlineStr">
        <is>
          <t>Créditos</t>
        </is>
      </c>
      <c r="D199" t="inlineStr">
        <is>
          <t>Miles S/</t>
        </is>
      </c>
      <c r="E199" s="11" t="n">
        <v>49548.5581</v>
      </c>
      <c r="F199" s="16" t="n">
        <v>49548.55811</v>
      </c>
    </row>
    <row r="200">
      <c r="A200" t="inlineStr">
        <is>
          <t>OXAPAMPA</t>
        </is>
      </c>
      <c r="B200" t="inlineStr">
        <is>
          <t>190301</t>
        </is>
      </c>
      <c r="C200" t="inlineStr">
        <is>
          <t>Créditos</t>
        </is>
      </c>
      <c r="D200" t="inlineStr">
        <is>
          <t>Miles S/</t>
        </is>
      </c>
      <c r="E200" s="11" t="n">
        <v>44505.1885</v>
      </c>
      <c r="F200" s="16" t="n">
        <v>44505.18845</v>
      </c>
    </row>
    <row r="201">
      <c r="A201" t="inlineStr">
        <is>
          <t>LA OROYA</t>
        </is>
      </c>
      <c r="B201" t="inlineStr">
        <is>
          <t>120801</t>
        </is>
      </c>
      <c r="C201" t="inlineStr">
        <is>
          <t>Créditos</t>
        </is>
      </c>
      <c r="D201" t="inlineStr">
        <is>
          <t>Miles S/</t>
        </is>
      </c>
      <c r="E201" s="11" t="n">
        <v>44267.1065</v>
      </c>
      <c r="F201" s="16" t="n">
        <v>44267.10651</v>
      </c>
    </row>
    <row r="202">
      <c r="A202" t="inlineStr">
        <is>
          <t>SICUANI</t>
        </is>
      </c>
      <c r="B202" t="inlineStr">
        <is>
          <t>080601</t>
        </is>
      </c>
      <c r="C202" t="inlineStr">
        <is>
          <t>Créditos</t>
        </is>
      </c>
      <c r="D202" t="inlineStr">
        <is>
          <t>Miles S/</t>
        </is>
      </c>
      <c r="E202" s="11" t="n">
        <v>44049.706</v>
      </c>
      <c r="F202" s="16" t="n">
        <v>44049.70598</v>
      </c>
    </row>
    <row r="203">
      <c r="A203" t="inlineStr">
        <is>
          <t>HUAMACHUCO</t>
        </is>
      </c>
      <c r="B203" t="inlineStr">
        <is>
          <t>130901</t>
        </is>
      </c>
      <c r="C203" t="inlineStr">
        <is>
          <t>Créditos</t>
        </is>
      </c>
      <c r="D203" t="inlineStr">
        <is>
          <t>Miles S/</t>
        </is>
      </c>
      <c r="E203" s="11" t="n">
        <v>43869.2508</v>
      </c>
      <c r="F203" s="16" t="n">
        <v>43869.25082</v>
      </c>
    </row>
    <row r="204">
      <c r="A204" t="inlineStr">
        <is>
          <t>CASMA</t>
        </is>
      </c>
      <c r="B204" t="inlineStr">
        <is>
          <t>020801</t>
        </is>
      </c>
      <c r="C204" t="inlineStr">
        <is>
          <t>Créditos</t>
        </is>
      </c>
      <c r="D204" t="inlineStr">
        <is>
          <t>Miles S/</t>
        </is>
      </c>
      <c r="E204" s="11" t="n">
        <v>41523.7246</v>
      </c>
      <c r="F204" s="16" t="n">
        <v>41523.72463</v>
      </c>
    </row>
    <row r="205">
      <c r="A205" t="inlineStr">
        <is>
          <t>JAUJA</t>
        </is>
      </c>
      <c r="B205" t="inlineStr">
        <is>
          <t>120401</t>
        </is>
      </c>
      <c r="C205" t="inlineStr">
        <is>
          <t>Créditos</t>
        </is>
      </c>
      <c r="D205" t="inlineStr">
        <is>
          <t>Miles S/</t>
        </is>
      </c>
      <c r="E205" s="11" t="n">
        <v>39849.5425</v>
      </c>
      <c r="F205" s="16" t="n">
        <v>39849.54251</v>
      </c>
    </row>
    <row r="206">
      <c r="A206" t="inlineStr">
        <is>
          <t>MOLLENDO</t>
        </is>
      </c>
      <c r="B206" t="inlineStr">
        <is>
          <t>040701</t>
        </is>
      </c>
      <c r="C206" t="inlineStr">
        <is>
          <t>Créditos</t>
        </is>
      </c>
      <c r="D206" t="inlineStr">
        <is>
          <t>Miles S/</t>
        </is>
      </c>
      <c r="E206" s="11" t="n">
        <v>39121.6004</v>
      </c>
      <c r="F206" s="16" t="n">
        <v>39121.60041</v>
      </c>
    </row>
    <row r="207">
      <c r="A207" t="inlineStr">
        <is>
          <t>BAGUA</t>
        </is>
      </c>
      <c r="B207" t="inlineStr">
        <is>
          <t>010201</t>
        </is>
      </c>
      <c r="C207" t="inlineStr">
        <is>
          <t>Créditos</t>
        </is>
      </c>
      <c r="D207" t="inlineStr">
        <is>
          <t>Miles S/</t>
        </is>
      </c>
      <c r="E207" s="11" t="n">
        <v>37758.7159</v>
      </c>
      <c r="F207" s="16" t="n">
        <v>37758.71589</v>
      </c>
    </row>
    <row r="208">
      <c r="A208" t="inlineStr">
        <is>
          <t>PAITA</t>
        </is>
      </c>
      <c r="B208" t="inlineStr">
        <is>
          <t>200501</t>
        </is>
      </c>
      <c r="C208" t="inlineStr">
        <is>
          <t>Créditos</t>
        </is>
      </c>
      <c r="D208" t="inlineStr">
        <is>
          <t>Miles S/</t>
        </is>
      </c>
      <c r="E208" s="11" t="n">
        <v>36734.5336</v>
      </c>
      <c r="F208" s="16" t="n">
        <v>36734.53365</v>
      </c>
    </row>
    <row r="209">
      <c r="A209" t="inlineStr">
        <is>
          <t>MAJES</t>
        </is>
      </c>
      <c r="B209" t="inlineStr">
        <is>
          <t>040520</t>
        </is>
      </c>
      <c r="C209" t="inlineStr">
        <is>
          <t>Créditos</t>
        </is>
      </c>
      <c r="D209" t="inlineStr">
        <is>
          <t>Miles S/</t>
        </is>
      </c>
      <c r="E209" s="11" t="n">
        <v>34937.2629</v>
      </c>
      <c r="F209" s="16" t="n">
        <v>34937.26292</v>
      </c>
    </row>
    <row r="210">
      <c r="A210" t="inlineStr">
        <is>
          <t>CAMANA</t>
        </is>
      </c>
      <c r="B210" t="inlineStr">
        <is>
          <t>040201</t>
        </is>
      </c>
      <c r="C210" t="inlineStr">
        <is>
          <t>Créditos</t>
        </is>
      </c>
      <c r="D210" t="inlineStr">
        <is>
          <t>Miles S/</t>
        </is>
      </c>
      <c r="E210" s="11" t="n">
        <v>34658.5789</v>
      </c>
      <c r="F210" s="16" t="n">
        <v>34658.57893</v>
      </c>
    </row>
    <row r="211">
      <c r="A211" t="inlineStr">
        <is>
          <t>MARCONA</t>
        </is>
      </c>
      <c r="B211" t="inlineStr">
        <is>
          <t>110304</t>
        </is>
      </c>
      <c r="C211" t="inlineStr">
        <is>
          <t>Créditos</t>
        </is>
      </c>
      <c r="D211" t="inlineStr">
        <is>
          <t>Miles S/</t>
        </is>
      </c>
      <c r="E211" s="11" t="n">
        <v>28237.2936</v>
      </c>
      <c r="F211" s="16" t="n">
        <v>28237.2936</v>
      </c>
    </row>
    <row r="212">
      <c r="A212" t="inlineStr">
        <is>
          <t>PANGOA</t>
        </is>
      </c>
      <c r="B212" t="inlineStr">
        <is>
          <t>120606</t>
        </is>
      </c>
      <c r="C212" t="inlineStr">
        <is>
          <t>Créditos</t>
        </is>
      </c>
      <c r="D212" t="inlineStr">
        <is>
          <t>Miles S/</t>
        </is>
      </c>
      <c r="E212" s="11" t="n">
        <v>27586.3789</v>
      </c>
      <c r="F212" s="16" t="n">
        <v>27586.37885</v>
      </c>
    </row>
    <row r="213">
      <c r="A213" t="inlineStr">
        <is>
          <t>CARAZ</t>
        </is>
      </c>
      <c r="B213" t="inlineStr">
        <is>
          <t>021201</t>
        </is>
      </c>
      <c r="C213" t="inlineStr">
        <is>
          <t>Créditos</t>
        </is>
      </c>
      <c r="D213" t="inlineStr">
        <is>
          <t>Miles S/</t>
        </is>
      </c>
      <c r="E213" s="11" t="n">
        <v>26448.1705</v>
      </c>
      <c r="F213" s="16" t="n">
        <v>26448.17053</v>
      </c>
    </row>
    <row r="214">
      <c r="A214" t="inlineStr">
        <is>
          <t>JUANJUI</t>
        </is>
      </c>
      <c r="B214" t="inlineStr">
        <is>
          <t>220601</t>
        </is>
      </c>
      <c r="C214" t="inlineStr">
        <is>
          <t>Créditos</t>
        </is>
      </c>
      <c r="D214" t="inlineStr">
        <is>
          <t>Miles S/</t>
        </is>
      </c>
      <c r="E214" s="11" t="n">
        <v>20423.788</v>
      </c>
      <c r="F214" s="16" t="n">
        <v>20423.78798</v>
      </c>
    </row>
    <row r="215">
      <c r="A215" t="inlineStr">
        <is>
          <t>CHANCAY</t>
        </is>
      </c>
      <c r="B215" t="inlineStr">
        <is>
          <t>150605</t>
        </is>
      </c>
      <c r="C215" t="inlineStr">
        <is>
          <t>Créditos</t>
        </is>
      </c>
      <c r="D215" t="inlineStr">
        <is>
          <t>Miles S/</t>
        </is>
      </c>
      <c r="E215" s="11" t="n">
        <v>15050.1359</v>
      </c>
      <c r="F215" s="16" t="n">
        <v>15050.13588</v>
      </c>
    </row>
    <row r="216">
      <c r="A216" t="inlineStr">
        <is>
          <t>ILABAYA</t>
        </is>
      </c>
      <c r="B216" t="inlineStr">
        <is>
          <t>230302</t>
        </is>
      </c>
      <c r="C216" t="inlineStr">
        <is>
          <t>Créditos</t>
        </is>
      </c>
      <c r="D216" t="inlineStr">
        <is>
          <t>Miles S/</t>
        </is>
      </c>
      <c r="E216" s="11" t="n">
        <v>2266.2438</v>
      </c>
      <c r="F216" s="16" t="n">
        <v>2266.24375</v>
      </c>
    </row>
    <row r="217">
      <c r="A217" t="inlineStr">
        <is>
          <t>SANTIAGO DE SURCO</t>
        </is>
      </c>
      <c r="B217" t="inlineStr">
        <is>
          <t>150140</t>
        </is>
      </c>
      <c r="C217" t="inlineStr">
        <is>
          <t>Créditos</t>
        </is>
      </c>
      <c r="D217" t="inlineStr">
        <is>
          <t>Miles S/</t>
        </is>
      </c>
      <c r="E217" s="11" t="n">
        <v>1748.2963</v>
      </c>
      <c r="F217" s="16" t="n">
        <v>1748.29626</v>
      </c>
    </row>
    <row r="218">
      <c r="A218" t="inlineStr">
        <is>
          <t>LA MOLINA</t>
        </is>
      </c>
      <c r="B218" t="inlineStr">
        <is>
          <t>150114</t>
        </is>
      </c>
      <c r="C218" t="inlineStr">
        <is>
          <t>Créditos</t>
        </is>
      </c>
      <c r="D218" t="inlineStr">
        <is>
          <t>Miles S/</t>
        </is>
      </c>
      <c r="E218" s="11" t="n">
        <v>853.1495</v>
      </c>
      <c r="F218" s="16" t="n">
        <v>853.14948</v>
      </c>
    </row>
    <row r="219">
      <c r="A219" t="inlineStr">
        <is>
          <t>SURQUILLO</t>
        </is>
      </c>
      <c r="B219" t="inlineStr">
        <is>
          <t>150141</t>
        </is>
      </c>
      <c r="C219" t="inlineStr">
        <is>
          <t>Créditos</t>
        </is>
      </c>
      <c r="D219" t="inlineStr">
        <is>
          <t>Miles S/</t>
        </is>
      </c>
      <c r="E219" s="11" t="n">
        <v>521.7011</v>
      </c>
      <c r="F219" s="16" t="n">
        <v>521.70113</v>
      </c>
    </row>
    <row r="220">
      <c r="A220" t="inlineStr">
        <is>
          <t>SANTA ANITA</t>
        </is>
      </c>
      <c r="B220" t="inlineStr">
        <is>
          <t>150137</t>
        </is>
      </c>
      <c r="C220" t="inlineStr">
        <is>
          <t>Créditos</t>
        </is>
      </c>
      <c r="D220" t="inlineStr">
        <is>
          <t>Miles S/</t>
        </is>
      </c>
      <c r="E220" s="11" t="n">
        <v>509.4375</v>
      </c>
      <c r="F220" s="16" t="n">
        <v>509.43746</v>
      </c>
    </row>
    <row r="221">
      <c r="A221" t="inlineStr">
        <is>
          <t>LA VICTORIA</t>
        </is>
      </c>
      <c r="B221" t="inlineStr">
        <is>
          <t>150115</t>
        </is>
      </c>
      <c r="C221" t="inlineStr">
        <is>
          <t>Créditos</t>
        </is>
      </c>
      <c r="D221" t="inlineStr">
        <is>
          <t>Miles S/</t>
        </is>
      </c>
      <c r="E221" s="11" t="n">
        <v>501.1717</v>
      </c>
      <c r="F221" s="16" t="n">
        <v>501.17175</v>
      </c>
    </row>
    <row r="222">
      <c r="A222" t="inlineStr">
        <is>
          <t>SAN JUAN DE LURIGANCHO</t>
        </is>
      </c>
      <c r="B222" t="inlineStr">
        <is>
          <t>150132</t>
        </is>
      </c>
      <c r="C222" t="inlineStr">
        <is>
          <t>Créditos</t>
        </is>
      </c>
      <c r="D222" t="inlineStr">
        <is>
          <t>Miles S/</t>
        </is>
      </c>
      <c r="E222" s="11" t="n">
        <v>459.642</v>
      </c>
      <c r="F222" s="16" t="n">
        <v>459.642</v>
      </c>
    </row>
    <row r="223">
      <c r="A223" t="inlineStr">
        <is>
          <t>COMAS</t>
        </is>
      </c>
      <c r="B223" t="inlineStr">
        <is>
          <t>150110</t>
        </is>
      </c>
      <c r="C223" t="inlineStr">
        <is>
          <t>Créditos</t>
        </is>
      </c>
      <c r="D223" t="inlineStr">
        <is>
          <t>Miles S/</t>
        </is>
      </c>
      <c r="E223" s="11" t="n">
        <v>413.2038</v>
      </c>
      <c r="F223" s="16" t="n">
        <v>413.20385</v>
      </c>
    </row>
    <row r="224">
      <c r="A224" t="inlineStr">
        <is>
          <t>SAN MIGUEL</t>
        </is>
      </c>
      <c r="B224" t="inlineStr">
        <is>
          <t>150136</t>
        </is>
      </c>
      <c r="C224" t="inlineStr">
        <is>
          <t>Créditos</t>
        </is>
      </c>
      <c r="D224" t="inlineStr">
        <is>
          <t>Miles S/</t>
        </is>
      </c>
      <c r="E224" s="11" t="n">
        <v>377.0755</v>
      </c>
      <c r="F224" s="16" t="n">
        <v>377.0755</v>
      </c>
    </row>
    <row r="225">
      <c r="A225" t="inlineStr">
        <is>
          <t>SAN LUIS</t>
        </is>
      </c>
      <c r="B225" t="inlineStr">
        <is>
          <t>150134</t>
        </is>
      </c>
      <c r="C225" t="inlineStr">
        <is>
          <t>Créditos</t>
        </is>
      </c>
      <c r="D225" t="inlineStr">
        <is>
          <t>Miles S/</t>
        </is>
      </c>
      <c r="E225" s="11" t="n">
        <v>353.5276</v>
      </c>
      <c r="F225" s="16" t="n">
        <v>353.52762</v>
      </c>
    </row>
    <row r="226">
      <c r="A226" t="inlineStr">
        <is>
          <t>CALLAO</t>
        </is>
      </c>
      <c r="B226" t="inlineStr">
        <is>
          <t>070101</t>
        </is>
      </c>
      <c r="C226" t="inlineStr">
        <is>
          <t>Créditos</t>
        </is>
      </c>
      <c r="D226" t="inlineStr">
        <is>
          <t>Miles S/</t>
        </is>
      </c>
      <c r="E226" s="11" t="n">
        <v>334.2094</v>
      </c>
      <c r="F226" s="16" t="n">
        <v>334.2094</v>
      </c>
    </row>
    <row r="227">
      <c r="A227" t="inlineStr">
        <is>
          <t>LINCE</t>
        </is>
      </c>
      <c r="B227" t="inlineStr">
        <is>
          <t>150116</t>
        </is>
      </c>
      <c r="C227" t="inlineStr">
        <is>
          <t>Créditos</t>
        </is>
      </c>
      <c r="D227" t="inlineStr">
        <is>
          <t>Miles S/</t>
        </is>
      </c>
      <c r="E227" s="11" t="n">
        <v>323.4639</v>
      </c>
      <c r="F227" s="16" t="n">
        <v>323.46388</v>
      </c>
    </row>
    <row r="228">
      <c r="A228" t="inlineStr">
        <is>
          <t>LOS OLIVOS</t>
        </is>
      </c>
      <c r="B228" t="inlineStr">
        <is>
          <t>150117</t>
        </is>
      </c>
      <c r="C228" t="inlineStr">
        <is>
          <t>Créditos</t>
        </is>
      </c>
      <c r="D228" t="inlineStr">
        <is>
          <t>Miles S/</t>
        </is>
      </c>
      <c r="E228" s="11" t="n">
        <v>299.8151</v>
      </c>
      <c r="F228" s="16" t="n">
        <v>299.81514</v>
      </c>
    </row>
    <row r="229">
      <c r="A229" t="inlineStr">
        <is>
          <t>MAGDALENA DEL MAR</t>
        </is>
      </c>
      <c r="B229" t="inlineStr">
        <is>
          <t>150120</t>
        </is>
      </c>
      <c r="C229" t="inlineStr">
        <is>
          <t>Créditos</t>
        </is>
      </c>
      <c r="D229" t="inlineStr">
        <is>
          <t>Miles S/</t>
        </is>
      </c>
      <c r="E229" s="11" t="n">
        <v>295.1549</v>
      </c>
      <c r="F229" s="16" t="n">
        <v>295.15493</v>
      </c>
    </row>
    <row r="230">
      <c r="A230" t="inlineStr">
        <is>
          <t>SAN BORJA</t>
        </is>
      </c>
      <c r="B230" t="inlineStr">
        <is>
          <t>150130</t>
        </is>
      </c>
      <c r="C230" t="inlineStr">
        <is>
          <t>Créditos</t>
        </is>
      </c>
      <c r="D230" t="inlineStr">
        <is>
          <t>Miles S/</t>
        </is>
      </c>
      <c r="E230" s="11" t="n">
        <v>272.4208</v>
      </c>
      <c r="F230" s="16" t="n">
        <v>272.42083</v>
      </c>
    </row>
    <row r="231">
      <c r="A231" t="inlineStr">
        <is>
          <t>SAN JUAN DE MIRAFLORES</t>
        </is>
      </c>
      <c r="B231" t="inlineStr">
        <is>
          <t>150133</t>
        </is>
      </c>
      <c r="C231" t="inlineStr">
        <is>
          <t>Créditos</t>
        </is>
      </c>
      <c r="D231" t="inlineStr">
        <is>
          <t>Miles S/</t>
        </is>
      </c>
      <c r="E231" s="11" t="n">
        <v>231.2052</v>
      </c>
      <c r="F231" s="16" t="n">
        <v>231.20517</v>
      </c>
    </row>
    <row r="232">
      <c r="A232" t="inlineStr">
        <is>
          <t>JESUS MARIA</t>
        </is>
      </c>
      <c r="B232" t="inlineStr">
        <is>
          <t>150113</t>
        </is>
      </c>
      <c r="C232" t="inlineStr">
        <is>
          <t>Créditos</t>
        </is>
      </c>
      <c r="D232" t="inlineStr">
        <is>
          <t>Miles S/</t>
        </is>
      </c>
      <c r="E232" s="11" t="n">
        <v>212.1692</v>
      </c>
      <c r="F232" s="16" t="n">
        <v>212.16921</v>
      </c>
    </row>
    <row r="233">
      <c r="A233" t="inlineStr">
        <is>
          <t>INDEPENDENCIA</t>
        </is>
      </c>
      <c r="B233" t="inlineStr">
        <is>
          <t>150112</t>
        </is>
      </c>
      <c r="C233" t="inlineStr">
        <is>
          <t>Créditos</t>
        </is>
      </c>
      <c r="D233" t="inlineStr">
        <is>
          <t>Miles S/</t>
        </is>
      </c>
      <c r="E233" s="11" t="n">
        <v>208.3269</v>
      </c>
      <c r="F233" s="16" t="n">
        <v>208.32686</v>
      </c>
    </row>
    <row r="234">
      <c r="A234" t="inlineStr">
        <is>
          <t>MAGDALENA VIEJA</t>
        </is>
      </c>
      <c r="B234" t="inlineStr">
        <is>
          <t>150121</t>
        </is>
      </c>
      <c r="C234" t="inlineStr">
        <is>
          <t>Créditos</t>
        </is>
      </c>
      <c r="D234" t="inlineStr">
        <is>
          <t>Miles S/</t>
        </is>
      </c>
      <c r="E234" s="11" t="n">
        <v>204.8443</v>
      </c>
      <c r="F234" s="16" t="n">
        <v>204.84427</v>
      </c>
    </row>
    <row r="235">
      <c r="A235" t="inlineStr">
        <is>
          <t>CHORRILLOS</t>
        </is>
      </c>
      <c r="B235" t="inlineStr">
        <is>
          <t>150108</t>
        </is>
      </c>
      <c r="C235" t="inlineStr">
        <is>
          <t>Créditos</t>
        </is>
      </c>
      <c r="D235" t="inlineStr">
        <is>
          <t>Miles S/</t>
        </is>
      </c>
      <c r="E235" s="11" t="n">
        <v>194.8275</v>
      </c>
      <c r="F235" s="16" t="n">
        <v>194.82753</v>
      </c>
    </row>
    <row r="236">
      <c r="A236" t="inlineStr">
        <is>
          <t>SAN MARTIN DE PORRES</t>
        </is>
      </c>
      <c r="B236" t="inlineStr">
        <is>
          <t>150135</t>
        </is>
      </c>
      <c r="C236" t="inlineStr">
        <is>
          <t>Créditos</t>
        </is>
      </c>
      <c r="D236" t="inlineStr">
        <is>
          <t>Miles S/</t>
        </is>
      </c>
      <c r="E236" s="11" t="n">
        <v>128.5222</v>
      </c>
      <c r="F236" s="16" t="n">
        <v>128.52216</v>
      </c>
    </row>
    <row r="237">
      <c r="A237" t="inlineStr">
        <is>
          <t>VILLA EL SALVADOR</t>
        </is>
      </c>
      <c r="B237" t="inlineStr">
        <is>
          <t>150142</t>
        </is>
      </c>
      <c r="C237" t="inlineStr">
        <is>
          <t>Créditos</t>
        </is>
      </c>
      <c r="D237" t="inlineStr">
        <is>
          <t>Miles S/</t>
        </is>
      </c>
      <c r="E237" s="11" t="n">
        <v>114.7632</v>
      </c>
      <c r="F237" s="16" t="n">
        <v>114.76317</v>
      </c>
    </row>
    <row r="238">
      <c r="A238" t="inlineStr">
        <is>
          <t>ATE</t>
        </is>
      </c>
      <c r="B238" t="inlineStr">
        <is>
          <t>150103</t>
        </is>
      </c>
      <c r="C238" t="inlineStr">
        <is>
          <t>Créditos</t>
        </is>
      </c>
      <c r="D238" t="inlineStr">
        <is>
          <t>Miles S/</t>
        </is>
      </c>
      <c r="E238" s="11" t="n">
        <v>106.0187</v>
      </c>
      <c r="F238" s="16" t="n">
        <v>106.01874</v>
      </c>
    </row>
    <row r="239">
      <c r="A239" t="inlineStr">
        <is>
          <t>BELLAVISTA</t>
        </is>
      </c>
      <c r="B239" t="inlineStr">
        <is>
          <t>070102</t>
        </is>
      </c>
      <c r="C239" t="inlineStr">
        <is>
          <t>Créditos</t>
        </is>
      </c>
      <c r="D239" t="inlineStr">
        <is>
          <t>Miles S/</t>
        </is>
      </c>
      <c r="E239" s="11" t="n">
        <v>82.62820000000001</v>
      </c>
      <c r="F239" s="16" t="n">
        <v>82.62822</v>
      </c>
    </row>
    <row r="240">
      <c r="A240" t="inlineStr">
        <is>
          <t>VILLA MARIA DEL TRIUNFO</t>
        </is>
      </c>
      <c r="B240" t="inlineStr">
        <is>
          <t>150143</t>
        </is>
      </c>
      <c r="C240" t="inlineStr">
        <is>
          <t>Créditos</t>
        </is>
      </c>
      <c r="D240" t="inlineStr">
        <is>
          <t>Miles S/</t>
        </is>
      </c>
      <c r="E240" s="11" t="n">
        <v>79.235</v>
      </c>
      <c r="F240" s="16" t="n">
        <v>79.23499</v>
      </c>
    </row>
    <row r="241">
      <c r="A241" t="inlineStr">
        <is>
          <t>CAYMA</t>
        </is>
      </c>
      <c r="B241" t="inlineStr">
        <is>
          <t>040103</t>
        </is>
      </c>
      <c r="C241" t="inlineStr">
        <is>
          <t>Créditos</t>
        </is>
      </c>
      <c r="D241" t="inlineStr">
        <is>
          <t>Miles S/</t>
        </is>
      </c>
      <c r="E241" s="11" t="n">
        <v>76.79600000000001</v>
      </c>
      <c r="F241" s="16" t="n">
        <v>76.79595999999999</v>
      </c>
    </row>
    <row r="242">
      <c r="A242" t="inlineStr">
        <is>
          <t>EL TAMBO</t>
        </is>
      </c>
      <c r="B242" t="inlineStr">
        <is>
          <t>120114</t>
        </is>
      </c>
      <c r="C242" t="inlineStr">
        <is>
          <t>Créditos</t>
        </is>
      </c>
      <c r="D242" t="inlineStr">
        <is>
          <t>Miles S/</t>
        </is>
      </c>
      <c r="E242" s="11" t="n">
        <v>70.4448</v>
      </c>
      <c r="F242" s="16" t="n">
        <v>70.44481</v>
      </c>
    </row>
    <row r="243">
      <c r="A243" t="inlineStr">
        <is>
          <t>VENTANILLA</t>
        </is>
      </c>
      <c r="B243" t="inlineStr">
        <is>
          <t>070106</t>
        </is>
      </c>
      <c r="C243" t="inlineStr">
        <is>
          <t>Créditos</t>
        </is>
      </c>
      <c r="D243" t="inlineStr">
        <is>
          <t>Miles S/</t>
        </is>
      </c>
      <c r="E243" s="11" t="n">
        <v>59.3741</v>
      </c>
      <c r="F243" s="16" t="n">
        <v>59.37406</v>
      </c>
    </row>
    <row r="244">
      <c r="A244" t="inlineStr">
        <is>
          <t>BARRANCO</t>
        </is>
      </c>
      <c r="B244" t="inlineStr">
        <is>
          <t>150104</t>
        </is>
      </c>
      <c r="C244" t="inlineStr">
        <is>
          <t>Créditos</t>
        </is>
      </c>
      <c r="D244" t="inlineStr">
        <is>
          <t>Miles S/</t>
        </is>
      </c>
      <c r="E244" s="11" t="n">
        <v>56.1034</v>
      </c>
      <c r="F244" s="16" t="n">
        <v>56.10337</v>
      </c>
    </row>
    <row r="245">
      <c r="A245" t="inlineStr">
        <is>
          <t>CASTILLA</t>
        </is>
      </c>
      <c r="B245" t="inlineStr">
        <is>
          <t>200104</t>
        </is>
      </c>
      <c r="C245" t="inlineStr">
        <is>
          <t>Créditos</t>
        </is>
      </c>
      <c r="D245" t="inlineStr">
        <is>
          <t>Miles S/</t>
        </is>
      </c>
      <c r="E245" s="11" t="n">
        <v>55.4254</v>
      </c>
      <c r="F245" s="16" t="n">
        <v>55.42541</v>
      </c>
    </row>
    <row r="246">
      <c r="A246" t="inlineStr">
        <is>
          <t>PUENTE PIEDRA</t>
        </is>
      </c>
      <c r="B246" t="inlineStr">
        <is>
          <t>150125</t>
        </is>
      </c>
      <c r="C246" t="inlineStr">
        <is>
          <t>Créditos</t>
        </is>
      </c>
      <c r="D246" t="inlineStr">
        <is>
          <t>Miles S/</t>
        </is>
      </c>
      <c r="E246" s="11" t="n">
        <v>51.3205</v>
      </c>
      <c r="F246" s="16" t="n">
        <v>51.32049</v>
      </c>
    </row>
    <row r="247">
      <c r="A247" t="inlineStr">
        <is>
          <t>SOCABAYA</t>
        </is>
      </c>
      <c r="B247" t="inlineStr">
        <is>
          <t>040122</t>
        </is>
      </c>
      <c r="C247" t="inlineStr">
        <is>
          <t>Créditos</t>
        </is>
      </c>
      <c r="D247" t="inlineStr">
        <is>
          <t>Miles S/</t>
        </is>
      </c>
      <c r="E247" s="11" t="n">
        <v>49.235</v>
      </c>
      <c r="F247" s="16" t="n">
        <v>49.23496</v>
      </c>
    </row>
    <row r="248">
      <c r="A248" t="inlineStr">
        <is>
          <t>BREÑA</t>
        </is>
      </c>
      <c r="B248" t="inlineStr">
        <is>
          <t>150105</t>
        </is>
      </c>
      <c r="C248" t="inlineStr">
        <is>
          <t>Créditos</t>
        </is>
      </c>
      <c r="D248" t="inlineStr">
        <is>
          <t>Miles S/</t>
        </is>
      </c>
      <c r="E248" s="11" t="n">
        <v>49.084</v>
      </c>
      <c r="F248" s="16" t="n">
        <v>49.08399</v>
      </c>
    </row>
    <row r="249">
      <c r="A249" t="inlineStr">
        <is>
          <t>LURIN</t>
        </is>
      </c>
      <c r="B249" t="inlineStr">
        <is>
          <t>150119</t>
        </is>
      </c>
      <c r="C249" t="inlineStr">
        <is>
          <t>Créditos</t>
        </is>
      </c>
      <c r="D249" t="inlineStr">
        <is>
          <t>Miles S/</t>
        </is>
      </c>
      <c r="E249" s="11" t="n">
        <v>48.0731</v>
      </c>
      <c r="F249" s="16" t="n">
        <v>48.07312</v>
      </c>
    </row>
    <row r="250">
      <c r="A250" t="inlineStr">
        <is>
          <t>WANCHAQ</t>
        </is>
      </c>
      <c r="B250" t="inlineStr">
        <is>
          <t>080108</t>
        </is>
      </c>
      <c r="C250" t="inlineStr">
        <is>
          <t>Créditos</t>
        </is>
      </c>
      <c r="D250" t="inlineStr">
        <is>
          <t>Miles S/</t>
        </is>
      </c>
      <c r="E250" s="11" t="n">
        <v>45.6059</v>
      </c>
      <c r="F250" s="16" t="n">
        <v>45.60587</v>
      </c>
    </row>
    <row r="251">
      <c r="A251" t="inlineStr">
        <is>
          <t>MIRAFLORES</t>
        </is>
      </c>
      <c r="B251" t="inlineStr">
        <is>
          <t>040110</t>
        </is>
      </c>
      <c r="C251" t="inlineStr">
        <is>
          <t>Créditos</t>
        </is>
      </c>
      <c r="D251" t="inlineStr">
        <is>
          <t>Miles S/</t>
        </is>
      </c>
      <c r="E251" s="11" t="n">
        <v>42.8238</v>
      </c>
      <c r="F251" s="16" t="n">
        <v>42.82381</v>
      </c>
    </row>
    <row r="252">
      <c r="A252" t="inlineStr">
        <is>
          <t>RIMAC</t>
        </is>
      </c>
      <c r="B252" t="inlineStr">
        <is>
          <t>150128</t>
        </is>
      </c>
      <c r="C252" t="inlineStr">
        <is>
          <t>Créditos</t>
        </is>
      </c>
      <c r="D252" t="inlineStr">
        <is>
          <t>Miles S/</t>
        </is>
      </c>
      <c r="E252" s="11" t="n">
        <v>33.2754</v>
      </c>
      <c r="F252" s="16" t="n">
        <v>33.27544</v>
      </c>
    </row>
    <row r="253">
      <c r="A253" t="inlineStr">
        <is>
          <t>MARIANO MELGAR</t>
        </is>
      </c>
      <c r="B253" t="inlineStr">
        <is>
          <t>040109</t>
        </is>
      </c>
      <c r="C253" t="inlineStr">
        <is>
          <t>Créditos</t>
        </is>
      </c>
      <c r="D253" t="inlineStr">
        <is>
          <t>Miles S/</t>
        </is>
      </c>
      <c r="E253" s="11" t="n">
        <v>28.7563</v>
      </c>
      <c r="F253" s="16" t="n">
        <v>28.7563</v>
      </c>
    </row>
    <row r="254">
      <c r="A254" t="inlineStr">
        <is>
          <t>CARABAYLLO</t>
        </is>
      </c>
      <c r="B254" t="inlineStr">
        <is>
          <t>150106</t>
        </is>
      </c>
      <c r="C254" t="inlineStr">
        <is>
          <t>Créditos</t>
        </is>
      </c>
      <c r="D254" t="inlineStr">
        <is>
          <t>Miles S/</t>
        </is>
      </c>
      <c r="E254" s="11" t="n">
        <v>22.2835</v>
      </c>
      <c r="F254" s="16" t="n">
        <v>22.28348</v>
      </c>
    </row>
    <row r="255">
      <c r="A255" t="inlineStr">
        <is>
          <t>PACHACAMAC</t>
        </is>
      </c>
      <c r="B255" t="inlineStr">
        <is>
          <t>150123</t>
        </is>
      </c>
      <c r="C255" t="inlineStr">
        <is>
          <t>Créditos</t>
        </is>
      </c>
      <c r="D255" t="inlineStr">
        <is>
          <t>Miles S/</t>
        </is>
      </c>
      <c r="E255" s="11" t="n">
        <v>19.664</v>
      </c>
      <c r="F255" s="16" t="n">
        <v>19.66403</v>
      </c>
    </row>
    <row r="256">
      <c r="A256" t="inlineStr">
        <is>
          <t>EL AGUSTINO</t>
        </is>
      </c>
      <c r="B256" t="inlineStr">
        <is>
          <t>150111</t>
        </is>
      </c>
      <c r="C256" t="inlineStr">
        <is>
          <t>Créditos</t>
        </is>
      </c>
      <c r="D256" t="inlineStr">
        <is>
          <t>Miles S/</t>
        </is>
      </c>
      <c r="E256" s="11" t="n">
        <v>17.2388</v>
      </c>
      <c r="F256" s="16" t="n">
        <v>17.2388</v>
      </c>
    </row>
    <row r="257">
      <c r="A257" t="inlineStr">
        <is>
          <t>CERRO COLORADO</t>
        </is>
      </c>
      <c r="B257" t="inlineStr">
        <is>
          <t>040104</t>
        </is>
      </c>
      <c r="C257" t="inlineStr">
        <is>
          <t>Créditos</t>
        </is>
      </c>
      <c r="D257" t="inlineStr">
        <is>
          <t>Miles S/</t>
        </is>
      </c>
      <c r="E257" s="11" t="n">
        <v>16.3951</v>
      </c>
      <c r="F257" s="16" t="n">
        <v>16.39514</v>
      </c>
    </row>
    <row r="258">
      <c r="A258" t="inlineStr">
        <is>
          <t>SECHURA</t>
        </is>
      </c>
      <c r="B258" t="inlineStr">
        <is>
          <t>200801</t>
        </is>
      </c>
      <c r="C258" t="inlineStr">
        <is>
          <t>Créditos</t>
        </is>
      </c>
      <c r="D258" t="inlineStr">
        <is>
          <t>Miles S/</t>
        </is>
      </c>
      <c r="E258" s="11" t="n">
        <v>16.1918</v>
      </c>
      <c r="F258" s="16" t="n">
        <v>16.19182</v>
      </c>
    </row>
    <row r="259">
      <c r="A259" t="inlineStr">
        <is>
          <t>CHACLACAYO</t>
        </is>
      </c>
      <c r="B259" t="inlineStr">
        <is>
          <t>150107</t>
        </is>
      </c>
      <c r="C259" t="inlineStr">
        <is>
          <t>Créditos</t>
        </is>
      </c>
      <c r="D259" t="inlineStr">
        <is>
          <t>Miles S/</t>
        </is>
      </c>
      <c r="E259" s="11" t="n">
        <v>15.1003</v>
      </c>
      <c r="F259" s="16" t="n">
        <v>15.10034</v>
      </c>
    </row>
    <row r="260">
      <c r="A260" t="inlineStr">
        <is>
          <t>JOSE LUIS BUSTAMANTE Y RIVERO</t>
        </is>
      </c>
      <c r="B260" t="inlineStr">
        <is>
          <t>040129</t>
        </is>
      </c>
      <c r="C260" t="inlineStr">
        <is>
          <t>Créditos</t>
        </is>
      </c>
      <c r="D260" t="inlineStr">
        <is>
          <t>Miles S/</t>
        </is>
      </c>
      <c r="E260" s="11" t="n">
        <v>14.9365</v>
      </c>
      <c r="F260" s="16" t="n">
        <v>14.93648</v>
      </c>
    </row>
    <row r="261">
      <c r="A261" t="inlineStr">
        <is>
          <t>JOSE LEONARDO ORTIZ</t>
        </is>
      </c>
      <c r="B261" t="inlineStr">
        <is>
          <t>140105</t>
        </is>
      </c>
      <c r="C261" t="inlineStr">
        <is>
          <t>Créditos</t>
        </is>
      </c>
      <c r="D261" t="inlineStr">
        <is>
          <t>Miles S/</t>
        </is>
      </c>
      <c r="E261" s="11" t="n">
        <v>14.8782</v>
      </c>
      <c r="F261" s="16" t="n">
        <v>14.87821</v>
      </c>
    </row>
    <row r="262">
      <c r="A262" t="inlineStr">
        <is>
          <t>PAUCARPATA</t>
        </is>
      </c>
      <c r="B262" t="inlineStr">
        <is>
          <t>040112</t>
        </is>
      </c>
      <c r="C262" t="inlineStr">
        <is>
          <t>Créditos</t>
        </is>
      </c>
      <c r="D262" t="inlineStr">
        <is>
          <t>Miles S/</t>
        </is>
      </c>
      <c r="E262" s="11" t="n">
        <v>14.3374</v>
      </c>
      <c r="F262" s="16" t="n">
        <v>14.33744</v>
      </c>
    </row>
    <row r="263">
      <c r="A263" t="inlineStr">
        <is>
          <t>IMPERIAL</t>
        </is>
      </c>
      <c r="B263" t="inlineStr">
        <is>
          <t>150507</t>
        </is>
      </c>
      <c r="C263" t="inlineStr">
        <is>
          <t>Créditos</t>
        </is>
      </c>
      <c r="D263" t="inlineStr">
        <is>
          <t>Miles S/</t>
        </is>
      </c>
      <c r="E263" s="11" t="n">
        <v>12.7699</v>
      </c>
      <c r="F263" s="16" t="n">
        <v>12.76991</v>
      </c>
    </row>
    <row r="264">
      <c r="A264" t="inlineStr">
        <is>
          <t>LURIGANCHO</t>
        </is>
      </c>
      <c r="B264" t="inlineStr">
        <is>
          <t>150118</t>
        </is>
      </c>
      <c r="C264" t="inlineStr">
        <is>
          <t>Créditos</t>
        </is>
      </c>
      <c r="D264" t="inlineStr">
        <is>
          <t>Miles S/</t>
        </is>
      </c>
      <c r="E264" s="11" t="n">
        <v>12.4206</v>
      </c>
      <c r="F264" s="16" t="n">
        <v>12.42059</v>
      </c>
    </row>
    <row r="265">
      <c r="A265" t="inlineStr">
        <is>
          <t>YANAHUARA</t>
        </is>
      </c>
      <c r="B265" t="inlineStr">
        <is>
          <t>040126</t>
        </is>
      </c>
      <c r="C265" t="inlineStr">
        <is>
          <t>Créditos</t>
        </is>
      </c>
      <c r="D265" t="inlineStr">
        <is>
          <t>Miles S/</t>
        </is>
      </c>
      <c r="E265" s="11" t="n">
        <v>11.995</v>
      </c>
      <c r="F265" s="16" t="n">
        <v>11.99498</v>
      </c>
    </row>
    <row r="266">
      <c r="A266" t="inlineStr">
        <is>
          <t>EL PORVENIR</t>
        </is>
      </c>
      <c r="B266" t="inlineStr">
        <is>
          <t>130102</t>
        </is>
      </c>
      <c r="C266" t="inlineStr">
        <is>
          <t>Créditos</t>
        </is>
      </c>
      <c r="D266" t="inlineStr">
        <is>
          <t>Miles S/</t>
        </is>
      </c>
      <c r="E266" s="11" t="n">
        <v>9.309799999999999</v>
      </c>
      <c r="F266" s="16" t="n">
        <v>9.30977</v>
      </c>
    </row>
    <row r="267">
      <c r="A267" t="inlineStr">
        <is>
          <t>RIOJA</t>
        </is>
      </c>
      <c r="B267" t="inlineStr">
        <is>
          <t>220801</t>
        </is>
      </c>
      <c r="C267" t="inlineStr">
        <is>
          <t>Créditos</t>
        </is>
      </c>
      <c r="D267" t="inlineStr">
        <is>
          <t>Miles S/</t>
        </is>
      </c>
      <c r="E267" s="11" t="n">
        <v>8.164300000000001</v>
      </c>
      <c r="F267" s="16" t="n">
        <v>8.16433</v>
      </c>
    </row>
    <row r="268">
      <c r="A268" t="inlineStr">
        <is>
          <t>SAN JERONIMO</t>
        </is>
      </c>
      <c r="B268" t="inlineStr">
        <is>
          <t>080104</t>
        </is>
      </c>
      <c r="C268" t="inlineStr">
        <is>
          <t>Créditos</t>
        </is>
      </c>
      <c r="D268" t="inlineStr">
        <is>
          <t>Miles S/</t>
        </is>
      </c>
      <c r="E268" s="11" t="n">
        <v>6.4066</v>
      </c>
      <c r="F268" s="16" t="n">
        <v>6.40659</v>
      </c>
    </row>
    <row r="269">
      <c r="A269" t="inlineStr">
        <is>
          <t>URUBAMBA</t>
        </is>
      </c>
      <c r="B269" t="inlineStr">
        <is>
          <t>081301</t>
        </is>
      </c>
      <c r="C269" t="inlineStr">
        <is>
          <t>Créditos</t>
        </is>
      </c>
      <c r="D269" t="inlineStr">
        <is>
          <t>Miles S/</t>
        </is>
      </c>
      <c r="E269" s="11" t="n">
        <v>5.2736</v>
      </c>
      <c r="F269" s="16" t="n">
        <v>5.27359</v>
      </c>
    </row>
    <row r="270">
      <c r="A270" t="inlineStr">
        <is>
          <t>YARINACOCHA</t>
        </is>
      </c>
      <c r="B270" t="inlineStr">
        <is>
          <t>250105</t>
        </is>
      </c>
      <c r="C270" t="inlineStr">
        <is>
          <t>Créditos</t>
        </is>
      </c>
      <c r="D270" t="inlineStr">
        <is>
          <t>Miles S/</t>
        </is>
      </c>
      <c r="E270" s="11" t="n">
        <v>5.0002</v>
      </c>
      <c r="F270" s="16" t="n">
        <v>5.0002</v>
      </c>
    </row>
    <row r="271">
      <c r="A271" t="inlineStr">
        <is>
          <t>NUEVA CAJAMARCA</t>
        </is>
      </c>
      <c r="B271" t="inlineStr">
        <is>
          <t>220804</t>
        </is>
      </c>
      <c r="C271" t="inlineStr">
        <is>
          <t>Créditos</t>
        </is>
      </c>
      <c r="D271" t="inlineStr">
        <is>
          <t>Miles S/</t>
        </is>
      </c>
      <c r="E271" s="11" t="n">
        <v>4.5401</v>
      </c>
      <c r="F271" s="16" t="n">
        <v>4.5401</v>
      </c>
    </row>
    <row r="272">
      <c r="A272" t="inlineStr">
        <is>
          <t>JACOBO HUNTER</t>
        </is>
      </c>
      <c r="B272" t="inlineStr">
        <is>
          <t>040107</t>
        </is>
      </c>
      <c r="C272" t="inlineStr">
        <is>
          <t>Créditos</t>
        </is>
      </c>
      <c r="D272" t="inlineStr">
        <is>
          <t>Miles S/</t>
        </is>
      </c>
      <c r="E272" s="11" t="n">
        <v>3.6237</v>
      </c>
      <c r="F272" s="16" t="n">
        <v>3.62365</v>
      </c>
    </row>
    <row r="273">
      <c r="A273" t="inlineStr">
        <is>
          <t>PACOCHA</t>
        </is>
      </c>
      <c r="B273" t="inlineStr">
        <is>
          <t>180303</t>
        </is>
      </c>
      <c r="C273" t="inlineStr">
        <is>
          <t>Créditos</t>
        </is>
      </c>
      <c r="D273" t="inlineStr">
        <is>
          <t>Miles S/</t>
        </is>
      </c>
      <c r="E273" s="11" t="n">
        <v>3.1153</v>
      </c>
      <c r="F273" s="16" t="n">
        <v>3.11533</v>
      </c>
    </row>
    <row r="274">
      <c r="A274" t="inlineStr">
        <is>
          <t>MALA</t>
        </is>
      </c>
      <c r="B274" t="inlineStr">
        <is>
          <t>150509</t>
        </is>
      </c>
      <c r="C274" t="inlineStr">
        <is>
          <t>Créditos</t>
        </is>
      </c>
      <c r="D274" t="inlineStr">
        <is>
          <t>Miles S/</t>
        </is>
      </c>
      <c r="E274" s="11" t="n">
        <v>2.1103</v>
      </c>
      <c r="F274" s="16" t="n">
        <v>2.11034</v>
      </c>
    </row>
    <row r="275">
      <c r="A275" t="inlineStr">
        <is>
          <t>TAMBO GRANDE</t>
        </is>
      </c>
      <c r="B275" t="inlineStr">
        <is>
          <t>200114</t>
        </is>
      </c>
      <c r="C275" t="inlineStr">
        <is>
          <t>Créditos</t>
        </is>
      </c>
      <c r="D275" t="inlineStr">
        <is>
          <t>Miles S/</t>
        </is>
      </c>
      <c r="E275" s="11" t="n">
        <v>1.8169</v>
      </c>
      <c r="F275" s="16" t="n">
        <v>1.81694</v>
      </c>
    </row>
    <row r="276">
      <c r="A276" t="inlineStr">
        <is>
          <t>CHULUCANAS</t>
        </is>
      </c>
      <c r="B276" t="inlineStr">
        <is>
          <t>200401</t>
        </is>
      </c>
      <c r="C276" t="inlineStr">
        <is>
          <t>Créditos</t>
        </is>
      </c>
      <c r="D276" t="inlineStr">
        <is>
          <t>Miles S/</t>
        </is>
      </c>
      <c r="E276" s="11" t="n">
        <v>1.5771</v>
      </c>
      <c r="F276" s="16" t="n">
        <v>1.57705</v>
      </c>
    </row>
    <row r="277">
      <c r="A277" t="inlineStr">
        <is>
          <t>ASIA</t>
        </is>
      </c>
      <c r="B277" t="inlineStr">
        <is>
          <t>150502</t>
        </is>
      </c>
      <c r="C277" t="inlineStr">
        <is>
          <t>Créditos</t>
        </is>
      </c>
      <c r="D277" t="inlineStr">
        <is>
          <t>Miles S/</t>
        </is>
      </c>
      <c r="E277" s="11" t="n">
        <v>1.2952</v>
      </c>
      <c r="F277" s="16" t="n">
        <v>1.29517</v>
      </c>
    </row>
    <row r="278">
      <c r="A278" t="inlineStr">
        <is>
          <t>TORATA</t>
        </is>
      </c>
      <c r="B278" t="inlineStr">
        <is>
          <t>180106</t>
        </is>
      </c>
      <c r="C278" t="inlineStr">
        <is>
          <t>Créditos</t>
        </is>
      </c>
      <c r="D278" t="inlineStr">
        <is>
          <t>Miles S/</t>
        </is>
      </c>
      <c r="E278" s="11" t="n">
        <v>0</v>
      </c>
      <c r="F278" s="16" t="n">
        <v>0</v>
      </c>
    </row>
    <row r="279">
      <c r="A279" t="inlineStr">
        <is>
          <t>CARMEN DE LA LEGUA REYNOSO</t>
        </is>
      </c>
      <c r="B279" t="inlineStr">
        <is>
          <t>070103</t>
        </is>
      </c>
      <c r="C279" t="inlineStr">
        <is>
          <t>Créditos</t>
        </is>
      </c>
      <c r="D279" t="inlineStr">
        <is>
          <t>Miles S/</t>
        </is>
      </c>
      <c r="E279" s="11" t="n">
        <v>0</v>
      </c>
      <c r="F279" s="16" t="n">
        <v>0</v>
      </c>
    </row>
    <row r="280">
      <c r="A280" t="inlineStr">
        <is>
          <t>SAN JUAN BAUTISTA</t>
        </is>
      </c>
      <c r="B280" t="inlineStr">
        <is>
          <t>160113</t>
        </is>
      </c>
      <c r="C280" t="inlineStr">
        <is>
          <t>Créditos</t>
        </is>
      </c>
      <c r="D280" t="inlineStr">
        <is>
          <t>Miles S/</t>
        </is>
      </c>
      <c r="E280" s="11" t="n">
        <v>0</v>
      </c>
      <c r="F280" s="16" t="n">
        <v>0</v>
      </c>
    </row>
    <row r="281">
      <c r="A281" t="inlineStr">
        <is>
          <t>MACHUPICCHU</t>
        </is>
      </c>
      <c r="B281" t="inlineStr">
        <is>
          <t>081304</t>
        </is>
      </c>
      <c r="C281" t="inlineStr">
        <is>
          <t>Créditos</t>
        </is>
      </c>
      <c r="D281" t="inlineStr">
        <is>
          <t>Miles S/</t>
        </is>
      </c>
      <c r="E281" s="11" t="n">
        <v>0</v>
      </c>
      <c r="F281" s="1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49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Credicorp — Créditos colocados por distrito y exposición asignada</t>
        </is>
      </c>
    </row>
    <row r="2">
      <c r="A2" s="2" t="inlineStr">
        <is>
          <t>Créditos colocados total: 135,550,383.67 Miles S/   ·   Exposición en cartera: S/ 1,450,946,652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LIMA</t>
        </is>
      </c>
      <c r="D5" t="inlineStr">
        <is>
          <t>150101</t>
        </is>
      </c>
      <c r="E5" t="inlineStr">
        <is>
          <t>—</t>
        </is>
      </c>
      <c r="F5" s="11" t="n">
        <v>60180007.5224</v>
      </c>
      <c r="G5" s="6">
        <f>IF($F$247=0,0,F5/$F$247)</f>
        <v/>
      </c>
      <c r="H5" s="5" t="n">
        <v>644173613.15</v>
      </c>
      <c r="I5" t="n">
        <v>2</v>
      </c>
      <c r="J5" t="n">
        <v>4</v>
      </c>
      <c r="L5" s="5" t="n">
        <v>1932520839.46</v>
      </c>
    </row>
    <row r="6">
      <c r="A6" t="inlineStr">
        <is>
          <t>LIMA</t>
        </is>
      </c>
      <c r="B6" t="inlineStr">
        <is>
          <t>LIMA</t>
        </is>
      </c>
      <c r="C6" t="inlineStr">
        <is>
          <t>SAN ISIDRO</t>
        </is>
      </c>
      <c r="D6" t="inlineStr">
        <is>
          <t>150131</t>
        </is>
      </c>
      <c r="E6" t="inlineStr">
        <is>
          <t>—</t>
        </is>
      </c>
      <c r="F6" s="11" t="n">
        <v>29188857.5936</v>
      </c>
      <c r="G6" s="6">
        <f>IF($F$247=0,0,F6/$F$247)</f>
        <v/>
      </c>
      <c r="H6" s="5" t="n">
        <v>312440835.98</v>
      </c>
      <c r="I6" t="n">
        <v>1</v>
      </c>
      <c r="J6" t="n">
        <v>4</v>
      </c>
      <c r="L6" s="5" t="n">
        <v>781102089.96</v>
      </c>
    </row>
    <row r="7">
      <c r="A7" t="inlineStr">
        <is>
          <t>LIMA</t>
        </is>
      </c>
      <c r="B7" t="inlineStr">
        <is>
          <t>LIMA</t>
        </is>
      </c>
      <c r="C7" t="inlineStr">
        <is>
          <t>MIRAFLORES</t>
        </is>
      </c>
      <c r="D7" t="inlineStr">
        <is>
          <t>150122</t>
        </is>
      </c>
      <c r="E7" t="inlineStr">
        <is>
          <t>—</t>
        </is>
      </c>
      <c r="F7" s="11" t="n">
        <v>11725536.6671</v>
      </c>
      <c r="G7" s="6">
        <f>IF($F$247=0,0,F7/$F$247)</f>
        <v/>
      </c>
      <c r="H7" s="5" t="n">
        <v>125511471.86</v>
      </c>
      <c r="I7" t="n">
        <v>2</v>
      </c>
      <c r="J7" t="n">
        <v>4</v>
      </c>
      <c r="L7" s="5" t="n">
        <v>376534415.59</v>
      </c>
    </row>
    <row r="8">
      <c r="A8" t="inlineStr">
        <is>
          <t>AREQUIPA</t>
        </is>
      </c>
      <c r="B8" t="inlineStr">
        <is>
          <t>AREQUIPA</t>
        </is>
      </c>
      <c r="C8" t="inlineStr">
        <is>
          <t>AREQUIPA</t>
        </is>
      </c>
      <c r="D8" t="inlineStr">
        <is>
          <t>040101</t>
        </is>
      </c>
      <c r="E8" t="inlineStr">
        <is>
          <t>—</t>
        </is>
      </c>
      <c r="F8" s="11" t="n">
        <v>3451281.8865</v>
      </c>
      <c r="G8" s="6">
        <f>IF($F$247=0,0,F8/$F$247)</f>
        <v/>
      </c>
      <c r="H8" s="5" t="n">
        <v>36942912.01</v>
      </c>
      <c r="I8" t="n">
        <v>2</v>
      </c>
      <c r="J8" t="n">
        <v>5</v>
      </c>
      <c r="L8" s="5" t="n">
        <v>129300192.05</v>
      </c>
    </row>
    <row r="9">
      <c r="A9" t="inlineStr">
        <is>
          <t>CALLAO</t>
        </is>
      </c>
      <c r="B9" t="inlineStr">
        <is>
          <t>CALLAO</t>
        </is>
      </c>
      <c r="C9" t="inlineStr">
        <is>
          <t>LA PUNTA</t>
        </is>
      </c>
      <c r="D9" t="inlineStr">
        <is>
          <t>070105</t>
        </is>
      </c>
      <c r="E9" t="inlineStr">
        <is>
          <t>—</t>
        </is>
      </c>
      <c r="F9" s="11" t="n">
        <v>2838844.6067</v>
      </c>
      <c r="G9" s="6">
        <f>IF($F$247=0,0,F9/$F$247)</f>
        <v/>
      </c>
      <c r="H9" s="5" t="n">
        <v>30387314.04</v>
      </c>
      <c r="I9" t="n">
        <v>1</v>
      </c>
      <c r="J9" t="n">
        <v>4</v>
      </c>
      <c r="L9" s="5" t="n">
        <v>75968285.09999999</v>
      </c>
    </row>
    <row r="10">
      <c r="A10" t="inlineStr">
        <is>
          <t>LA LIBERTAD</t>
        </is>
      </c>
      <c r="B10" t="inlineStr">
        <is>
          <t>TRUJILLO</t>
        </is>
      </c>
      <c r="C10" t="inlineStr">
        <is>
          <t>TRUJILLO</t>
        </is>
      </c>
      <c r="D10" t="inlineStr">
        <is>
          <t>130101</t>
        </is>
      </c>
      <c r="E10" t="inlineStr">
        <is>
          <t>—</t>
        </is>
      </c>
      <c r="F10" s="11" t="n">
        <v>2751909.5136</v>
      </c>
      <c r="G10" s="6">
        <f>IF($F$247=0,0,F10/$F$247)</f>
        <v/>
      </c>
      <c r="H10" s="5" t="n">
        <v>29456750.96</v>
      </c>
      <c r="I10" t="n">
        <v>1</v>
      </c>
      <c r="J10" t="n">
        <v>5</v>
      </c>
      <c r="L10" s="5" t="n">
        <v>88370252.88</v>
      </c>
    </row>
    <row r="11">
      <c r="A11" t="inlineStr">
        <is>
          <t>LAMBAYEQUE</t>
        </is>
      </c>
      <c r="B11" t="inlineStr">
        <is>
          <t>CHICLAYO</t>
        </is>
      </c>
      <c r="C11" t="inlineStr">
        <is>
          <t>CHICLAYO</t>
        </is>
      </c>
      <c r="D11" t="inlineStr">
        <is>
          <t>140101</t>
        </is>
      </c>
      <c r="E11" t="inlineStr">
        <is>
          <t>—</t>
        </is>
      </c>
      <c r="F11" s="11" t="n">
        <v>1573397.3163</v>
      </c>
      <c r="G11" s="6">
        <f>IF($F$247=0,0,F11/$F$247)</f>
        <v/>
      </c>
      <c r="H11" s="5" t="n">
        <v>16841822.99</v>
      </c>
      <c r="I11" t="n">
        <v>1</v>
      </c>
      <c r="J11" t="n">
        <v>4</v>
      </c>
      <c r="L11" s="5" t="n">
        <v>42104557.47</v>
      </c>
    </row>
    <row r="12">
      <c r="A12" t="inlineStr">
        <is>
          <t>PIURA</t>
        </is>
      </c>
      <c r="B12" t="inlineStr">
        <is>
          <t>PIURA</t>
        </is>
      </c>
      <c r="C12" t="inlineStr">
        <is>
          <t>PIURA</t>
        </is>
      </c>
      <c r="D12" t="inlineStr">
        <is>
          <t>200101</t>
        </is>
      </c>
      <c r="E12" t="inlineStr">
        <is>
          <t>—</t>
        </is>
      </c>
      <c r="F12" s="11" t="n">
        <v>1151786.8265</v>
      </c>
      <c r="G12" s="6">
        <f>IF($F$247=0,0,F12/$F$247)</f>
        <v/>
      </c>
      <c r="H12" s="5" t="n">
        <v>12328856.58</v>
      </c>
      <c r="I12" t="n">
        <v>1</v>
      </c>
      <c r="J12" t="n">
        <v>5</v>
      </c>
      <c r="L12" s="5" t="n">
        <v>36986569.74</v>
      </c>
    </row>
    <row r="13">
      <c r="A13" t="inlineStr">
        <is>
          <t>PUNO</t>
        </is>
      </c>
      <c r="B13" t="inlineStr">
        <is>
          <t>SAN ROMAN</t>
        </is>
      </c>
      <c r="C13" t="inlineStr">
        <is>
          <t>JULIACA</t>
        </is>
      </c>
      <c r="D13" t="inlineStr">
        <is>
          <t>211101</t>
        </is>
      </c>
      <c r="E13" t="inlineStr">
        <is>
          <t>—</t>
        </is>
      </c>
      <c r="F13" s="11" t="n">
        <v>762281.0286</v>
      </c>
      <c r="G13" s="6">
        <f>IF($F$247=0,0,F13/$F$247)</f>
        <v/>
      </c>
      <c r="H13" s="5" t="n">
        <v>8159542.42</v>
      </c>
      <c r="I13" t="n">
        <v>3</v>
      </c>
      <c r="J13" t="n">
        <v>1</v>
      </c>
      <c r="K13" t="n">
        <v>4</v>
      </c>
      <c r="L13" s="5" t="n">
        <v>21758779.8</v>
      </c>
    </row>
    <row r="14">
      <c r="A14" t="inlineStr">
        <is>
          <t>CUSCO</t>
        </is>
      </c>
      <c r="B14" t="inlineStr">
        <is>
          <t>CUSCO</t>
        </is>
      </c>
      <c r="C14" t="inlineStr">
        <is>
          <t>CUSCO</t>
        </is>
      </c>
      <c r="D14" t="inlineStr">
        <is>
          <t>080101</t>
        </is>
      </c>
      <c r="E14" t="inlineStr">
        <is>
          <t>—</t>
        </is>
      </c>
      <c r="F14" s="11" t="n">
        <v>739608.8231</v>
      </c>
      <c r="G14" s="6">
        <f>IF($F$247=0,0,F14/$F$247)</f>
        <v/>
      </c>
      <c r="H14" s="5" t="n">
        <v>7916856.57</v>
      </c>
      <c r="I14" t="n">
        <v>4</v>
      </c>
      <c r="J14" t="n">
        <v>2</v>
      </c>
      <c r="K14" t="n">
        <v>3</v>
      </c>
      <c r="L14" s="5" t="n">
        <v>23750569.71</v>
      </c>
    </row>
    <row r="15">
      <c r="A15" t="inlineStr">
        <is>
          <t>CAJAMARCA</t>
        </is>
      </c>
      <c r="B15" t="inlineStr">
        <is>
          <t>CAJAMARCA</t>
        </is>
      </c>
      <c r="C15" t="inlineStr">
        <is>
          <t>CAJAMARCA</t>
        </is>
      </c>
      <c r="D15" t="inlineStr">
        <is>
          <t>060101</t>
        </is>
      </c>
      <c r="E15" t="inlineStr">
        <is>
          <t>—</t>
        </is>
      </c>
      <c r="F15" s="11" t="n">
        <v>669391.2398</v>
      </c>
      <c r="G15" s="6">
        <f>IF($F$247=0,0,F15/$F$247)</f>
        <v/>
      </c>
      <c r="H15" s="5" t="n">
        <v>7165239.61</v>
      </c>
      <c r="I15" t="n">
        <v>4</v>
      </c>
      <c r="J15" t="n">
        <v>4</v>
      </c>
      <c r="K15" t="n">
        <v>3</v>
      </c>
      <c r="L15" s="5" t="n">
        <v>26272545.23</v>
      </c>
    </row>
    <row r="16">
      <c r="A16" t="inlineStr">
        <is>
          <t>ICA</t>
        </is>
      </c>
      <c r="B16" t="inlineStr">
        <is>
          <t>ICA</t>
        </is>
      </c>
      <c r="C16" t="inlineStr">
        <is>
          <t>ICA</t>
        </is>
      </c>
      <c r="D16" t="inlineStr">
        <is>
          <t>110101</t>
        </is>
      </c>
      <c r="E16" t="inlineStr">
        <is>
          <t>—</t>
        </is>
      </c>
      <c r="F16" s="11" t="n">
        <v>659330.6155</v>
      </c>
      <c r="G16" s="6">
        <f>IF($F$247=0,0,F16/$F$247)</f>
        <v/>
      </c>
      <c r="H16" s="5" t="n">
        <v>7057549.55</v>
      </c>
      <c r="I16" t="n">
        <v>1</v>
      </c>
      <c r="J16" t="n">
        <v>5</v>
      </c>
      <c r="L16" s="5" t="n">
        <v>21172648.64</v>
      </c>
    </row>
    <row r="17">
      <c r="A17" t="inlineStr">
        <is>
          <t>JUNIN</t>
        </is>
      </c>
      <c r="B17" t="inlineStr">
        <is>
          <t>HUANCAYO</t>
        </is>
      </c>
      <c r="C17" t="inlineStr">
        <is>
          <t>HUANCAYO</t>
        </is>
      </c>
      <c r="D17" t="inlineStr">
        <is>
          <t>120101</t>
        </is>
      </c>
      <c r="E17" t="inlineStr">
        <is>
          <t>—</t>
        </is>
      </c>
      <c r="F17" s="11" t="n">
        <v>650140.4081</v>
      </c>
      <c r="G17" s="6">
        <f>IF($F$247=0,0,F17/$F$247)</f>
        <v/>
      </c>
      <c r="H17" s="5" t="n">
        <v>6959176.53</v>
      </c>
      <c r="I17" t="n">
        <v>4</v>
      </c>
      <c r="J17" t="n">
        <v>2</v>
      </c>
      <c r="K17" t="n">
        <v>3</v>
      </c>
      <c r="L17" s="5" t="n">
        <v>20877529.58</v>
      </c>
    </row>
    <row r="18">
      <c r="A18" t="inlineStr">
        <is>
          <t>ANCASH</t>
        </is>
      </c>
      <c r="B18" t="inlineStr">
        <is>
          <t>SANTA</t>
        </is>
      </c>
      <c r="C18" t="inlineStr">
        <is>
          <t>CHIMBOTE</t>
        </is>
      </c>
      <c r="D18" t="inlineStr">
        <is>
          <t>021801</t>
        </is>
      </c>
      <c r="E18" t="inlineStr">
        <is>
          <t>—</t>
        </is>
      </c>
      <c r="F18" s="11" t="n">
        <v>584120.0547</v>
      </c>
      <c r="G18" s="6">
        <f>IF($F$247=0,0,F18/$F$247)</f>
        <v/>
      </c>
      <c r="H18" s="5" t="n">
        <v>6252487.19</v>
      </c>
      <c r="I18" t="n">
        <v>5</v>
      </c>
      <c r="J18" t="n">
        <v>4</v>
      </c>
      <c r="K18" t="n">
        <v>3</v>
      </c>
      <c r="L18" s="5" t="n">
        <v>25009948.76</v>
      </c>
    </row>
    <row r="19">
      <c r="A19" t="inlineStr">
        <is>
          <t>SAN MARTIN</t>
        </is>
      </c>
      <c r="B19" t="inlineStr">
        <is>
          <t>SAN MARTIN</t>
        </is>
      </c>
      <c r="C19" t="inlineStr">
        <is>
          <t>TARAPOTO</t>
        </is>
      </c>
      <c r="D19" t="inlineStr">
        <is>
          <t>220901</t>
        </is>
      </c>
      <c r="E19" t="inlineStr">
        <is>
          <t>—</t>
        </is>
      </c>
      <c r="F19" s="11" t="n">
        <v>576683.8268</v>
      </c>
      <c r="G19" s="6">
        <f>IF($F$247=0,0,F19/$F$247)</f>
        <v/>
      </c>
      <c r="H19" s="5" t="n">
        <v>6172888.96</v>
      </c>
      <c r="I19" t="n">
        <v>4</v>
      </c>
      <c r="J19" t="n">
        <v>4</v>
      </c>
      <c r="K19" t="n">
        <v>2</v>
      </c>
      <c r="L19" s="5" t="n">
        <v>20576296.55</v>
      </c>
    </row>
    <row r="20">
      <c r="A20" t="inlineStr">
        <is>
          <t>TACNA</t>
        </is>
      </c>
      <c r="B20" t="inlineStr">
        <is>
          <t>TACNA</t>
        </is>
      </c>
      <c r="C20" t="inlineStr">
        <is>
          <t>TACNA</t>
        </is>
      </c>
      <c r="D20" t="inlineStr">
        <is>
          <t>230101</t>
        </is>
      </c>
      <c r="E20" t="inlineStr">
        <is>
          <t>—</t>
        </is>
      </c>
      <c r="F20" s="11" t="n">
        <v>570495.5995</v>
      </c>
      <c r="G20" s="6">
        <f>IF($F$247=0,0,F20/$F$247)</f>
        <v/>
      </c>
      <c r="H20" s="5" t="n">
        <v>6106649.48</v>
      </c>
      <c r="I20" t="n">
        <v>3</v>
      </c>
      <c r="J20" t="n">
        <v>3</v>
      </c>
      <c r="L20" s="5" t="n">
        <v>18319948.44</v>
      </c>
    </row>
    <row r="21">
      <c r="A21" t="inlineStr">
        <is>
          <t>ANCASH</t>
        </is>
      </c>
      <c r="B21" t="inlineStr">
        <is>
          <t>HUARAZ</t>
        </is>
      </c>
      <c r="C21" t="inlineStr">
        <is>
          <t>HUARAZ</t>
        </is>
      </c>
      <c r="D21" t="inlineStr">
        <is>
          <t>020101</t>
        </is>
      </c>
      <c r="E21" t="inlineStr">
        <is>
          <t>—</t>
        </is>
      </c>
      <c r="F21" s="11" t="n">
        <v>550364.6206</v>
      </c>
      <c r="G21" s="6">
        <f>IF($F$247=0,0,F21/$F$247)</f>
        <v/>
      </c>
      <c r="H21" s="5" t="n">
        <v>5891165.2</v>
      </c>
      <c r="I21" t="n">
        <v>4</v>
      </c>
      <c r="J21" t="n">
        <v>3</v>
      </c>
      <c r="K21" t="n">
        <v>4</v>
      </c>
      <c r="L21" s="5" t="n">
        <v>21600939.08</v>
      </c>
    </row>
    <row r="22">
      <c r="A22" t="inlineStr">
        <is>
          <t>LORETO</t>
        </is>
      </c>
      <c r="B22" t="inlineStr">
        <is>
          <t>MAYNAS</t>
        </is>
      </c>
      <c r="C22" t="inlineStr">
        <is>
          <t>IQUITOS</t>
        </is>
      </c>
      <c r="D22" t="inlineStr">
        <is>
          <t>160101</t>
        </is>
      </c>
      <c r="E22" t="inlineStr">
        <is>
          <t>—</t>
        </is>
      </c>
      <c r="F22" s="11" t="n">
        <v>524982.4597</v>
      </c>
      <c r="G22" s="6">
        <f>IF($F$247=0,0,F22/$F$247)</f>
        <v/>
      </c>
      <c r="H22" s="5" t="n">
        <v>5619471.68</v>
      </c>
      <c r="I22" t="n">
        <v>3</v>
      </c>
      <c r="J22" t="n">
        <v>4</v>
      </c>
      <c r="K22" t="n">
        <v>2</v>
      </c>
      <c r="L22" s="5" t="n">
        <v>16858415.04</v>
      </c>
    </row>
    <row r="23">
      <c r="A23" t="inlineStr">
        <is>
          <t>UCAYALI</t>
        </is>
      </c>
      <c r="B23" t="inlineStr">
        <is>
          <t>CORONEL PORTILLO</t>
        </is>
      </c>
      <c r="C23" t="inlineStr">
        <is>
          <t>CALLERIA</t>
        </is>
      </c>
      <c r="D23" t="inlineStr">
        <is>
          <t>250101</t>
        </is>
      </c>
      <c r="E23" t="inlineStr">
        <is>
          <t>—</t>
        </is>
      </c>
      <c r="F23" s="11" t="n">
        <v>497413.8376</v>
      </c>
      <c r="G23" s="6">
        <f>IF($F$247=0,0,F23/$F$247)</f>
        <v/>
      </c>
      <c r="H23" s="5" t="n">
        <v>5324374.03</v>
      </c>
      <c r="I23" t="n">
        <v>4</v>
      </c>
      <c r="J23" t="n">
        <v>4</v>
      </c>
      <c r="K23" t="n">
        <v>2</v>
      </c>
      <c r="L23" s="5" t="n">
        <v>17747913.42</v>
      </c>
    </row>
    <row r="24">
      <c r="A24" t="inlineStr">
        <is>
          <t>ICA</t>
        </is>
      </c>
      <c r="B24" t="inlineStr">
        <is>
          <t>CHINCHA</t>
        </is>
      </c>
      <c r="C24" t="inlineStr">
        <is>
          <t>CHINCHA ALTA</t>
        </is>
      </c>
      <c r="D24" t="inlineStr">
        <is>
          <t>110201</t>
        </is>
      </c>
      <c r="E24" t="inlineStr">
        <is>
          <t>—</t>
        </is>
      </c>
      <c r="F24" s="11" t="n">
        <v>489092.6465</v>
      </c>
      <c r="G24" s="6">
        <f>IF($F$247=0,0,F24/$F$247)</f>
        <v/>
      </c>
      <c r="H24" s="5" t="n">
        <v>5235303.06</v>
      </c>
      <c r="I24" t="n">
        <v>4</v>
      </c>
      <c r="J24" t="n">
        <v>4</v>
      </c>
      <c r="L24" s="5" t="n">
        <v>20941212.22</v>
      </c>
    </row>
    <row r="25">
      <c r="A25" t="inlineStr">
        <is>
          <t>LIMA</t>
        </is>
      </c>
      <c r="B25" t="inlineStr">
        <is>
          <t>LIMA</t>
        </is>
      </c>
      <c r="C25" t="inlineStr">
        <is>
          <t>ATE</t>
        </is>
      </c>
      <c r="D25" t="inlineStr">
        <is>
          <t>150103</t>
        </is>
      </c>
      <c r="E25" t="inlineStr">
        <is>
          <t>—</t>
        </is>
      </c>
      <c r="F25" s="11" t="n">
        <v>461630.7694</v>
      </c>
      <c r="G25" s="6">
        <f>IF($F$247=0,0,F25/$F$247)</f>
        <v/>
      </c>
      <c r="H25" s="5" t="n">
        <v>4941348.01</v>
      </c>
      <c r="I25" t="n">
        <v>4</v>
      </c>
      <c r="J25" t="n">
        <v>3</v>
      </c>
      <c r="L25" s="5" t="n">
        <v>17294718.05</v>
      </c>
    </row>
    <row r="26">
      <c r="A26" t="inlineStr">
        <is>
          <t>AYACUCHO</t>
        </is>
      </c>
      <c r="B26" t="inlineStr">
        <is>
          <t>HUAMANGA</t>
        </is>
      </c>
      <c r="C26" t="inlineStr">
        <is>
          <t>AYACUCHO</t>
        </is>
      </c>
      <c r="D26" t="inlineStr">
        <is>
          <t>050101</t>
        </is>
      </c>
      <c r="E26" t="inlineStr">
        <is>
          <t>—</t>
        </is>
      </c>
      <c r="F26" s="11" t="n">
        <v>458401.9751</v>
      </c>
      <c r="G26" s="6">
        <f>IF($F$247=0,0,F26/$F$247)</f>
        <v/>
      </c>
      <c r="H26" s="5" t="n">
        <v>4906786.63</v>
      </c>
      <c r="I26" t="n">
        <v>4</v>
      </c>
      <c r="J26" t="n">
        <v>3</v>
      </c>
      <c r="K26" t="n">
        <v>4</v>
      </c>
      <c r="L26" s="5" t="n">
        <v>17991550.99</v>
      </c>
    </row>
    <row r="27">
      <c r="A27" t="inlineStr">
        <is>
          <t>CAJAMARCA</t>
        </is>
      </c>
      <c r="B27" t="inlineStr">
        <is>
          <t>JAEN</t>
        </is>
      </c>
      <c r="C27" t="inlineStr">
        <is>
          <t>JAEN</t>
        </is>
      </c>
      <c r="D27" t="inlineStr">
        <is>
          <t>060801</t>
        </is>
      </c>
      <c r="E27" t="inlineStr">
        <is>
          <t>—</t>
        </is>
      </c>
      <c r="F27" s="11" t="n">
        <v>425355.8671</v>
      </c>
      <c r="G27" s="6">
        <f>IF($F$247=0,0,F27/$F$247)</f>
        <v/>
      </c>
      <c r="H27" s="5" t="n">
        <v>4553057.35</v>
      </c>
      <c r="I27" t="n">
        <v>4</v>
      </c>
      <c r="J27" t="n">
        <v>3</v>
      </c>
      <c r="K27" t="n">
        <v>2</v>
      </c>
      <c r="L27" s="5" t="n">
        <v>13659172.06</v>
      </c>
    </row>
    <row r="28">
      <c r="A28" t="inlineStr">
        <is>
          <t>HUANUCO</t>
        </is>
      </c>
      <c r="B28" t="inlineStr">
        <is>
          <t>HUANUCO</t>
        </is>
      </c>
      <c r="C28" t="inlineStr">
        <is>
          <t>HUANUCO</t>
        </is>
      </c>
      <c r="D28" t="inlineStr">
        <is>
          <t>100101</t>
        </is>
      </c>
      <c r="E28" t="inlineStr">
        <is>
          <t>—</t>
        </is>
      </c>
      <c r="F28" s="11" t="n">
        <v>420611.1818</v>
      </c>
      <c r="G28" s="6">
        <f>IF($F$247=0,0,F28/$F$247)</f>
        <v/>
      </c>
      <c r="H28" s="5" t="n">
        <v>4502269.71</v>
      </c>
      <c r="I28" t="n">
        <v>4</v>
      </c>
      <c r="J28" t="n">
        <v>3</v>
      </c>
      <c r="K28" t="n">
        <v>4</v>
      </c>
      <c r="L28" s="5" t="n">
        <v>16508322.25</v>
      </c>
    </row>
    <row r="29">
      <c r="A29" t="inlineStr">
        <is>
          <t>LIMA</t>
        </is>
      </c>
      <c r="B29" t="inlineStr">
        <is>
          <t>LIMA</t>
        </is>
      </c>
      <c r="C29" t="inlineStr">
        <is>
          <t>SAN JUAN DE LURIGANCHO</t>
        </is>
      </c>
      <c r="D29" t="inlineStr">
        <is>
          <t>150132</t>
        </is>
      </c>
      <c r="E29" t="inlineStr">
        <is>
          <t>—</t>
        </is>
      </c>
      <c r="F29" s="11" t="n">
        <v>371894.8838</v>
      </c>
      <c r="G29" s="6">
        <f>IF($F$247=0,0,F29/$F$247)</f>
        <v/>
      </c>
      <c r="H29" s="5" t="n">
        <v>3980804.94</v>
      </c>
      <c r="I29" t="n">
        <v>5</v>
      </c>
      <c r="J29" t="n">
        <v>2</v>
      </c>
      <c r="L29" s="5" t="n">
        <v>13932817.28</v>
      </c>
    </row>
    <row r="30">
      <c r="A30" t="inlineStr">
        <is>
          <t>PIURA</t>
        </is>
      </c>
      <c r="B30" t="inlineStr">
        <is>
          <t>SULLANA</t>
        </is>
      </c>
      <c r="C30" t="inlineStr">
        <is>
          <t>SULLANA</t>
        </is>
      </c>
      <c r="D30" t="inlineStr">
        <is>
          <t>200601</t>
        </is>
      </c>
      <c r="E30" t="inlineStr">
        <is>
          <t>—</t>
        </is>
      </c>
      <c r="F30" s="11" t="n">
        <v>313758.4497</v>
      </c>
      <c r="G30" s="6">
        <f>IF($F$247=0,0,F30/$F$247)</f>
        <v/>
      </c>
      <c r="H30" s="5" t="n">
        <v>3358505.96</v>
      </c>
      <c r="I30" t="n">
        <v>2</v>
      </c>
      <c r="J30" t="n">
        <v>5</v>
      </c>
      <c r="K30" t="n">
        <v>2</v>
      </c>
      <c r="L30" s="5" t="n">
        <v>10075517.89</v>
      </c>
    </row>
    <row r="31">
      <c r="A31" t="inlineStr">
        <is>
          <t>PUNO</t>
        </is>
      </c>
      <c r="B31" t="inlineStr">
        <is>
          <t>PUNO</t>
        </is>
      </c>
      <c r="C31" t="inlineStr">
        <is>
          <t>PUNO</t>
        </is>
      </c>
      <c r="D31" t="inlineStr">
        <is>
          <t>210101</t>
        </is>
      </c>
      <c r="E31" t="inlineStr">
        <is>
          <t>—</t>
        </is>
      </c>
      <c r="F31" s="11" t="n">
        <v>292989.0638</v>
      </c>
      <c r="G31" s="6">
        <f>IF($F$247=0,0,F31/$F$247)</f>
        <v/>
      </c>
      <c r="H31" s="5" t="n">
        <v>3136188.11</v>
      </c>
      <c r="I31" t="n">
        <v>4</v>
      </c>
      <c r="J31" t="n">
        <v>3</v>
      </c>
      <c r="K31" t="n">
        <v>3</v>
      </c>
      <c r="L31" s="5" t="n">
        <v>10453960.36</v>
      </c>
    </row>
    <row r="32">
      <c r="A32" t="inlineStr">
        <is>
          <t>LIMA</t>
        </is>
      </c>
      <c r="B32" t="inlineStr">
        <is>
          <t>LIMA</t>
        </is>
      </c>
      <c r="C32" t="inlineStr">
        <is>
          <t>LOS OLIVOS</t>
        </is>
      </c>
      <c r="D32" t="inlineStr">
        <is>
          <t>150117</t>
        </is>
      </c>
      <c r="E32" t="inlineStr">
        <is>
          <t>—</t>
        </is>
      </c>
      <c r="F32" s="11" t="n">
        <v>269071.7613</v>
      </c>
      <c r="G32" s="6">
        <f>IF($F$247=0,0,F32/$F$247)</f>
        <v/>
      </c>
      <c r="H32" s="5" t="n">
        <v>2880174.59</v>
      </c>
      <c r="I32" t="n">
        <v>1</v>
      </c>
      <c r="J32" t="n">
        <v>4</v>
      </c>
      <c r="L32" s="5" t="n">
        <v>7200436.48</v>
      </c>
    </row>
    <row r="33">
      <c r="A33" t="inlineStr">
        <is>
          <t>LIMA</t>
        </is>
      </c>
      <c r="B33" t="inlineStr">
        <is>
          <t>HUAURA</t>
        </is>
      </c>
      <c r="C33" t="inlineStr">
        <is>
          <t>HUACHO</t>
        </is>
      </c>
      <c r="D33" t="inlineStr">
        <is>
          <t>150801</t>
        </is>
      </c>
      <c r="E33" t="inlineStr">
        <is>
          <t>—</t>
        </is>
      </c>
      <c r="F33" s="11" t="n">
        <v>263969.5107</v>
      </c>
      <c r="G33" s="6">
        <f>IF($F$247=0,0,F33/$F$247)</f>
        <v/>
      </c>
      <c r="H33" s="5" t="n">
        <v>2825559.53</v>
      </c>
      <c r="I33" t="n">
        <v>3</v>
      </c>
      <c r="J33" t="n">
        <v>3</v>
      </c>
      <c r="L33" s="5" t="n">
        <v>8476678.58</v>
      </c>
    </row>
    <row r="34">
      <c r="A34" t="inlineStr">
        <is>
          <t>SAN MARTIN</t>
        </is>
      </c>
      <c r="B34" t="inlineStr">
        <is>
          <t>MOYOBAMBA</t>
        </is>
      </c>
      <c r="C34" t="inlineStr">
        <is>
          <t>MOYOBAMBA</t>
        </is>
      </c>
      <c r="D34" t="inlineStr">
        <is>
          <t>220101</t>
        </is>
      </c>
      <c r="E34" t="inlineStr">
        <is>
          <t>—</t>
        </is>
      </c>
      <c r="F34" s="11" t="n">
        <v>253640.1566</v>
      </c>
      <c r="G34" s="6">
        <f>IF($F$247=0,0,F34/$F$247)</f>
        <v/>
      </c>
      <c r="H34" s="5" t="n">
        <v>2714992.95</v>
      </c>
      <c r="I34" t="n">
        <v>4</v>
      </c>
      <c r="J34" t="n">
        <v>4</v>
      </c>
      <c r="K34" t="n">
        <v>2</v>
      </c>
      <c r="L34" s="5" t="n">
        <v>9049976.5</v>
      </c>
    </row>
    <row r="35">
      <c r="A35" t="inlineStr">
        <is>
          <t>LIMA</t>
        </is>
      </c>
      <c r="B35" t="inlineStr">
        <is>
          <t>LIMA</t>
        </is>
      </c>
      <c r="C35" t="inlineStr">
        <is>
          <t>VILLA EL SALVADOR</t>
        </is>
      </c>
      <c r="D35" t="inlineStr">
        <is>
          <t>150142</t>
        </is>
      </c>
      <c r="E35" t="inlineStr">
        <is>
          <t>—</t>
        </is>
      </c>
      <c r="F35" s="11" t="n">
        <v>241375.0037</v>
      </c>
      <c r="G35" s="6">
        <f>IF($F$247=0,0,F35/$F$247)</f>
        <v/>
      </c>
      <c r="H35" s="5" t="n">
        <v>2583705.36</v>
      </c>
      <c r="I35" t="n">
        <v>1</v>
      </c>
      <c r="J35" t="n">
        <v>3</v>
      </c>
      <c r="L35" s="5" t="n">
        <v>5167410.73</v>
      </c>
    </row>
    <row r="36">
      <c r="A36" t="inlineStr">
        <is>
          <t>LIMA</t>
        </is>
      </c>
      <c r="B36" t="inlineStr">
        <is>
          <t>LIMA</t>
        </is>
      </c>
      <c r="C36" t="inlineStr">
        <is>
          <t>VILLA MARIA DEL TRIUNFO</t>
        </is>
      </c>
      <c r="D36" t="inlineStr">
        <is>
          <t>150143</t>
        </is>
      </c>
      <c r="E36" t="inlineStr">
        <is>
          <t>—</t>
        </is>
      </c>
      <c r="F36" s="11" t="n">
        <v>237251.2769</v>
      </c>
      <c r="G36" s="6">
        <f>IF($F$247=0,0,F36/$F$247)</f>
        <v/>
      </c>
      <c r="H36" s="5" t="n">
        <v>2539564.53</v>
      </c>
      <c r="I36" t="n">
        <v>4</v>
      </c>
      <c r="J36" t="n">
        <v>1</v>
      </c>
      <c r="L36" s="5" t="n">
        <v>6348911.31</v>
      </c>
    </row>
    <row r="37">
      <c r="A37" t="inlineStr">
        <is>
          <t>LIMA</t>
        </is>
      </c>
      <c r="B37" t="inlineStr">
        <is>
          <t>LIMA</t>
        </is>
      </c>
      <c r="C37" t="inlineStr">
        <is>
          <t>LA VICTORIA</t>
        </is>
      </c>
      <c r="D37" t="inlineStr">
        <is>
          <t>150115</t>
        </is>
      </c>
      <c r="E37" t="inlineStr">
        <is>
          <t>—</t>
        </is>
      </c>
      <c r="F37" s="11" t="n">
        <v>230390.9639</v>
      </c>
      <c r="G37" s="6">
        <f>IF($F$247=0,0,F37/$F$247)</f>
        <v/>
      </c>
      <c r="H37" s="5" t="n">
        <v>2466130.96</v>
      </c>
      <c r="I37" t="n">
        <v>1</v>
      </c>
      <c r="J37" t="n">
        <v>3</v>
      </c>
      <c r="L37" s="5" t="n">
        <v>4932261.92</v>
      </c>
    </row>
    <row r="38">
      <c r="A38" t="inlineStr">
        <is>
          <t>TUMBES</t>
        </is>
      </c>
      <c r="B38" t="inlineStr">
        <is>
          <t>TUMBES</t>
        </is>
      </c>
      <c r="C38" t="inlineStr">
        <is>
          <t>TUMBES</t>
        </is>
      </c>
      <c r="D38" t="inlineStr">
        <is>
          <t>240101</t>
        </is>
      </c>
      <c r="E38" t="inlineStr">
        <is>
          <t>—</t>
        </is>
      </c>
      <c r="F38" s="11" t="n">
        <v>199582.4443</v>
      </c>
      <c r="G38" s="6">
        <f>IF($F$247=0,0,F38/$F$247)</f>
        <v/>
      </c>
      <c r="H38" s="5" t="n">
        <v>2136353.08</v>
      </c>
      <c r="I38" t="n">
        <v>3</v>
      </c>
      <c r="J38" t="n">
        <v>5</v>
      </c>
      <c r="K38" t="n">
        <v>4</v>
      </c>
      <c r="L38" s="5" t="n">
        <v>8545412.310000001</v>
      </c>
    </row>
    <row r="39">
      <c r="A39" t="inlineStr">
        <is>
          <t>AREQUIPA</t>
        </is>
      </c>
      <c r="B39" t="inlineStr">
        <is>
          <t>AREQUIPA</t>
        </is>
      </c>
      <c r="C39" t="inlineStr">
        <is>
          <t>CERRO COLORADO</t>
        </is>
      </c>
      <c r="D39" t="inlineStr">
        <is>
          <t>040104</t>
        </is>
      </c>
      <c r="E39" t="inlineStr">
        <is>
          <t>—</t>
        </is>
      </c>
      <c r="F39" s="11" t="n">
        <v>190802.6703</v>
      </c>
      <c r="G39" s="6">
        <f>IF($F$247=0,0,F39/$F$247)</f>
        <v/>
      </c>
      <c r="H39" s="5" t="n">
        <v>2042373.38</v>
      </c>
      <c r="I39" t="n">
        <v>4</v>
      </c>
      <c r="J39" t="n">
        <v>4</v>
      </c>
      <c r="K39" t="n">
        <v>2</v>
      </c>
      <c r="L39" s="5" t="n">
        <v>6807911.28</v>
      </c>
    </row>
    <row r="40">
      <c r="A40" t="inlineStr">
        <is>
          <t>MOQUEGUA</t>
        </is>
      </c>
      <c r="B40" t="inlineStr">
        <is>
          <t>ILO</t>
        </is>
      </c>
      <c r="C40" t="inlineStr">
        <is>
          <t>ILO</t>
        </is>
      </c>
      <c r="D40" t="inlineStr">
        <is>
          <t>180301</t>
        </is>
      </c>
      <c r="E40" t="inlineStr">
        <is>
          <t>—</t>
        </is>
      </c>
      <c r="F40" s="11" t="n">
        <v>185334.2333</v>
      </c>
      <c r="G40" s="6">
        <f>IF($F$247=0,0,F40/$F$247)</f>
        <v/>
      </c>
      <c r="H40" s="5" t="n">
        <v>1983838.61</v>
      </c>
      <c r="I40" t="n">
        <v>4</v>
      </c>
      <c r="J40" t="n">
        <v>2</v>
      </c>
      <c r="L40" s="5" t="n">
        <v>5951515.84</v>
      </c>
    </row>
    <row r="41">
      <c r="A41" t="inlineStr">
        <is>
          <t>LIMA</t>
        </is>
      </c>
      <c r="B41" t="inlineStr">
        <is>
          <t>CAÑETE</t>
        </is>
      </c>
      <c r="C41" t="inlineStr">
        <is>
          <t>SAN VICENTE DE CAÑETE</t>
        </is>
      </c>
      <c r="D41" t="inlineStr">
        <is>
          <t>150501</t>
        </is>
      </c>
      <c r="E41" t="inlineStr">
        <is>
          <t>—</t>
        </is>
      </c>
      <c r="F41" s="11" t="n">
        <v>179867.2814</v>
      </c>
      <c r="G41" s="6">
        <f>IF($F$247=0,0,F41/$F$247)</f>
        <v/>
      </c>
      <c r="H41" s="5" t="n">
        <v>1925319.74</v>
      </c>
      <c r="I41" t="n">
        <v>3</v>
      </c>
      <c r="J41" t="n">
        <v>5</v>
      </c>
      <c r="L41" s="5" t="n">
        <v>7701278.97</v>
      </c>
    </row>
    <row r="42">
      <c r="A42" t="inlineStr">
        <is>
          <t>LIMA</t>
        </is>
      </c>
      <c r="B42" t="inlineStr">
        <is>
          <t>LIMA</t>
        </is>
      </c>
      <c r="C42" t="inlineStr">
        <is>
          <t>SAN JUAN DE MIRAFLORES</t>
        </is>
      </c>
      <c r="D42" t="inlineStr">
        <is>
          <t>150133</t>
        </is>
      </c>
      <c r="E42" t="inlineStr">
        <is>
          <t>—</t>
        </is>
      </c>
      <c r="F42" s="11" t="n">
        <v>178426.1151</v>
      </c>
      <c r="G42" s="6">
        <f>IF($F$247=0,0,F42/$F$247)</f>
        <v/>
      </c>
      <c r="H42" s="5" t="n">
        <v>1909893.33</v>
      </c>
      <c r="I42" t="n">
        <v>2</v>
      </c>
      <c r="J42" t="n">
        <v>3</v>
      </c>
      <c r="L42" s="5" t="n">
        <v>4774733.34</v>
      </c>
    </row>
    <row r="43">
      <c r="A43" t="inlineStr">
        <is>
          <t>ICA</t>
        </is>
      </c>
      <c r="B43" t="inlineStr">
        <is>
          <t>PISCO</t>
        </is>
      </c>
      <c r="C43" t="inlineStr">
        <is>
          <t>PISCO</t>
        </is>
      </c>
      <c r="D43" t="inlineStr">
        <is>
          <t>110501</t>
        </is>
      </c>
      <c r="E43" t="inlineStr">
        <is>
          <t>—</t>
        </is>
      </c>
      <c r="F43" s="11" t="n">
        <v>173484.9538</v>
      </c>
      <c r="G43" s="6">
        <f>IF($F$247=0,0,F43/$F$247)</f>
        <v/>
      </c>
      <c r="H43" s="5" t="n">
        <v>1857002.58</v>
      </c>
      <c r="I43" t="n">
        <v>3</v>
      </c>
      <c r="J43" t="n">
        <v>5</v>
      </c>
      <c r="L43" s="5" t="n">
        <v>7428010.34</v>
      </c>
    </row>
    <row r="44">
      <c r="A44" t="inlineStr">
        <is>
          <t>LA LIBERTAD</t>
        </is>
      </c>
      <c r="B44" t="inlineStr">
        <is>
          <t>CHEPEN</t>
        </is>
      </c>
      <c r="C44" t="inlineStr">
        <is>
          <t>CHEPEN</t>
        </is>
      </c>
      <c r="D44" t="inlineStr">
        <is>
          <t>130401</t>
        </is>
      </c>
      <c r="E44" t="inlineStr">
        <is>
          <t>—</t>
        </is>
      </c>
      <c r="F44" s="11" t="n">
        <v>170894.4588</v>
      </c>
      <c r="G44" s="6">
        <f>IF($F$247=0,0,F44/$F$247)</f>
        <v/>
      </c>
      <c r="H44" s="5" t="n">
        <v>1829273.63</v>
      </c>
      <c r="I44" t="n">
        <v>5</v>
      </c>
      <c r="J44" t="n">
        <v>4</v>
      </c>
      <c r="L44" s="5" t="n">
        <v>8231731.35</v>
      </c>
    </row>
    <row r="45">
      <c r="A45" t="inlineStr">
        <is>
          <t>APURIMAC</t>
        </is>
      </c>
      <c r="B45" t="inlineStr">
        <is>
          <t>ANDAHUAYLAS</t>
        </is>
      </c>
      <c r="C45" t="inlineStr">
        <is>
          <t>ANDAHUAYLAS</t>
        </is>
      </c>
      <c r="D45" t="inlineStr">
        <is>
          <t>030201</t>
        </is>
      </c>
      <c r="E45" t="inlineStr">
        <is>
          <t>—</t>
        </is>
      </c>
      <c r="F45" s="11" t="n">
        <v>166466.8291</v>
      </c>
      <c r="G45" s="6">
        <f>IF($F$247=0,0,F45/$F$247)</f>
        <v/>
      </c>
      <c r="H45" s="5" t="n">
        <v>1781879.78</v>
      </c>
      <c r="I45" t="n">
        <v>3</v>
      </c>
      <c r="J45" t="n">
        <v>3</v>
      </c>
      <c r="K45" t="n">
        <v>3</v>
      </c>
      <c r="L45" s="5" t="n">
        <v>5345639.35</v>
      </c>
    </row>
    <row r="46">
      <c r="A46" t="inlineStr">
        <is>
          <t>CALLAO</t>
        </is>
      </c>
      <c r="B46" t="inlineStr">
        <is>
          <t>CALLAO</t>
        </is>
      </c>
      <c r="C46" t="inlineStr">
        <is>
          <t>VENTANILLA</t>
        </is>
      </c>
      <c r="D46" t="inlineStr">
        <is>
          <t>070106</t>
        </is>
      </c>
      <c r="E46" t="inlineStr">
        <is>
          <t>—</t>
        </is>
      </c>
      <c r="F46" s="11" t="n">
        <v>165884.3735</v>
      </c>
      <c r="G46" s="6">
        <f>IF($F$247=0,0,F46/$F$247)</f>
        <v/>
      </c>
      <c r="H46" s="5" t="n">
        <v>1775645.11</v>
      </c>
      <c r="I46" t="n">
        <v>3</v>
      </c>
      <c r="J46" t="n">
        <v>3</v>
      </c>
      <c r="L46" s="5" t="n">
        <v>5326935.34</v>
      </c>
    </row>
    <row r="47">
      <c r="A47" t="inlineStr">
        <is>
          <t>LIMA</t>
        </is>
      </c>
      <c r="B47" t="inlineStr">
        <is>
          <t>LIMA</t>
        </is>
      </c>
      <c r="C47" t="inlineStr">
        <is>
          <t>PUENTE PIEDRA</t>
        </is>
      </c>
      <c r="D47" t="inlineStr">
        <is>
          <t>150125</t>
        </is>
      </c>
      <c r="E47" t="inlineStr">
        <is>
          <t>—</t>
        </is>
      </c>
      <c r="F47" s="11" t="n">
        <v>165688.8934</v>
      </c>
      <c r="G47" s="6">
        <f>IF($F$247=0,0,F47/$F$247)</f>
        <v/>
      </c>
      <c r="H47" s="5" t="n">
        <v>1773552.67</v>
      </c>
      <c r="I47" t="n">
        <v>2</v>
      </c>
      <c r="J47" t="n">
        <v>3</v>
      </c>
      <c r="L47" s="5" t="n">
        <v>4433881.68</v>
      </c>
    </row>
    <row r="48">
      <c r="A48" t="inlineStr">
        <is>
          <t>LIMA</t>
        </is>
      </c>
      <c r="B48" t="inlineStr">
        <is>
          <t>LIMA</t>
        </is>
      </c>
      <c r="C48" t="inlineStr">
        <is>
          <t>CHORRILLOS</t>
        </is>
      </c>
      <c r="D48" t="inlineStr">
        <is>
          <t>150108</t>
        </is>
      </c>
      <c r="E48" t="inlineStr">
        <is>
          <t>—</t>
        </is>
      </c>
      <c r="F48" s="11" t="n">
        <v>163518.8996</v>
      </c>
      <c r="G48" s="6">
        <f>IF($F$247=0,0,F48/$F$247)</f>
        <v/>
      </c>
      <c r="H48" s="5" t="n">
        <v>1750324.81</v>
      </c>
      <c r="I48" t="n">
        <v>2</v>
      </c>
      <c r="J48" t="n">
        <v>4</v>
      </c>
      <c r="L48" s="5" t="n">
        <v>5250974.44</v>
      </c>
    </row>
    <row r="49">
      <c r="A49" t="inlineStr">
        <is>
          <t>MOQUEGUA</t>
        </is>
      </c>
      <c r="B49" t="inlineStr">
        <is>
          <t>MARISCAL NIETO</t>
        </is>
      </c>
      <c r="C49" t="inlineStr">
        <is>
          <t>MOQUEGUA</t>
        </is>
      </c>
      <c r="D49" t="inlineStr">
        <is>
          <t>180101</t>
        </is>
      </c>
      <c r="E49" t="inlineStr">
        <is>
          <t>—</t>
        </is>
      </c>
      <c r="F49" s="11" t="n">
        <v>161446.148</v>
      </c>
      <c r="G49" s="6">
        <f>IF($F$247=0,0,F49/$F$247)</f>
        <v/>
      </c>
      <c r="H49" s="5" t="n">
        <v>1728137.84</v>
      </c>
      <c r="I49" t="n">
        <v>4</v>
      </c>
      <c r="J49" t="n">
        <v>4</v>
      </c>
      <c r="L49" s="5" t="n">
        <v>6912551.38</v>
      </c>
    </row>
    <row r="50">
      <c r="A50" t="inlineStr">
        <is>
          <t>LIMA</t>
        </is>
      </c>
      <c r="B50" t="inlineStr">
        <is>
          <t>HUARAL</t>
        </is>
      </c>
      <c r="C50" t="inlineStr">
        <is>
          <t>HUARAL</t>
        </is>
      </c>
      <c r="D50" t="inlineStr">
        <is>
          <t>150601</t>
        </is>
      </c>
      <c r="E50" t="inlineStr">
        <is>
          <t>—</t>
        </is>
      </c>
      <c r="F50" s="11" t="n">
        <v>161029.0179</v>
      </c>
      <c r="G50" s="6">
        <f>IF($F$247=0,0,F50/$F$247)</f>
        <v/>
      </c>
      <c r="H50" s="5" t="n">
        <v>1723672.84</v>
      </c>
      <c r="I50" t="n">
        <v>4</v>
      </c>
      <c r="J50" t="n">
        <v>4</v>
      </c>
      <c r="L50" s="5" t="n">
        <v>6894691.35</v>
      </c>
    </row>
    <row r="51">
      <c r="A51" t="inlineStr">
        <is>
          <t>LA LIBERTAD</t>
        </is>
      </c>
      <c r="B51" t="inlineStr">
        <is>
          <t>SANCHEZ CARRION</t>
        </is>
      </c>
      <c r="C51" t="inlineStr">
        <is>
          <t>HUAMACHUCO</t>
        </is>
      </c>
      <c r="D51" t="inlineStr">
        <is>
          <t>130901</t>
        </is>
      </c>
      <c r="E51" t="inlineStr">
        <is>
          <t>—</t>
        </is>
      </c>
      <c r="F51" s="11" t="n">
        <v>158270.4387</v>
      </c>
      <c r="G51" s="6">
        <f>IF($F$247=0,0,F51/$F$247)</f>
        <v/>
      </c>
      <c r="H51" s="5" t="n">
        <v>1694144.69</v>
      </c>
      <c r="I51" t="n">
        <v>4</v>
      </c>
      <c r="J51" t="n">
        <v>4</v>
      </c>
      <c r="K51" t="n">
        <v>3</v>
      </c>
      <c r="L51" s="5" t="n">
        <v>6211863.87</v>
      </c>
    </row>
    <row r="52">
      <c r="A52" t="inlineStr">
        <is>
          <t>MADRE DE DIOS</t>
        </is>
      </c>
      <c r="B52" t="inlineStr">
        <is>
          <t>TAMBOPATA</t>
        </is>
      </c>
      <c r="C52" t="inlineStr">
        <is>
          <t>TAMBOPATA</t>
        </is>
      </c>
      <c r="D52" t="inlineStr">
        <is>
          <t>170101</t>
        </is>
      </c>
      <c r="E52" t="inlineStr">
        <is>
          <t>—</t>
        </is>
      </c>
      <c r="F52" s="11" t="n">
        <v>157644.7499</v>
      </c>
      <c r="G52" s="6">
        <f>IF($F$247=0,0,F52/$F$247)</f>
        <v/>
      </c>
      <c r="H52" s="5" t="n">
        <v>1687447.25</v>
      </c>
      <c r="I52" t="n">
        <v>3</v>
      </c>
      <c r="J52" t="n">
        <v>2</v>
      </c>
      <c r="K52" t="n">
        <v>2</v>
      </c>
      <c r="L52" s="5" t="n">
        <v>3937376.91</v>
      </c>
    </row>
    <row r="53">
      <c r="A53" t="inlineStr">
        <is>
          <t>APURIMAC</t>
        </is>
      </c>
      <c r="B53" t="inlineStr">
        <is>
          <t>ABANCAY</t>
        </is>
      </c>
      <c r="C53" t="inlineStr">
        <is>
          <t>ABANCAY</t>
        </is>
      </c>
      <c r="D53" t="inlineStr">
        <is>
          <t>030101</t>
        </is>
      </c>
      <c r="E53" t="inlineStr">
        <is>
          <t>—</t>
        </is>
      </c>
      <c r="F53" s="11" t="n">
        <v>154332.9764</v>
      </c>
      <c r="G53" s="6">
        <f>IF($F$247=0,0,F53/$F$247)</f>
        <v/>
      </c>
      <c r="H53" s="5" t="n">
        <v>1651997.65</v>
      </c>
      <c r="I53" t="n">
        <v>4</v>
      </c>
      <c r="J53" t="n">
        <v>2</v>
      </c>
      <c r="K53" t="n">
        <v>3</v>
      </c>
      <c r="L53" s="5" t="n">
        <v>4955992.95</v>
      </c>
    </row>
    <row r="54">
      <c r="A54" t="inlineStr">
        <is>
          <t>JUNIN</t>
        </is>
      </c>
      <c r="B54" t="inlineStr">
        <is>
          <t>CHANCHAMAYO</t>
        </is>
      </c>
      <c r="C54" t="inlineStr">
        <is>
          <t>CHANCHAMAYO</t>
        </is>
      </c>
      <c r="D54" t="inlineStr">
        <is>
          <t>120301</t>
        </is>
      </c>
      <c r="E54" t="inlineStr">
        <is>
          <t>—</t>
        </is>
      </c>
      <c r="F54" s="11" t="n">
        <v>152526.3423</v>
      </c>
      <c r="G54" s="6">
        <f>IF($F$247=0,0,F54/$F$247)</f>
        <v/>
      </c>
      <c r="H54" s="5" t="n">
        <v>1632659.24</v>
      </c>
      <c r="I54" t="n">
        <v>5</v>
      </c>
      <c r="J54" t="n">
        <v>2</v>
      </c>
      <c r="K54" t="n">
        <v>3</v>
      </c>
      <c r="L54" s="5" t="n">
        <v>5442197.45</v>
      </c>
    </row>
    <row r="55">
      <c r="A55" t="inlineStr">
        <is>
          <t>LIMA</t>
        </is>
      </c>
      <c r="B55" t="inlineStr">
        <is>
          <t>BARRANCA</t>
        </is>
      </c>
      <c r="C55" t="inlineStr">
        <is>
          <t>BARRANCA</t>
        </is>
      </c>
      <c r="D55" t="inlineStr">
        <is>
          <t>150201</t>
        </is>
      </c>
      <c r="E55" t="inlineStr">
        <is>
          <t>—</t>
        </is>
      </c>
      <c r="F55" s="11" t="n">
        <v>150872.9602</v>
      </c>
      <c r="G55" s="6">
        <f>IF($F$247=0,0,F55/$F$247)</f>
        <v/>
      </c>
      <c r="H55" s="5" t="n">
        <v>1614961.25</v>
      </c>
      <c r="I55" t="n">
        <v>3</v>
      </c>
      <c r="J55" t="n">
        <v>4</v>
      </c>
      <c r="L55" s="5" t="n">
        <v>5652364.36</v>
      </c>
    </row>
    <row r="56">
      <c r="A56" t="inlineStr">
        <is>
          <t>CAJAMARCA</t>
        </is>
      </c>
      <c r="B56" t="inlineStr">
        <is>
          <t>CHOTA</t>
        </is>
      </c>
      <c r="C56" t="inlineStr">
        <is>
          <t>CHOTA</t>
        </is>
      </c>
      <c r="D56" t="inlineStr">
        <is>
          <t>060401</t>
        </is>
      </c>
      <c r="E56" t="inlineStr">
        <is>
          <t>—</t>
        </is>
      </c>
      <c r="F56" s="11" t="n">
        <v>150869.0104</v>
      </c>
      <c r="G56" s="6">
        <f>IF($F$247=0,0,F56/$F$247)</f>
        <v/>
      </c>
      <c r="H56" s="5" t="n">
        <v>1614918.97</v>
      </c>
      <c r="I56" t="n">
        <v>4</v>
      </c>
      <c r="J56" t="n">
        <v>3</v>
      </c>
      <c r="K56" t="n">
        <v>3</v>
      </c>
      <c r="L56" s="5" t="n">
        <v>5383063.22</v>
      </c>
    </row>
    <row r="57">
      <c r="A57" t="inlineStr">
        <is>
          <t>LA LIBERTAD</t>
        </is>
      </c>
      <c r="B57" t="inlineStr">
        <is>
          <t>TRUJILLO</t>
        </is>
      </c>
      <c r="C57" t="inlineStr">
        <is>
          <t>EL PORVENIR</t>
        </is>
      </c>
      <c r="D57" t="inlineStr">
        <is>
          <t>130102</t>
        </is>
      </c>
      <c r="E57" t="inlineStr">
        <is>
          <t>—</t>
        </is>
      </c>
      <c r="F57" s="11" t="n">
        <v>143679.443</v>
      </c>
      <c r="G57" s="6">
        <f>IF($F$247=0,0,F57/$F$247)</f>
        <v/>
      </c>
      <c r="H57" s="5" t="n">
        <v>1537961.02</v>
      </c>
      <c r="I57" t="n">
        <v>5</v>
      </c>
      <c r="J57" t="n">
        <v>4</v>
      </c>
      <c r="L57" s="5" t="n">
        <v>6920824.6</v>
      </c>
    </row>
    <row r="58">
      <c r="A58" t="inlineStr">
        <is>
          <t>LAMBAYEQUE</t>
        </is>
      </c>
      <c r="B58" t="inlineStr">
        <is>
          <t>LAMBAYEQUE</t>
        </is>
      </c>
      <c r="C58" t="inlineStr">
        <is>
          <t>LAMBAYEQUE</t>
        </is>
      </c>
      <c r="D58" t="inlineStr">
        <is>
          <t>140301</t>
        </is>
      </c>
      <c r="E58" t="inlineStr">
        <is>
          <t>—</t>
        </is>
      </c>
      <c r="F58" s="11" t="n">
        <v>142786.0298</v>
      </c>
      <c r="G58" s="6">
        <f>IF($F$247=0,0,F58/$F$247)</f>
        <v/>
      </c>
      <c r="H58" s="5" t="n">
        <v>1528397.83</v>
      </c>
      <c r="I58" t="n">
        <v>1</v>
      </c>
      <c r="J58" t="n">
        <v>4</v>
      </c>
      <c r="L58" s="5" t="n">
        <v>3820994.57</v>
      </c>
    </row>
    <row r="59">
      <c r="A59" t="inlineStr">
        <is>
          <t>JUNIN</t>
        </is>
      </c>
      <c r="B59" t="inlineStr">
        <is>
          <t>TARMA</t>
        </is>
      </c>
      <c r="C59" t="inlineStr">
        <is>
          <t>TARMA</t>
        </is>
      </c>
      <c r="D59" t="inlineStr">
        <is>
          <t>120701</t>
        </is>
      </c>
      <c r="E59" t="inlineStr">
        <is>
          <t>—</t>
        </is>
      </c>
      <c r="F59" s="11" t="n">
        <v>139974.3313</v>
      </c>
      <c r="G59" s="6">
        <f>IF($F$247=0,0,F59/$F$247)</f>
        <v/>
      </c>
      <c r="H59" s="5" t="n">
        <v>1498301.09</v>
      </c>
      <c r="I59" t="n">
        <v>5</v>
      </c>
      <c r="J59" t="n">
        <v>2</v>
      </c>
      <c r="K59" t="n">
        <v>5</v>
      </c>
      <c r="L59" s="5" t="n">
        <v>5993204.35</v>
      </c>
    </row>
    <row r="60">
      <c r="A60" t="inlineStr">
        <is>
          <t>ICA</t>
        </is>
      </c>
      <c r="B60" t="inlineStr">
        <is>
          <t>NAZCA</t>
        </is>
      </c>
      <c r="C60" t="inlineStr">
        <is>
          <t>NAZCA</t>
        </is>
      </c>
      <c r="D60" t="inlineStr">
        <is>
          <t>110301</t>
        </is>
      </c>
      <c r="E60" t="inlineStr">
        <is>
          <t>—</t>
        </is>
      </c>
      <c r="F60" s="11" t="n">
        <v>136763.6149</v>
      </c>
      <c r="G60" s="6">
        <f>IF($F$247=0,0,F60/$F$247)</f>
        <v/>
      </c>
      <c r="H60" s="5" t="n">
        <v>1463933.22</v>
      </c>
      <c r="I60" t="n">
        <v>3</v>
      </c>
      <c r="J60" t="n">
        <v>5</v>
      </c>
      <c r="L60" s="5" t="n">
        <v>5855732.87</v>
      </c>
    </row>
    <row r="61">
      <c r="A61" t="inlineStr">
        <is>
          <t>AMAZONAS</t>
        </is>
      </c>
      <c r="B61" t="inlineStr">
        <is>
          <t>CHACHAPOYAS</t>
        </is>
      </c>
      <c r="C61" t="inlineStr">
        <is>
          <t>CHACHAPOYAS</t>
        </is>
      </c>
      <c r="D61" t="inlineStr">
        <is>
          <t>010101</t>
        </is>
      </c>
      <c r="E61" t="inlineStr">
        <is>
          <t>—</t>
        </is>
      </c>
      <c r="F61" s="11" t="n">
        <v>132420.4175</v>
      </c>
      <c r="G61" s="6">
        <f>IF($F$247=0,0,F61/$F$247)</f>
        <v/>
      </c>
      <c r="H61" s="5" t="n">
        <v>1417443.14</v>
      </c>
      <c r="I61" t="n">
        <v>4</v>
      </c>
      <c r="J61" t="n">
        <v>1</v>
      </c>
      <c r="K61" t="n">
        <v>2</v>
      </c>
      <c r="L61" s="5" t="n">
        <v>3307367.33</v>
      </c>
    </row>
    <row r="62">
      <c r="A62" t="inlineStr">
        <is>
          <t>HUANUCO</t>
        </is>
      </c>
      <c r="B62" t="inlineStr">
        <is>
          <t>LEONCIO PRADO</t>
        </is>
      </c>
      <c r="C62" t="inlineStr">
        <is>
          <t>RUPA-RUPA</t>
        </is>
      </c>
      <c r="D62" t="inlineStr">
        <is>
          <t>100601</t>
        </is>
      </c>
      <c r="E62" t="inlineStr">
        <is>
          <t>—</t>
        </is>
      </c>
      <c r="F62" s="11" t="n">
        <v>123853.272</v>
      </c>
      <c r="G62" s="6">
        <f>IF($F$247=0,0,F62/$F$247)</f>
        <v/>
      </c>
      <c r="H62" s="5" t="n">
        <v>1325739.44</v>
      </c>
      <c r="I62" t="n">
        <v>4</v>
      </c>
      <c r="J62" t="n">
        <v>3</v>
      </c>
      <c r="K62" t="n">
        <v>2</v>
      </c>
      <c r="L62" s="5" t="n">
        <v>3977218.33</v>
      </c>
    </row>
    <row r="63">
      <c r="A63" t="inlineStr">
        <is>
          <t>AMAZONAS</t>
        </is>
      </c>
      <c r="B63" t="inlineStr">
        <is>
          <t>UTCUBAMBA</t>
        </is>
      </c>
      <c r="C63" t="inlineStr">
        <is>
          <t>BAGUA GRANDE</t>
        </is>
      </c>
      <c r="D63" t="inlineStr">
        <is>
          <t>010701</t>
        </is>
      </c>
      <c r="E63" t="inlineStr">
        <is>
          <t>—</t>
        </is>
      </c>
      <c r="F63" s="11" t="n">
        <v>122606.7497</v>
      </c>
      <c r="G63" s="6">
        <f>IF($F$247=0,0,F63/$F$247)</f>
        <v/>
      </c>
      <c r="H63" s="5" t="n">
        <v>1312396.53</v>
      </c>
      <c r="I63" t="n">
        <v>5</v>
      </c>
      <c r="J63" t="n">
        <v>3</v>
      </c>
      <c r="K63" t="n">
        <v>3</v>
      </c>
      <c r="L63" s="5" t="n">
        <v>4812120.6</v>
      </c>
    </row>
    <row r="64">
      <c r="A64" t="inlineStr">
        <is>
          <t>CUSCO</t>
        </is>
      </c>
      <c r="B64" t="inlineStr">
        <is>
          <t>LA CONVENCION</t>
        </is>
      </c>
      <c r="C64" t="inlineStr">
        <is>
          <t>SANTA ANA</t>
        </is>
      </c>
      <c r="D64" t="inlineStr">
        <is>
          <t>080901</t>
        </is>
      </c>
      <c r="E64" t="inlineStr">
        <is>
          <t>—</t>
        </is>
      </c>
      <c r="F64" s="11" t="n">
        <v>121526.6198</v>
      </c>
      <c r="G64" s="6">
        <f>IF($F$247=0,0,F64/$F$247)</f>
        <v/>
      </c>
      <c r="H64" s="5" t="n">
        <v>1300834.7</v>
      </c>
      <c r="I64" t="n">
        <v>4</v>
      </c>
      <c r="J64" t="n">
        <v>2</v>
      </c>
      <c r="K64" t="n">
        <v>2</v>
      </c>
      <c r="L64" s="5" t="n">
        <v>3468892.52</v>
      </c>
    </row>
    <row r="65">
      <c r="A65" t="inlineStr">
        <is>
          <t>LAMBAYEQUE</t>
        </is>
      </c>
      <c r="B65" t="inlineStr">
        <is>
          <t>CHICLAYO</t>
        </is>
      </c>
      <c r="C65" t="inlineStr">
        <is>
          <t>JOSE LEONARDO ORTIZ</t>
        </is>
      </c>
      <c r="D65" t="inlineStr">
        <is>
          <t>140105</t>
        </is>
      </c>
      <c r="E65" t="inlineStr">
        <is>
          <t>—</t>
        </is>
      </c>
      <c r="F65" s="11" t="n">
        <v>119103.5795</v>
      </c>
      <c r="G65" s="6">
        <f>IF($F$247=0,0,F65/$F$247)</f>
        <v/>
      </c>
      <c r="H65" s="5" t="n">
        <v>1274898.2</v>
      </c>
      <c r="I65" t="n">
        <v>1</v>
      </c>
      <c r="J65" t="n">
        <v>4</v>
      </c>
      <c r="L65" s="5" t="n">
        <v>3187245.5</v>
      </c>
    </row>
    <row r="66">
      <c r="A66" t="inlineStr">
        <is>
          <t>LIMA</t>
        </is>
      </c>
      <c r="B66" t="inlineStr">
        <is>
          <t>LIMA</t>
        </is>
      </c>
      <c r="C66" t="inlineStr">
        <is>
          <t>PACHACAMAC</t>
        </is>
      </c>
      <c r="D66" t="inlineStr">
        <is>
          <t>150123</t>
        </is>
      </c>
      <c r="E66" t="inlineStr">
        <is>
          <t>—</t>
        </is>
      </c>
      <c r="F66" s="11" t="n">
        <v>119096.4954</v>
      </c>
      <c r="G66" s="6">
        <f>IF($F$247=0,0,F66/$F$247)</f>
        <v/>
      </c>
      <c r="H66" s="5" t="n">
        <v>1274822.37</v>
      </c>
      <c r="I66" t="n">
        <v>4</v>
      </c>
      <c r="J66" t="n">
        <v>2</v>
      </c>
      <c r="L66" s="5" t="n">
        <v>3824467.11</v>
      </c>
    </row>
    <row r="67">
      <c r="A67" t="inlineStr">
        <is>
          <t>LIMA</t>
        </is>
      </c>
      <c r="B67" t="inlineStr">
        <is>
          <t>LIMA</t>
        </is>
      </c>
      <c r="C67" t="inlineStr">
        <is>
          <t>SAN MARTIN DE PORRES</t>
        </is>
      </c>
      <c r="D67" t="inlineStr">
        <is>
          <t>150135</t>
        </is>
      </c>
      <c r="E67" t="inlineStr">
        <is>
          <t>—</t>
        </is>
      </c>
      <c r="F67" s="11" t="n">
        <v>116577.7375</v>
      </c>
      <c r="G67" s="6">
        <f>IF($F$247=0,0,F67/$F$247)</f>
        <v/>
      </c>
      <c r="H67" s="5" t="n">
        <v>1247861.3</v>
      </c>
      <c r="I67" t="n">
        <v>2</v>
      </c>
      <c r="J67" t="n">
        <v>5</v>
      </c>
      <c r="L67" s="5" t="n">
        <v>4367514.55</v>
      </c>
    </row>
    <row r="68">
      <c r="A68" t="inlineStr">
        <is>
          <t>CALLAO</t>
        </is>
      </c>
      <c r="B68" t="inlineStr">
        <is>
          <t>CALLAO</t>
        </is>
      </c>
      <c r="C68" t="inlineStr">
        <is>
          <t>CALLAO</t>
        </is>
      </c>
      <c r="D68" t="inlineStr">
        <is>
          <t>070101</t>
        </is>
      </c>
      <c r="E68" t="inlineStr">
        <is>
          <t>—</t>
        </is>
      </c>
      <c r="F68" s="11" t="n">
        <v>116133.3221</v>
      </c>
      <c r="G68" s="6">
        <f>IF($F$247=0,0,F68/$F$247)</f>
        <v/>
      </c>
      <c r="H68" s="5" t="n">
        <v>1243104.23</v>
      </c>
      <c r="I68" t="n">
        <v>1</v>
      </c>
      <c r="J68" t="n">
        <v>5</v>
      </c>
      <c r="L68" s="5" t="n">
        <v>3729312.68</v>
      </c>
    </row>
    <row r="69">
      <c r="A69" t="inlineStr">
        <is>
          <t>LIMA</t>
        </is>
      </c>
      <c r="B69" t="inlineStr">
        <is>
          <t>LIMA</t>
        </is>
      </c>
      <c r="C69" t="inlineStr">
        <is>
          <t>COMAS</t>
        </is>
      </c>
      <c r="D69" t="inlineStr">
        <is>
          <t>150110</t>
        </is>
      </c>
      <c r="E69" t="inlineStr">
        <is>
          <t>—</t>
        </is>
      </c>
      <c r="F69" s="11" t="n">
        <v>115542.4746</v>
      </c>
      <c r="G69" s="6">
        <f>IF($F$247=0,0,F69/$F$247)</f>
        <v/>
      </c>
      <c r="H69" s="5" t="n">
        <v>1236779.73</v>
      </c>
      <c r="I69" t="n">
        <v>3</v>
      </c>
      <c r="J69" t="n">
        <v>3</v>
      </c>
      <c r="L69" s="5" t="n">
        <v>3710339.18</v>
      </c>
    </row>
    <row r="70">
      <c r="A70" t="inlineStr">
        <is>
          <t>AREQUIPA</t>
        </is>
      </c>
      <c r="B70" t="inlineStr">
        <is>
          <t>CAYLLOMA</t>
        </is>
      </c>
      <c r="C70" t="inlineStr">
        <is>
          <t>MAJES</t>
        </is>
      </c>
      <c r="D70" t="inlineStr">
        <is>
          <t>040520</t>
        </is>
      </c>
      <c r="E70" t="inlineStr">
        <is>
          <t>—</t>
        </is>
      </c>
      <c r="F70" s="11" t="n">
        <v>114575.9824</v>
      </c>
      <c r="G70" s="6">
        <f>IF($F$247=0,0,F70/$F$247)</f>
        <v/>
      </c>
      <c r="H70" s="5" t="n">
        <v>1226434.29</v>
      </c>
      <c r="I70" t="n">
        <v>4</v>
      </c>
      <c r="J70" t="n">
        <v>4</v>
      </c>
      <c r="L70" s="5" t="n">
        <v>4905737.15</v>
      </c>
    </row>
    <row r="71">
      <c r="A71" t="inlineStr">
        <is>
          <t>LAMBAYEQUE</t>
        </is>
      </c>
      <c r="B71" t="inlineStr">
        <is>
          <t>LAMBAYEQUE</t>
        </is>
      </c>
      <c r="C71" t="inlineStr">
        <is>
          <t>OLMOS</t>
        </is>
      </c>
      <c r="D71" t="inlineStr">
        <is>
          <t>140308</t>
        </is>
      </c>
      <c r="E71" t="inlineStr">
        <is>
          <t>—</t>
        </is>
      </c>
      <c r="F71" s="11" t="n">
        <v>101592.3445</v>
      </c>
      <c r="G71" s="6">
        <f>IF($F$247=0,0,F71/$F$247)</f>
        <v/>
      </c>
      <c r="H71" s="5" t="n">
        <v>1087455.96</v>
      </c>
      <c r="I71" t="n">
        <v>3</v>
      </c>
      <c r="J71" t="n">
        <v>5</v>
      </c>
      <c r="K71" t="n">
        <v>3</v>
      </c>
      <c r="L71" s="5" t="n">
        <v>3987338.5</v>
      </c>
    </row>
    <row r="72">
      <c r="A72" t="inlineStr">
        <is>
          <t>LA LIBERTAD</t>
        </is>
      </c>
      <c r="B72" t="inlineStr">
        <is>
          <t>TRUJILLO</t>
        </is>
      </c>
      <c r="C72" t="inlineStr">
        <is>
          <t>LA ESPERANZA</t>
        </is>
      </c>
      <c r="D72" t="inlineStr">
        <is>
          <t>130105</t>
        </is>
      </c>
      <c r="E72" t="inlineStr">
        <is>
          <t>—</t>
        </is>
      </c>
      <c r="F72" s="11" t="n">
        <v>98164.77069999999</v>
      </c>
      <c r="G72" s="6">
        <f>IF($F$247=0,0,F72/$F$247)</f>
        <v/>
      </c>
      <c r="H72" s="5" t="n">
        <v>1050766.82</v>
      </c>
      <c r="I72" t="n">
        <v>1</v>
      </c>
      <c r="J72" t="n">
        <v>4</v>
      </c>
      <c r="L72" s="5" t="n">
        <v>2626917.04</v>
      </c>
    </row>
    <row r="73">
      <c r="A73" t="inlineStr">
        <is>
          <t>JUNIN</t>
        </is>
      </c>
      <c r="B73" t="inlineStr">
        <is>
          <t>SATIPO</t>
        </is>
      </c>
      <c r="C73" t="inlineStr">
        <is>
          <t>SATIPO</t>
        </is>
      </c>
      <c r="D73" t="inlineStr">
        <is>
          <t>120601</t>
        </is>
      </c>
      <c r="E73" t="inlineStr">
        <is>
          <t>—</t>
        </is>
      </c>
      <c r="F73" s="11" t="n">
        <v>97895.1344</v>
      </c>
      <c r="G73" s="6">
        <f>IF($F$247=0,0,F73/$F$247)</f>
        <v/>
      </c>
      <c r="H73" s="5" t="n">
        <v>1047880.6</v>
      </c>
      <c r="I73" t="n">
        <v>4</v>
      </c>
      <c r="J73" t="n">
        <v>3</v>
      </c>
      <c r="K73" t="n">
        <v>2</v>
      </c>
      <c r="L73" s="5" t="n">
        <v>3143641.8</v>
      </c>
    </row>
    <row r="74">
      <c r="A74" t="inlineStr">
        <is>
          <t>AREQUIPA</t>
        </is>
      </c>
      <c r="B74" t="inlineStr">
        <is>
          <t>AREQUIPA</t>
        </is>
      </c>
      <c r="C74" t="inlineStr">
        <is>
          <t>PAUCARPATA</t>
        </is>
      </c>
      <c r="D74" t="inlineStr">
        <is>
          <t>040112</t>
        </is>
      </c>
      <c r="E74" t="inlineStr">
        <is>
          <t>—</t>
        </is>
      </c>
      <c r="F74" s="11" t="n">
        <v>97392.4838</v>
      </c>
      <c r="G74" s="6">
        <f>IF($F$247=0,0,F74/$F$247)</f>
        <v/>
      </c>
      <c r="H74" s="5" t="n">
        <v>1042500.17</v>
      </c>
      <c r="I74" t="n">
        <v>5</v>
      </c>
      <c r="J74" t="n">
        <v>4</v>
      </c>
      <c r="K74" t="n">
        <v>2</v>
      </c>
      <c r="L74" s="5" t="n">
        <v>3822500.63</v>
      </c>
    </row>
    <row r="75">
      <c r="A75" t="inlineStr">
        <is>
          <t>LIMA</t>
        </is>
      </c>
      <c r="B75" t="inlineStr">
        <is>
          <t>LIMA</t>
        </is>
      </c>
      <c r="C75" t="inlineStr">
        <is>
          <t>RIMAC</t>
        </is>
      </c>
      <c r="D75" t="inlineStr">
        <is>
          <t>150128</t>
        </is>
      </c>
      <c r="E75" t="inlineStr">
        <is>
          <t>—</t>
        </is>
      </c>
      <c r="F75" s="11" t="n">
        <v>94710.7089</v>
      </c>
      <c r="G75" s="6">
        <f>IF($F$247=0,0,F75/$F$247)</f>
        <v/>
      </c>
      <c r="H75" s="5" t="n">
        <v>1013794.15</v>
      </c>
      <c r="I75" t="n">
        <v>3</v>
      </c>
      <c r="J75" t="n">
        <v>3</v>
      </c>
      <c r="L75" s="5" t="n">
        <v>3041382.45</v>
      </c>
    </row>
    <row r="76">
      <c r="A76" t="inlineStr">
        <is>
          <t>JUNIN</t>
        </is>
      </c>
      <c r="B76" t="inlineStr">
        <is>
          <t>HUANCAYO</t>
        </is>
      </c>
      <c r="C76" t="inlineStr">
        <is>
          <t>EL TAMBO</t>
        </is>
      </c>
      <c r="D76" t="inlineStr">
        <is>
          <t>120114</t>
        </is>
      </c>
      <c r="E76" t="inlineStr">
        <is>
          <t>—</t>
        </is>
      </c>
      <c r="F76" s="11" t="n">
        <v>94708.5949</v>
      </c>
      <c r="G76" s="6">
        <f>IF($F$247=0,0,F76/$F$247)</f>
        <v/>
      </c>
      <c r="H76" s="5" t="n">
        <v>1013771.52</v>
      </c>
      <c r="I76" t="n">
        <v>4</v>
      </c>
      <c r="J76" t="n">
        <v>2</v>
      </c>
      <c r="K76" t="n">
        <v>3</v>
      </c>
      <c r="L76" s="5" t="n">
        <v>3041314.56</v>
      </c>
    </row>
    <row r="77">
      <c r="A77" t="inlineStr">
        <is>
          <t>PIURA</t>
        </is>
      </c>
      <c r="B77" t="inlineStr">
        <is>
          <t>PIURA</t>
        </is>
      </c>
      <c r="C77" t="inlineStr">
        <is>
          <t>CASTILLA</t>
        </is>
      </c>
      <c r="D77" t="inlineStr">
        <is>
          <t>200104</t>
        </is>
      </c>
      <c r="E77" t="inlineStr">
        <is>
          <t>—</t>
        </is>
      </c>
      <c r="F77" s="11" t="n">
        <v>92973.9607</v>
      </c>
      <c r="G77" s="6">
        <f>IF($F$247=0,0,F77/$F$247)</f>
        <v/>
      </c>
      <c r="H77" s="5" t="n">
        <v>995203.8</v>
      </c>
      <c r="I77" t="n">
        <v>2</v>
      </c>
      <c r="J77" t="n">
        <v>5</v>
      </c>
      <c r="L77" s="5" t="n">
        <v>3483213.3</v>
      </c>
    </row>
    <row r="78">
      <c r="A78" t="inlineStr">
        <is>
          <t>JUNIN</t>
        </is>
      </c>
      <c r="B78" t="inlineStr">
        <is>
          <t>CHANCHAMAYO</t>
        </is>
      </c>
      <c r="C78" t="inlineStr">
        <is>
          <t>PICHANAQUI</t>
        </is>
      </c>
      <c r="D78" t="inlineStr">
        <is>
          <t>120303</t>
        </is>
      </c>
      <c r="E78" t="inlineStr">
        <is>
          <t>—</t>
        </is>
      </c>
      <c r="F78" s="11" t="n">
        <v>92695.0508</v>
      </c>
      <c r="G78" s="6">
        <f>IF($F$247=0,0,F78/$F$247)</f>
        <v/>
      </c>
      <c r="H78" s="5" t="n">
        <v>992218.3199999999</v>
      </c>
      <c r="I78" t="n">
        <v>4</v>
      </c>
      <c r="J78" t="n">
        <v>2</v>
      </c>
      <c r="K78" t="n">
        <v>2</v>
      </c>
      <c r="L78" s="5" t="n">
        <v>2645915.51</v>
      </c>
    </row>
    <row r="79">
      <c r="A79" t="inlineStr">
        <is>
          <t>AREQUIPA</t>
        </is>
      </c>
      <c r="B79" t="inlineStr">
        <is>
          <t>AREQUIPA</t>
        </is>
      </c>
      <c r="C79" t="inlineStr">
        <is>
          <t>JOSE LUIS BUSTAMANTE Y RIVERO</t>
        </is>
      </c>
      <c r="D79" t="inlineStr">
        <is>
          <t>040129</t>
        </is>
      </c>
      <c r="E79" t="inlineStr">
        <is>
          <t>—</t>
        </is>
      </c>
      <c r="F79" s="11" t="n">
        <v>91404.1602</v>
      </c>
      <c r="G79" s="6">
        <f>IF($F$247=0,0,F79/$F$247)</f>
        <v/>
      </c>
      <c r="H79" s="5" t="n">
        <v>978400.48</v>
      </c>
      <c r="I79" t="n">
        <v>2</v>
      </c>
      <c r="J79" t="n">
        <v>5</v>
      </c>
      <c r="L79" s="5" t="n">
        <v>3424401.67</v>
      </c>
    </row>
    <row r="80">
      <c r="A80" t="inlineStr">
        <is>
          <t>LA LIBERTAD</t>
        </is>
      </c>
      <c r="B80" t="inlineStr">
        <is>
          <t>PACASMAYO</t>
        </is>
      </c>
      <c r="C80" t="inlineStr">
        <is>
          <t>PACASMAYO</t>
        </is>
      </c>
      <c r="D80" t="inlineStr">
        <is>
          <t>130704</t>
        </is>
      </c>
      <c r="E80" t="inlineStr">
        <is>
          <t>—</t>
        </is>
      </c>
      <c r="F80" s="11" t="n">
        <v>89509.4213</v>
      </c>
      <c r="G80" s="6">
        <f>IF($F$247=0,0,F80/$F$247)</f>
        <v/>
      </c>
      <c r="H80" s="5" t="n">
        <v>958118.98</v>
      </c>
      <c r="I80" t="n">
        <v>2</v>
      </c>
      <c r="J80" t="n">
        <v>4</v>
      </c>
      <c r="L80" s="5" t="n">
        <v>2874356.94</v>
      </c>
    </row>
    <row r="81">
      <c r="A81" t="inlineStr">
        <is>
          <t>AREQUIPA</t>
        </is>
      </c>
      <c r="B81" t="inlineStr">
        <is>
          <t>ISLAY</t>
        </is>
      </c>
      <c r="C81" t="inlineStr">
        <is>
          <t>MOLLENDO</t>
        </is>
      </c>
      <c r="D81" t="inlineStr">
        <is>
          <t>040701</t>
        </is>
      </c>
      <c r="E81" t="inlineStr">
        <is>
          <t>—</t>
        </is>
      </c>
      <c r="F81" s="11" t="n">
        <v>89505.52039999999</v>
      </c>
      <c r="G81" s="6">
        <f>IF($F$247=0,0,F81/$F$247)</f>
        <v/>
      </c>
      <c r="H81" s="5" t="n">
        <v>958077.22</v>
      </c>
      <c r="I81" t="n">
        <v>2</v>
      </c>
      <c r="J81" t="n">
        <v>4</v>
      </c>
      <c r="L81" s="5" t="n">
        <v>2874231.67</v>
      </c>
    </row>
    <row r="82">
      <c r="A82" t="inlineStr">
        <is>
          <t>CUSCO</t>
        </is>
      </c>
      <c r="B82" t="inlineStr">
        <is>
          <t>CANCHIS</t>
        </is>
      </c>
      <c r="C82" t="inlineStr">
        <is>
          <t>SICUANI</t>
        </is>
      </c>
      <c r="D82" t="inlineStr">
        <is>
          <t>080601</t>
        </is>
      </c>
      <c r="E82" t="inlineStr">
        <is>
          <t>—</t>
        </is>
      </c>
      <c r="F82" s="11" t="n">
        <v>88585.1145</v>
      </c>
      <c r="G82" s="6">
        <f>IF($F$247=0,0,F82/$F$247)</f>
        <v/>
      </c>
      <c r="H82" s="5" t="n">
        <v>948225.09</v>
      </c>
      <c r="I82" t="n">
        <v>4</v>
      </c>
      <c r="J82" t="n">
        <v>3</v>
      </c>
      <c r="K82" t="n">
        <v>3</v>
      </c>
      <c r="L82" s="5" t="n">
        <v>3160750.31</v>
      </c>
    </row>
    <row r="83">
      <c r="A83" t="inlineStr">
        <is>
          <t>PASCO</t>
        </is>
      </c>
      <c r="B83" t="inlineStr">
        <is>
          <t>OXAPAMPA</t>
        </is>
      </c>
      <c r="C83" t="inlineStr">
        <is>
          <t>OXAPAMPA</t>
        </is>
      </c>
      <c r="D83" t="inlineStr">
        <is>
          <t>190301</t>
        </is>
      </c>
      <c r="E83" t="inlineStr">
        <is>
          <t>—</t>
        </is>
      </c>
      <c r="F83" s="11" t="n">
        <v>88321.6737</v>
      </c>
      <c r="G83" s="6">
        <f>IF($F$247=0,0,F83/$F$247)</f>
        <v/>
      </c>
      <c r="H83" s="5" t="n">
        <v>945405.1899999999</v>
      </c>
      <c r="I83" t="n">
        <v>4</v>
      </c>
      <c r="J83" t="n">
        <v>3</v>
      </c>
      <c r="K83" t="n">
        <v>2</v>
      </c>
      <c r="L83" s="5" t="n">
        <v>2836215.58</v>
      </c>
    </row>
    <row r="84">
      <c r="A84" t="inlineStr">
        <is>
          <t>AREQUIPA</t>
        </is>
      </c>
      <c r="B84" t="inlineStr">
        <is>
          <t>AREQUIPA</t>
        </is>
      </c>
      <c r="C84" t="inlineStr">
        <is>
          <t>LA JOYA</t>
        </is>
      </c>
      <c r="D84" t="inlineStr">
        <is>
          <t>040108</t>
        </is>
      </c>
      <c r="E84" t="inlineStr">
        <is>
          <t>—</t>
        </is>
      </c>
      <c r="F84" s="11" t="n">
        <v>85244.3904</v>
      </c>
      <c r="G84" s="6">
        <f>IF($F$247=0,0,F84/$F$247)</f>
        <v/>
      </c>
      <c r="H84" s="5" t="n">
        <v>912465.6</v>
      </c>
      <c r="I84" t="n">
        <v>4</v>
      </c>
      <c r="J84" t="n">
        <v>4</v>
      </c>
      <c r="L84" s="5" t="n">
        <v>3649862.42</v>
      </c>
    </row>
    <row r="85">
      <c r="A85" t="inlineStr">
        <is>
          <t>PIURA</t>
        </is>
      </c>
      <c r="B85" t="inlineStr">
        <is>
          <t>TALARA</t>
        </is>
      </c>
      <c r="C85" t="inlineStr">
        <is>
          <t>PARIÑAS</t>
        </is>
      </c>
      <c r="D85" t="inlineStr">
        <is>
          <t>200701</t>
        </is>
      </c>
      <c r="E85" t="inlineStr">
        <is>
          <t>—</t>
        </is>
      </c>
      <c r="F85" s="11" t="n">
        <v>84867.52529999999</v>
      </c>
      <c r="G85" s="6">
        <f>IF($F$247=0,0,F85/$F$247)</f>
        <v/>
      </c>
      <c r="H85" s="5" t="n">
        <v>908431.6</v>
      </c>
      <c r="I85" t="n">
        <v>3</v>
      </c>
      <c r="J85" t="n">
        <v>4</v>
      </c>
      <c r="K85" t="n">
        <v>3</v>
      </c>
      <c r="L85" s="5" t="n">
        <v>3028105.33</v>
      </c>
    </row>
    <row r="86">
      <c r="A86" t="inlineStr">
        <is>
          <t>CUSCO</t>
        </is>
      </c>
      <c r="B86" t="inlineStr">
        <is>
          <t>CUSCO</t>
        </is>
      </c>
      <c r="C86" t="inlineStr">
        <is>
          <t>WANCHAQ</t>
        </is>
      </c>
      <c r="D86" t="inlineStr">
        <is>
          <t>080108</t>
        </is>
      </c>
      <c r="E86" t="inlineStr">
        <is>
          <t>—</t>
        </is>
      </c>
      <c r="F86" s="11" t="n">
        <v>84847.30220000001</v>
      </c>
      <c r="G86" s="6">
        <f>IF($F$247=0,0,F86/$F$247)</f>
        <v/>
      </c>
      <c r="H86" s="5" t="n">
        <v>908215.13</v>
      </c>
      <c r="I86" t="n">
        <v>3</v>
      </c>
      <c r="J86" t="n">
        <v>4</v>
      </c>
      <c r="K86" t="n">
        <v>4</v>
      </c>
      <c r="L86" s="5" t="n">
        <v>3330122.14</v>
      </c>
    </row>
    <row r="87">
      <c r="A87" t="inlineStr">
        <is>
          <t>LAMBAYEQUE</t>
        </is>
      </c>
      <c r="B87" t="inlineStr">
        <is>
          <t>LAMBAYEQUE</t>
        </is>
      </c>
      <c r="C87" t="inlineStr">
        <is>
          <t>MOCHUMI</t>
        </is>
      </c>
      <c r="D87" t="inlineStr">
        <is>
          <t>140305</t>
        </is>
      </c>
      <c r="E87" t="inlineStr">
        <is>
          <t>—</t>
        </is>
      </c>
      <c r="F87" s="11" t="n">
        <v>84782.27340000001</v>
      </c>
      <c r="G87" s="6">
        <f>IF($F$247=0,0,F87/$F$247)</f>
        <v/>
      </c>
      <c r="H87" s="5" t="n">
        <v>907519.05</v>
      </c>
      <c r="I87" t="n">
        <v>1</v>
      </c>
      <c r="J87" t="n">
        <v>4</v>
      </c>
      <c r="L87" s="5" t="n">
        <v>2268797.63</v>
      </c>
    </row>
    <row r="88">
      <c r="A88" t="inlineStr">
        <is>
          <t>AREQUIPA</t>
        </is>
      </c>
      <c r="B88" t="inlineStr">
        <is>
          <t>CAMANA</t>
        </is>
      </c>
      <c r="C88" t="inlineStr">
        <is>
          <t>CAMANA</t>
        </is>
      </c>
      <c r="D88" t="inlineStr">
        <is>
          <t>040201</t>
        </is>
      </c>
      <c r="E88" t="inlineStr">
        <is>
          <t>—</t>
        </is>
      </c>
      <c r="F88" s="11" t="n">
        <v>84149.58590000001</v>
      </c>
      <c r="G88" s="6">
        <f>IF($F$247=0,0,F88/$F$247)</f>
        <v/>
      </c>
      <c r="H88" s="5" t="n">
        <v>900746.6899999999</v>
      </c>
      <c r="I88" t="n">
        <v>4</v>
      </c>
      <c r="J88" t="n">
        <v>4</v>
      </c>
      <c r="L88" s="5" t="n">
        <v>3602986.77</v>
      </c>
    </row>
    <row r="89">
      <c r="A89" t="inlineStr">
        <is>
          <t>LIMA</t>
        </is>
      </c>
      <c r="B89" t="inlineStr">
        <is>
          <t>LIMA</t>
        </is>
      </c>
      <c r="C89" t="inlineStr">
        <is>
          <t>INDEPENDENCIA</t>
        </is>
      </c>
      <c r="D89" t="inlineStr">
        <is>
          <t>150112</t>
        </is>
      </c>
      <c r="E89" t="inlineStr">
        <is>
          <t>—</t>
        </is>
      </c>
      <c r="F89" s="11" t="n">
        <v>81785.2798</v>
      </c>
      <c r="G89" s="6">
        <f>IF($F$247=0,0,F89/$F$247)</f>
        <v/>
      </c>
      <c r="H89" s="5" t="n">
        <v>875438.89</v>
      </c>
      <c r="I89" t="n">
        <v>5</v>
      </c>
      <c r="J89" t="n">
        <v>2</v>
      </c>
      <c r="L89" s="5" t="n">
        <v>3064036.13</v>
      </c>
    </row>
    <row r="90">
      <c r="A90" t="inlineStr">
        <is>
          <t>LIMA</t>
        </is>
      </c>
      <c r="B90" t="inlineStr">
        <is>
          <t>LIMA</t>
        </is>
      </c>
      <c r="C90" t="inlineStr">
        <is>
          <t>LURIGANCHO</t>
        </is>
      </c>
      <c r="D90" t="inlineStr">
        <is>
          <t>150118</t>
        </is>
      </c>
      <c r="E90" t="inlineStr">
        <is>
          <t>—</t>
        </is>
      </c>
      <c r="F90" s="11" t="n">
        <v>81428.2196</v>
      </c>
      <c r="G90" s="6">
        <f>IF($F$247=0,0,F90/$F$247)</f>
        <v/>
      </c>
      <c r="H90" s="5" t="n">
        <v>871616.88</v>
      </c>
      <c r="I90" t="n">
        <v>5</v>
      </c>
      <c r="J90" t="n">
        <v>4</v>
      </c>
      <c r="L90" s="5" t="n">
        <v>3922275.96</v>
      </c>
    </row>
    <row r="91">
      <c r="A91" t="inlineStr">
        <is>
          <t>AREQUIPA</t>
        </is>
      </c>
      <c r="B91" t="inlineStr">
        <is>
          <t>AREQUIPA</t>
        </is>
      </c>
      <c r="C91" t="inlineStr">
        <is>
          <t>MIRAFLORES</t>
        </is>
      </c>
      <c r="D91" t="inlineStr">
        <is>
          <t>040110</t>
        </is>
      </c>
      <c r="E91" t="inlineStr">
        <is>
          <t>—</t>
        </is>
      </c>
      <c r="F91" s="11" t="n">
        <v>80216.27039999999</v>
      </c>
      <c r="G91" s="6">
        <f>IF($F$247=0,0,F91/$F$247)</f>
        <v/>
      </c>
      <c r="H91" s="5" t="n">
        <v>858644.04</v>
      </c>
      <c r="I91" t="n">
        <v>5</v>
      </c>
      <c r="J91" t="n">
        <v>3</v>
      </c>
      <c r="K91" t="n">
        <v>2</v>
      </c>
      <c r="L91" s="5" t="n">
        <v>2862146.8</v>
      </c>
    </row>
    <row r="92">
      <c r="A92" t="inlineStr">
        <is>
          <t>LIMA</t>
        </is>
      </c>
      <c r="B92" t="inlineStr">
        <is>
          <t>LIMA</t>
        </is>
      </c>
      <c r="C92" t="inlineStr">
        <is>
          <t>LURIN</t>
        </is>
      </c>
      <c r="D92" t="inlineStr">
        <is>
          <t>150119</t>
        </is>
      </c>
      <c r="E92" t="inlineStr">
        <is>
          <t>—</t>
        </is>
      </c>
      <c r="F92" s="11" t="n">
        <v>79834.0456</v>
      </c>
      <c r="G92" s="6">
        <f>IF($F$247=0,0,F92/$F$247)</f>
        <v/>
      </c>
      <c r="H92" s="5" t="n">
        <v>854552.66</v>
      </c>
      <c r="I92" t="n">
        <v>3</v>
      </c>
      <c r="J92" t="n">
        <v>3</v>
      </c>
      <c r="L92" s="5" t="n">
        <v>2563657.99</v>
      </c>
    </row>
    <row r="93">
      <c r="A93" t="inlineStr">
        <is>
          <t>PASCO</t>
        </is>
      </c>
      <c r="B93" t="inlineStr">
        <is>
          <t>PASCO</t>
        </is>
      </c>
      <c r="C93" t="inlineStr">
        <is>
          <t>CHAUPIMARCA</t>
        </is>
      </c>
      <c r="D93" t="inlineStr">
        <is>
          <t>190101</t>
        </is>
      </c>
      <c r="E93" t="inlineStr">
        <is>
          <t>—</t>
        </is>
      </c>
      <c r="F93" s="11" t="n">
        <v>78417.0481</v>
      </c>
      <c r="G93" s="6">
        <f>IF($F$247=0,0,F93/$F$247)</f>
        <v/>
      </c>
      <c r="H93" s="5" t="n">
        <v>839384.96</v>
      </c>
      <c r="I93" t="n">
        <v>4</v>
      </c>
      <c r="J93" t="n">
        <v>4</v>
      </c>
      <c r="K93" t="n">
        <v>3</v>
      </c>
      <c r="L93" s="5" t="n">
        <v>3077744.85</v>
      </c>
    </row>
    <row r="94">
      <c r="A94" t="inlineStr">
        <is>
          <t>JUNIN</t>
        </is>
      </c>
      <c r="B94" t="inlineStr">
        <is>
          <t>CHUPACA</t>
        </is>
      </c>
      <c r="C94" t="inlineStr">
        <is>
          <t>CHUPACA</t>
        </is>
      </c>
      <c r="D94" t="inlineStr">
        <is>
          <t>120901</t>
        </is>
      </c>
      <c r="E94" t="inlineStr">
        <is>
          <t>—</t>
        </is>
      </c>
      <c r="F94" s="11" t="n">
        <v>78161.5102</v>
      </c>
      <c r="G94" s="6">
        <f>IF($F$247=0,0,F94/$F$247)</f>
        <v/>
      </c>
      <c r="H94" s="5" t="n">
        <v>836649.65</v>
      </c>
      <c r="I94" t="n">
        <v>1</v>
      </c>
      <c r="J94" t="n">
        <v>5</v>
      </c>
      <c r="K94" t="n">
        <v>3</v>
      </c>
      <c r="L94" s="5" t="n">
        <v>2509948.96</v>
      </c>
    </row>
    <row r="95">
      <c r="A95" t="inlineStr">
        <is>
          <t>ANCASH</t>
        </is>
      </c>
      <c r="B95" t="inlineStr">
        <is>
          <t>CASMA</t>
        </is>
      </c>
      <c r="C95" t="inlineStr">
        <is>
          <t>CASMA</t>
        </is>
      </c>
      <c r="D95" t="inlineStr">
        <is>
          <t>020801</t>
        </is>
      </c>
      <c r="E95" t="inlineStr">
        <is>
          <t>—</t>
        </is>
      </c>
      <c r="F95" s="11" t="n">
        <v>76380.7276</v>
      </c>
      <c r="G95" s="6">
        <f>IF($F$247=0,0,F95/$F$247)</f>
        <v/>
      </c>
      <c r="H95" s="5" t="n">
        <v>817587.95</v>
      </c>
      <c r="I95" t="n">
        <v>3</v>
      </c>
      <c r="J95" t="n">
        <v>4</v>
      </c>
      <c r="L95" s="5" t="n">
        <v>2861557.84</v>
      </c>
    </row>
    <row r="96">
      <c r="A96" t="inlineStr">
        <is>
          <t>LAMBAYEQUE</t>
        </is>
      </c>
      <c r="B96" t="inlineStr">
        <is>
          <t>LAMBAYEQUE</t>
        </is>
      </c>
      <c r="C96" t="inlineStr">
        <is>
          <t>MORROPE</t>
        </is>
      </c>
      <c r="D96" t="inlineStr">
        <is>
          <t>140306</t>
        </is>
      </c>
      <c r="E96" t="inlineStr">
        <is>
          <t>—</t>
        </is>
      </c>
      <c r="F96" s="11" t="n">
        <v>76081.9578</v>
      </c>
      <c r="G96" s="6">
        <f>IF($F$247=0,0,F96/$F$247)</f>
        <v/>
      </c>
      <c r="H96" s="5" t="n">
        <v>814389.89</v>
      </c>
      <c r="I96" t="n">
        <v>2</v>
      </c>
      <c r="J96" t="n">
        <v>5</v>
      </c>
      <c r="L96" s="5" t="n">
        <v>2850364.61</v>
      </c>
    </row>
    <row r="97">
      <c r="A97" t="inlineStr">
        <is>
          <t>LA LIBERTAD</t>
        </is>
      </c>
      <c r="B97" t="inlineStr">
        <is>
          <t>OTUZCO</t>
        </is>
      </c>
      <c r="C97" t="inlineStr">
        <is>
          <t>OTUZCO</t>
        </is>
      </c>
      <c r="D97" t="inlineStr">
        <is>
          <t>130601</t>
        </is>
      </c>
      <c r="E97" t="inlineStr">
        <is>
          <t>—</t>
        </is>
      </c>
      <c r="F97" s="11" t="n">
        <v>75366.3823</v>
      </c>
      <c r="G97" s="6">
        <f>IF($F$247=0,0,F97/$F$247)</f>
        <v/>
      </c>
      <c r="H97" s="5" t="n">
        <v>806730.29</v>
      </c>
      <c r="I97" t="n">
        <v>5</v>
      </c>
      <c r="J97" t="n">
        <v>2</v>
      </c>
      <c r="K97" t="n">
        <v>3</v>
      </c>
      <c r="L97" s="5" t="n">
        <v>2689100.96</v>
      </c>
    </row>
    <row r="98">
      <c r="A98" t="inlineStr">
        <is>
          <t>CAJAMARCA</t>
        </is>
      </c>
      <c r="B98" t="inlineStr">
        <is>
          <t>HUALGAYOC</t>
        </is>
      </c>
      <c r="C98" t="inlineStr">
        <is>
          <t>BAMBAMARCA</t>
        </is>
      </c>
      <c r="D98" t="inlineStr">
        <is>
          <t>060701</t>
        </is>
      </c>
      <c r="E98" t="inlineStr">
        <is>
          <t>—</t>
        </is>
      </c>
      <c r="F98" s="11" t="n">
        <v>74684.4327</v>
      </c>
      <c r="G98" s="6">
        <f>IF($F$247=0,0,F98/$F$247)</f>
        <v/>
      </c>
      <c r="H98" s="5" t="n">
        <v>799430.62</v>
      </c>
      <c r="I98" t="n">
        <v>4</v>
      </c>
      <c r="J98" t="n">
        <v>2</v>
      </c>
      <c r="K98" t="n">
        <v>3</v>
      </c>
      <c r="L98" s="5" t="n">
        <v>2398291.87</v>
      </c>
    </row>
    <row r="99">
      <c r="A99" t="inlineStr">
        <is>
          <t>HUANCAVELICA</t>
        </is>
      </c>
      <c r="B99" t="inlineStr">
        <is>
          <t>HUANCAVELICA</t>
        </is>
      </c>
      <c r="C99" t="inlineStr">
        <is>
          <t>HUANCAVELICA</t>
        </is>
      </c>
      <c r="D99" t="inlineStr">
        <is>
          <t>090101</t>
        </is>
      </c>
      <c r="E99" t="inlineStr">
        <is>
          <t>—</t>
        </is>
      </c>
      <c r="F99" s="11" t="n">
        <v>73436.91869999999</v>
      </c>
      <c r="G99" s="6">
        <f>IF($F$247=0,0,F99/$F$247)</f>
        <v/>
      </c>
      <c r="H99" s="5" t="n">
        <v>786077.09</v>
      </c>
      <c r="I99" t="n">
        <v>4</v>
      </c>
      <c r="J99" t="n">
        <v>3</v>
      </c>
      <c r="K99" t="n">
        <v>3</v>
      </c>
      <c r="L99" s="5" t="n">
        <v>2620256.97</v>
      </c>
    </row>
    <row r="100">
      <c r="A100" t="inlineStr">
        <is>
          <t>ANCASH</t>
        </is>
      </c>
      <c r="B100" t="inlineStr">
        <is>
          <t>HUAYLAS</t>
        </is>
      </c>
      <c r="C100" t="inlineStr">
        <is>
          <t>CARAZ</t>
        </is>
      </c>
      <c r="D100" t="inlineStr">
        <is>
          <t>021201</t>
        </is>
      </c>
      <c r="E100" t="inlineStr">
        <is>
          <t>—</t>
        </is>
      </c>
      <c r="F100" s="11" t="n">
        <v>73011.6103</v>
      </c>
      <c r="G100" s="6">
        <f>IF($F$247=0,0,F100/$F$247)</f>
        <v/>
      </c>
      <c r="H100" s="5" t="n">
        <v>781524.54</v>
      </c>
      <c r="I100" t="n">
        <v>4</v>
      </c>
      <c r="J100" t="n">
        <v>3</v>
      </c>
      <c r="K100" t="n">
        <v>4</v>
      </c>
      <c r="L100" s="5" t="n">
        <v>2865589.99</v>
      </c>
    </row>
    <row r="101">
      <c r="A101" t="inlineStr">
        <is>
          <t>PIURA</t>
        </is>
      </c>
      <c r="B101" t="inlineStr">
        <is>
          <t>MORROPON</t>
        </is>
      </c>
      <c r="C101" t="inlineStr">
        <is>
          <t>CHULUCANAS</t>
        </is>
      </c>
      <c r="D101" t="inlineStr">
        <is>
          <t>200401</t>
        </is>
      </c>
      <c r="E101" t="inlineStr">
        <is>
          <t>—</t>
        </is>
      </c>
      <c r="F101" s="11" t="n">
        <v>72133.58689999999</v>
      </c>
      <c r="G101" s="6">
        <f>IF($F$247=0,0,F101/$F$247)</f>
        <v/>
      </c>
      <c r="H101" s="5" t="n">
        <v>772126.08</v>
      </c>
      <c r="I101" t="n">
        <v>2</v>
      </c>
      <c r="J101" t="n">
        <v>5</v>
      </c>
      <c r="K101" t="n">
        <v>2</v>
      </c>
      <c r="L101" s="5" t="n">
        <v>2316378.24</v>
      </c>
    </row>
    <row r="102">
      <c r="A102" t="inlineStr">
        <is>
          <t>AMAZONAS</t>
        </is>
      </c>
      <c r="B102" t="inlineStr">
        <is>
          <t>BAGUA</t>
        </is>
      </c>
      <c r="C102" t="inlineStr">
        <is>
          <t>BAGUA</t>
        </is>
      </c>
      <c r="D102" t="inlineStr">
        <is>
          <t>010201</t>
        </is>
      </c>
      <c r="E102" t="inlineStr">
        <is>
          <t>—</t>
        </is>
      </c>
      <c r="F102" s="11" t="n">
        <v>71900.7488</v>
      </c>
      <c r="G102" s="6">
        <f>IF($F$247=0,0,F102/$F$247)</f>
        <v/>
      </c>
      <c r="H102" s="5" t="n">
        <v>769633.75</v>
      </c>
      <c r="I102" t="n">
        <v>4</v>
      </c>
      <c r="J102" t="n">
        <v>4</v>
      </c>
      <c r="K102" t="n">
        <v>3</v>
      </c>
      <c r="L102" s="5" t="n">
        <v>2821990.43</v>
      </c>
    </row>
    <row r="103">
      <c r="A103" t="inlineStr">
        <is>
          <t>AREQUIPA</t>
        </is>
      </c>
      <c r="B103" t="inlineStr">
        <is>
          <t>AREQUIPA</t>
        </is>
      </c>
      <c r="C103" t="inlineStr">
        <is>
          <t>JACOBO HUNTER</t>
        </is>
      </c>
      <c r="D103" t="inlineStr">
        <is>
          <t>040107</t>
        </is>
      </c>
      <c r="E103" t="inlineStr">
        <is>
          <t>—</t>
        </is>
      </c>
      <c r="F103" s="11" t="n">
        <v>71848.6688</v>
      </c>
      <c r="G103" s="6">
        <f>IF($F$247=0,0,F103/$F$247)</f>
        <v/>
      </c>
      <c r="H103" s="5" t="n">
        <v>769076.28</v>
      </c>
      <c r="I103" t="n">
        <v>4</v>
      </c>
      <c r="J103" t="n">
        <v>4</v>
      </c>
      <c r="L103" s="5" t="n">
        <v>3076305.14</v>
      </c>
    </row>
    <row r="104">
      <c r="A104" t="inlineStr">
        <is>
          <t>LIMA</t>
        </is>
      </c>
      <c r="B104" t="inlineStr">
        <is>
          <t>HUAROCHIRI</t>
        </is>
      </c>
      <c r="C104" t="inlineStr">
        <is>
          <t>SAN ANTONIO</t>
        </is>
      </c>
      <c r="D104" t="inlineStr">
        <is>
          <t>150716</t>
        </is>
      </c>
      <c r="E104" t="inlineStr">
        <is>
          <t>—</t>
        </is>
      </c>
      <c r="F104" s="11" t="n">
        <v>71702.1591</v>
      </c>
      <c r="G104" s="6">
        <f>IF($F$247=0,0,F104/$F$247)</f>
        <v/>
      </c>
      <c r="H104" s="5" t="n">
        <v>767508.03</v>
      </c>
      <c r="I104" t="n">
        <v>4</v>
      </c>
      <c r="J104" t="n">
        <v>1</v>
      </c>
      <c r="K104" t="n">
        <v>4</v>
      </c>
      <c r="L104" s="5" t="n">
        <v>2302524.08</v>
      </c>
    </row>
    <row r="105">
      <c r="A105" t="inlineStr">
        <is>
          <t>JUNIN</t>
        </is>
      </c>
      <c r="B105" t="inlineStr">
        <is>
          <t>JAUJA</t>
        </is>
      </c>
      <c r="C105" t="inlineStr">
        <is>
          <t>JAUJA</t>
        </is>
      </c>
      <c r="D105" t="inlineStr">
        <is>
          <t>120401</t>
        </is>
      </c>
      <c r="E105" t="inlineStr">
        <is>
          <t>—</t>
        </is>
      </c>
      <c r="F105" s="11" t="n">
        <v>71566.40579999999</v>
      </c>
      <c r="G105" s="6">
        <f>IF($F$247=0,0,F105/$F$247)</f>
        <v/>
      </c>
      <c r="H105" s="5" t="n">
        <v>766054.91</v>
      </c>
      <c r="I105" t="n">
        <v>3</v>
      </c>
      <c r="J105" t="n">
        <v>1</v>
      </c>
      <c r="K105" t="n">
        <v>4</v>
      </c>
      <c r="L105" s="5" t="n">
        <v>2042813.09</v>
      </c>
    </row>
    <row r="106">
      <c r="A106" t="inlineStr">
        <is>
          <t>JUNIN</t>
        </is>
      </c>
      <c r="B106" t="inlineStr">
        <is>
          <t>HUANCAYO</t>
        </is>
      </c>
      <c r="C106" t="inlineStr">
        <is>
          <t>CHILCA</t>
        </is>
      </c>
      <c r="D106" t="inlineStr">
        <is>
          <t>120107</t>
        </is>
      </c>
      <c r="E106" t="inlineStr">
        <is>
          <t>—</t>
        </is>
      </c>
      <c r="F106" s="11" t="n">
        <v>70918.63770000001</v>
      </c>
      <c r="G106" s="6">
        <f>IF($F$247=0,0,F106/$F$247)</f>
        <v/>
      </c>
      <c r="H106" s="5" t="n">
        <v>759121.13</v>
      </c>
      <c r="I106" t="n">
        <v>4</v>
      </c>
      <c r="J106" t="n">
        <v>2</v>
      </c>
      <c r="K106" t="n">
        <v>3</v>
      </c>
      <c r="L106" s="5" t="n">
        <v>2277363.38</v>
      </c>
    </row>
    <row r="107">
      <c r="A107" t="inlineStr">
        <is>
          <t>ANCASH</t>
        </is>
      </c>
      <c r="B107" t="inlineStr">
        <is>
          <t>SANTA</t>
        </is>
      </c>
      <c r="C107" t="inlineStr">
        <is>
          <t>NUEVO CHIMBOTE</t>
        </is>
      </c>
      <c r="D107" t="inlineStr">
        <is>
          <t>021809</t>
        </is>
      </c>
      <c r="E107" t="inlineStr">
        <is>
          <t>—</t>
        </is>
      </c>
      <c r="F107" s="11" t="n">
        <v>66747.2708</v>
      </c>
      <c r="G107" s="6">
        <f>IF($F$247=0,0,F107/$F$247)</f>
        <v/>
      </c>
      <c r="H107" s="5" t="n">
        <v>714470.34</v>
      </c>
      <c r="I107" t="n">
        <v>2</v>
      </c>
      <c r="J107" t="n">
        <v>3</v>
      </c>
      <c r="L107" s="5" t="n">
        <v>1786175.86</v>
      </c>
    </row>
    <row r="108">
      <c r="A108" t="inlineStr">
        <is>
          <t>LAMBAYEQUE</t>
        </is>
      </c>
      <c r="B108" t="inlineStr">
        <is>
          <t>CHICLAYO</t>
        </is>
      </c>
      <c r="C108" t="inlineStr">
        <is>
          <t>LA VICTORIA</t>
        </is>
      </c>
      <c r="D108" t="inlineStr">
        <is>
          <t>140106</t>
        </is>
      </c>
      <c r="E108" t="inlineStr">
        <is>
          <t>—</t>
        </is>
      </c>
      <c r="F108" s="11" t="n">
        <v>66111.3821</v>
      </c>
      <c r="G108" s="6">
        <f>IF($F$247=0,0,F108/$F$247)</f>
        <v/>
      </c>
      <c r="H108" s="5" t="n">
        <v>707663.72</v>
      </c>
      <c r="I108" t="n">
        <v>1</v>
      </c>
      <c r="J108" t="n">
        <v>4</v>
      </c>
      <c r="L108" s="5" t="n">
        <v>1769159.3</v>
      </c>
    </row>
    <row r="109">
      <c r="A109" t="inlineStr">
        <is>
          <t>LA LIBERTAD</t>
        </is>
      </c>
      <c r="B109" t="inlineStr">
        <is>
          <t>VIRU</t>
        </is>
      </c>
      <c r="C109" t="inlineStr">
        <is>
          <t>VIRU</t>
        </is>
      </c>
      <c r="D109" t="inlineStr">
        <is>
          <t>131201</t>
        </is>
      </c>
      <c r="E109" t="inlineStr">
        <is>
          <t>—</t>
        </is>
      </c>
      <c r="F109" s="11" t="n">
        <v>65173.5881</v>
      </c>
      <c r="G109" s="6">
        <f>IF($F$247=0,0,F109/$F$247)</f>
        <v/>
      </c>
      <c r="H109" s="5" t="n">
        <v>697625.46</v>
      </c>
      <c r="I109" t="n">
        <v>5</v>
      </c>
      <c r="J109" t="n">
        <v>4</v>
      </c>
      <c r="K109" t="n">
        <v>3</v>
      </c>
      <c r="L109" s="5" t="n">
        <v>2790501.86</v>
      </c>
    </row>
    <row r="110">
      <c r="A110" t="inlineStr">
        <is>
          <t>LIMA</t>
        </is>
      </c>
      <c r="B110" t="inlineStr">
        <is>
          <t>LIMA</t>
        </is>
      </c>
      <c r="C110" t="inlineStr">
        <is>
          <t>CARABAYLLO</t>
        </is>
      </c>
      <c r="D110" t="inlineStr">
        <is>
          <t>150106</t>
        </is>
      </c>
      <c r="E110" t="inlineStr">
        <is>
          <t>—</t>
        </is>
      </c>
      <c r="F110" s="11" t="n">
        <v>64768.7772</v>
      </c>
      <c r="G110" s="6">
        <f>IF($F$247=0,0,F110/$F$247)</f>
        <v/>
      </c>
      <c r="H110" s="5" t="n">
        <v>693292.3199999999</v>
      </c>
      <c r="I110" t="n">
        <v>5</v>
      </c>
      <c r="J110" t="n">
        <v>3</v>
      </c>
      <c r="L110" s="5" t="n">
        <v>2773169.3</v>
      </c>
    </row>
    <row r="111">
      <c r="A111" t="inlineStr">
        <is>
          <t>CUSCO</t>
        </is>
      </c>
      <c r="B111" t="inlineStr">
        <is>
          <t>CUSCO</t>
        </is>
      </c>
      <c r="C111" t="inlineStr">
        <is>
          <t>SAN SEBASTIAN</t>
        </is>
      </c>
      <c r="D111" t="inlineStr">
        <is>
          <t>080105</t>
        </is>
      </c>
      <c r="E111" t="inlineStr">
        <is>
          <t>—</t>
        </is>
      </c>
      <c r="F111" s="11" t="n">
        <v>63279.0629</v>
      </c>
      <c r="G111" s="6">
        <f>IF($F$247=0,0,F111/$F$247)</f>
        <v/>
      </c>
      <c r="H111" s="5" t="n">
        <v>677346.25</v>
      </c>
      <c r="I111" t="n">
        <v>4</v>
      </c>
      <c r="J111" t="n">
        <v>2</v>
      </c>
      <c r="K111" t="n">
        <v>3</v>
      </c>
      <c r="L111" s="5" t="n">
        <v>2032038.76</v>
      </c>
    </row>
    <row r="112">
      <c r="A112" t="inlineStr">
        <is>
          <t>PIURA</t>
        </is>
      </c>
      <c r="B112" t="inlineStr">
        <is>
          <t>PAITA</t>
        </is>
      </c>
      <c r="C112" t="inlineStr">
        <is>
          <t>PAITA</t>
        </is>
      </c>
      <c r="D112" t="inlineStr">
        <is>
          <t>200501</t>
        </is>
      </c>
      <c r="E112" t="inlineStr">
        <is>
          <t>—</t>
        </is>
      </c>
      <c r="F112" s="11" t="n">
        <v>61467.5502</v>
      </c>
      <c r="G112" s="6">
        <f>IF($F$247=0,0,F112/$F$247)</f>
        <v/>
      </c>
      <c r="H112" s="5" t="n">
        <v>657955.62</v>
      </c>
      <c r="I112" t="n">
        <v>2</v>
      </c>
      <c r="J112" t="n">
        <v>4</v>
      </c>
      <c r="L112" s="5" t="n">
        <v>1973866.85</v>
      </c>
    </row>
    <row r="113">
      <c r="A113" t="inlineStr">
        <is>
          <t>LORETO</t>
        </is>
      </c>
      <c r="B113" t="inlineStr">
        <is>
          <t>ALTO AMAZONAS</t>
        </is>
      </c>
      <c r="C113" t="inlineStr">
        <is>
          <t>YURIMAGUAS</t>
        </is>
      </c>
      <c r="D113" t="inlineStr">
        <is>
          <t>160201</t>
        </is>
      </c>
      <c r="E113" t="inlineStr">
        <is>
          <t>—</t>
        </is>
      </c>
      <c r="F113" s="11" t="n">
        <v>59855.6474</v>
      </c>
      <c r="G113" s="6">
        <f>IF($F$247=0,0,F113/$F$247)</f>
        <v/>
      </c>
      <c r="H113" s="5" t="n">
        <v>640701.63</v>
      </c>
      <c r="I113" t="n">
        <v>3</v>
      </c>
      <c r="J113" t="n">
        <v>3</v>
      </c>
      <c r="K113" t="n">
        <v>2</v>
      </c>
      <c r="L113" s="5" t="n">
        <v>1708537.67</v>
      </c>
    </row>
    <row r="114">
      <c r="A114" t="inlineStr">
        <is>
          <t>SAN MARTIN</t>
        </is>
      </c>
      <c r="B114" t="inlineStr">
        <is>
          <t>MARISCAL CACERES</t>
        </is>
      </c>
      <c r="C114" t="inlineStr">
        <is>
          <t>JUANJUI</t>
        </is>
      </c>
      <c r="D114" t="inlineStr">
        <is>
          <t>220601</t>
        </is>
      </c>
      <c r="E114" t="inlineStr">
        <is>
          <t>—</t>
        </is>
      </c>
      <c r="F114" s="11" t="n">
        <v>58187.5907</v>
      </c>
      <c r="G114" s="6">
        <f>IF($F$247=0,0,F114/$F$247)</f>
        <v/>
      </c>
      <c r="H114" s="5" t="n">
        <v>622846.5600000001</v>
      </c>
      <c r="I114" t="n">
        <v>4</v>
      </c>
      <c r="J114" t="n">
        <v>4</v>
      </c>
      <c r="K114" t="n">
        <v>2</v>
      </c>
      <c r="L114" s="5" t="n">
        <v>2076155.19</v>
      </c>
    </row>
    <row r="115">
      <c r="A115" t="inlineStr">
        <is>
          <t>LIMA</t>
        </is>
      </c>
      <c r="B115" t="inlineStr">
        <is>
          <t>LIMA</t>
        </is>
      </c>
      <c r="C115" t="inlineStr">
        <is>
          <t>EL AGUSTINO</t>
        </is>
      </c>
      <c r="D115" t="inlineStr">
        <is>
          <t>150111</t>
        </is>
      </c>
      <c r="E115" t="inlineStr">
        <is>
          <t>—</t>
        </is>
      </c>
      <c r="F115" s="11" t="n">
        <v>56425.9536</v>
      </c>
      <c r="G115" s="6">
        <f>IF($F$247=0,0,F115/$F$247)</f>
        <v/>
      </c>
      <c r="H115" s="5" t="n">
        <v>603989.79</v>
      </c>
      <c r="I115" t="n">
        <v>2</v>
      </c>
      <c r="J115" t="n">
        <v>4</v>
      </c>
      <c r="L115" s="5" t="n">
        <v>1811969.38</v>
      </c>
    </row>
    <row r="116">
      <c r="A116" t="inlineStr">
        <is>
          <t>PIURA</t>
        </is>
      </c>
      <c r="B116" t="inlineStr">
        <is>
          <t>PIURA</t>
        </is>
      </c>
      <c r="C116" t="inlineStr">
        <is>
          <t>TAMBO GRANDE</t>
        </is>
      </c>
      <c r="D116" t="inlineStr">
        <is>
          <t>200114</t>
        </is>
      </c>
      <c r="E116" t="inlineStr">
        <is>
          <t>—</t>
        </is>
      </c>
      <c r="F116" s="11" t="n">
        <v>56140.7234</v>
      </c>
      <c r="G116" s="6">
        <f>IF($F$247=0,0,F116/$F$247)</f>
        <v/>
      </c>
      <c r="H116" s="5" t="n">
        <v>600936.66</v>
      </c>
      <c r="I116" t="n">
        <v>4</v>
      </c>
      <c r="J116" t="n">
        <v>4</v>
      </c>
      <c r="K116" t="n">
        <v>2</v>
      </c>
      <c r="L116" s="5" t="n">
        <v>2003122.19</v>
      </c>
    </row>
    <row r="117">
      <c r="A117" t="inlineStr">
        <is>
          <t>JUNIN</t>
        </is>
      </c>
      <c r="B117" t="inlineStr">
        <is>
          <t>SATIPO</t>
        </is>
      </c>
      <c r="C117" t="inlineStr">
        <is>
          <t>PANGOA</t>
        </is>
      </c>
      <c r="D117" t="inlineStr">
        <is>
          <t>120606</t>
        </is>
      </c>
      <c r="E117" t="inlineStr">
        <is>
          <t>—</t>
        </is>
      </c>
      <c r="F117" s="11" t="n">
        <v>54531.746</v>
      </c>
      <c r="G117" s="6">
        <f>IF($F$247=0,0,F117/$F$247)</f>
        <v/>
      </c>
      <c r="H117" s="5" t="n">
        <v>583713.98</v>
      </c>
      <c r="I117" t="n">
        <v>3</v>
      </c>
      <c r="J117" t="n">
        <v>2</v>
      </c>
      <c r="L117" s="5" t="n">
        <v>1459284.96</v>
      </c>
    </row>
    <row r="118">
      <c r="A118" t="inlineStr">
        <is>
          <t>ANCASH</t>
        </is>
      </c>
      <c r="B118" t="inlineStr">
        <is>
          <t>CARHUAZ</t>
        </is>
      </c>
      <c r="C118" t="inlineStr">
        <is>
          <t>CARHUAZ</t>
        </is>
      </c>
      <c r="D118" t="inlineStr">
        <is>
          <t>020601</t>
        </is>
      </c>
      <c r="E118" t="inlineStr">
        <is>
          <t>—</t>
        </is>
      </c>
      <c r="F118" s="11" t="n">
        <v>54215.7483</v>
      </c>
      <c r="G118" s="6">
        <f>IF($F$247=0,0,F118/$F$247)</f>
        <v/>
      </c>
      <c r="H118" s="5" t="n">
        <v>580331.51</v>
      </c>
      <c r="I118" t="n">
        <v>4</v>
      </c>
      <c r="J118" t="n">
        <v>3</v>
      </c>
      <c r="K118" t="n">
        <v>3</v>
      </c>
      <c r="L118" s="5" t="n">
        <v>1934438.36</v>
      </c>
    </row>
    <row r="119">
      <c r="A119" t="inlineStr">
        <is>
          <t>CUSCO</t>
        </is>
      </c>
      <c r="B119" t="inlineStr">
        <is>
          <t>CUSCO</t>
        </is>
      </c>
      <c r="C119" t="inlineStr">
        <is>
          <t>SANTIAGO</t>
        </is>
      </c>
      <c r="D119" t="inlineStr">
        <is>
          <t>080106</t>
        </is>
      </c>
      <c r="E119" t="inlineStr">
        <is>
          <t>—</t>
        </is>
      </c>
      <c r="F119" s="11" t="n">
        <v>52035.7242</v>
      </c>
      <c r="G119" s="6">
        <f>IF($F$247=0,0,F119/$F$247)</f>
        <v/>
      </c>
      <c r="H119" s="5" t="n">
        <v>556996.28</v>
      </c>
      <c r="I119" t="n">
        <v>4</v>
      </c>
      <c r="J119" t="n">
        <v>2</v>
      </c>
      <c r="K119" t="n">
        <v>3</v>
      </c>
      <c r="L119" s="5" t="n">
        <v>1670988.85</v>
      </c>
    </row>
    <row r="120">
      <c r="A120" t="inlineStr">
        <is>
          <t>SAN MARTIN</t>
        </is>
      </c>
      <c r="B120" t="inlineStr">
        <is>
          <t>RIOJA</t>
        </is>
      </c>
      <c r="C120" t="inlineStr">
        <is>
          <t>NUEVA CAJAMARCA</t>
        </is>
      </c>
      <c r="D120" t="inlineStr">
        <is>
          <t>220804</t>
        </is>
      </c>
      <c r="E120" t="inlineStr">
        <is>
          <t>—</t>
        </is>
      </c>
      <c r="F120" s="11" t="n">
        <v>51706.8665</v>
      </c>
      <c r="G120" s="6">
        <f>IF($F$247=0,0,F120/$F$247)</f>
        <v/>
      </c>
      <c r="H120" s="5" t="n">
        <v>553476.15</v>
      </c>
      <c r="I120" t="n">
        <v>4</v>
      </c>
      <c r="J120" t="n">
        <v>4</v>
      </c>
      <c r="K120" t="n">
        <v>2</v>
      </c>
      <c r="L120" s="5" t="n">
        <v>1844920.51</v>
      </c>
    </row>
    <row r="121">
      <c r="A121" t="inlineStr">
        <is>
          <t>CUSCO</t>
        </is>
      </c>
      <c r="B121" t="inlineStr">
        <is>
          <t>CUSCO</t>
        </is>
      </c>
      <c r="C121" t="inlineStr">
        <is>
          <t>SAN JERONIMO</t>
        </is>
      </c>
      <c r="D121" t="inlineStr">
        <is>
          <t>080104</t>
        </is>
      </c>
      <c r="E121" t="inlineStr">
        <is>
          <t>—</t>
        </is>
      </c>
      <c r="F121" s="11" t="n">
        <v>50719.9749</v>
      </c>
      <c r="G121" s="6">
        <f>IF($F$247=0,0,F121/$F$247)</f>
        <v/>
      </c>
      <c r="H121" s="5" t="n">
        <v>542912.35</v>
      </c>
      <c r="I121" t="n">
        <v>4</v>
      </c>
      <c r="J121" t="n">
        <v>2</v>
      </c>
      <c r="K121" t="n">
        <v>3</v>
      </c>
      <c r="L121" s="5" t="n">
        <v>1628737.06</v>
      </c>
    </row>
    <row r="122">
      <c r="A122" t="inlineStr">
        <is>
          <t>AREQUIPA</t>
        </is>
      </c>
      <c r="B122" t="inlineStr">
        <is>
          <t>AREQUIPA</t>
        </is>
      </c>
      <c r="C122" t="inlineStr">
        <is>
          <t>SOCABAYA</t>
        </is>
      </c>
      <c r="D122" t="inlineStr">
        <is>
          <t>040122</t>
        </is>
      </c>
      <c r="E122" t="inlineStr">
        <is>
          <t>—</t>
        </is>
      </c>
      <c r="F122" s="11" t="n">
        <v>49794.4984</v>
      </c>
      <c r="G122" s="6">
        <f>IF($F$247=0,0,F122/$F$247)</f>
        <v/>
      </c>
      <c r="H122" s="5" t="n">
        <v>533005.95</v>
      </c>
      <c r="I122" t="n">
        <v>3</v>
      </c>
      <c r="J122" t="n">
        <v>5</v>
      </c>
      <c r="L122" s="5" t="n">
        <v>2132023.79</v>
      </c>
    </row>
    <row r="123">
      <c r="A123" t="inlineStr">
        <is>
          <t>ANCASH</t>
        </is>
      </c>
      <c r="B123" t="inlineStr">
        <is>
          <t>SANTA</t>
        </is>
      </c>
      <c r="C123" t="inlineStr">
        <is>
          <t>SANTA</t>
        </is>
      </c>
      <c r="D123" t="inlineStr">
        <is>
          <t>021808</t>
        </is>
      </c>
      <c r="E123" t="inlineStr">
        <is>
          <t>—</t>
        </is>
      </c>
      <c r="F123" s="11" t="n">
        <v>49754.8467</v>
      </c>
      <c r="G123" s="6">
        <f>IF($F$247=0,0,F123/$F$247)</f>
        <v/>
      </c>
      <c r="H123" s="5" t="n">
        <v>532581.51</v>
      </c>
      <c r="I123" t="n">
        <v>1</v>
      </c>
      <c r="J123" t="n">
        <v>4</v>
      </c>
      <c r="L123" s="5" t="n">
        <v>1331453.78</v>
      </c>
    </row>
    <row r="124">
      <c r="A124" t="inlineStr">
        <is>
          <t>PUNO</t>
        </is>
      </c>
      <c r="B124" t="inlineStr">
        <is>
          <t>EL COLLAO</t>
        </is>
      </c>
      <c r="C124" t="inlineStr">
        <is>
          <t>ILAVE</t>
        </is>
      </c>
      <c r="D124" t="inlineStr">
        <is>
          <t>210501</t>
        </is>
      </c>
      <c r="E124" t="inlineStr">
        <is>
          <t>—</t>
        </is>
      </c>
      <c r="F124" s="11" t="n">
        <v>47930.8283</v>
      </c>
      <c r="G124" s="6">
        <f>IF($F$247=0,0,F124/$F$247)</f>
        <v/>
      </c>
      <c r="H124" s="5" t="n">
        <v>513057.01</v>
      </c>
      <c r="I124" t="n">
        <v>3</v>
      </c>
      <c r="J124" t="n">
        <v>3</v>
      </c>
      <c r="K124" t="n">
        <v>4</v>
      </c>
      <c r="L124" s="5" t="n">
        <v>1710190.04</v>
      </c>
    </row>
    <row r="125">
      <c r="A125" t="inlineStr">
        <is>
          <t>CAJAMARCA</t>
        </is>
      </c>
      <c r="B125" t="inlineStr">
        <is>
          <t>CAJABAMBA</t>
        </is>
      </c>
      <c r="C125" t="inlineStr">
        <is>
          <t>CAJABAMBA</t>
        </is>
      </c>
      <c r="D125" t="inlineStr">
        <is>
          <t>060201</t>
        </is>
      </c>
      <c r="E125" t="inlineStr">
        <is>
          <t>—</t>
        </is>
      </c>
      <c r="F125" s="11" t="n">
        <v>47802.2515</v>
      </c>
      <c r="G125" s="6">
        <f>IF($F$247=0,0,F125/$F$247)</f>
        <v/>
      </c>
      <c r="H125" s="5" t="n">
        <v>511680.71</v>
      </c>
      <c r="I125" t="n">
        <v>4</v>
      </c>
      <c r="J125" t="n">
        <v>3</v>
      </c>
      <c r="K125" t="n">
        <v>2</v>
      </c>
      <c r="L125" s="5" t="n">
        <v>1535042.13</v>
      </c>
    </row>
    <row r="126">
      <c r="A126" t="inlineStr">
        <is>
          <t>AYACUCHO</t>
        </is>
      </c>
      <c r="B126" t="inlineStr">
        <is>
          <t>HUANTA</t>
        </is>
      </c>
      <c r="C126" t="inlineStr">
        <is>
          <t>HUANTA</t>
        </is>
      </c>
      <c r="D126" t="inlineStr">
        <is>
          <t>050401</t>
        </is>
      </c>
      <c r="E126" t="inlineStr">
        <is>
          <t>—</t>
        </is>
      </c>
      <c r="F126" s="11" t="n">
        <v>47235.2123</v>
      </c>
      <c r="G126" s="6">
        <f>IF($F$247=0,0,F126/$F$247)</f>
        <v/>
      </c>
      <c r="H126" s="5" t="n">
        <v>505611.06</v>
      </c>
      <c r="I126" t="n">
        <v>4</v>
      </c>
      <c r="J126" t="n">
        <v>3</v>
      </c>
      <c r="K126" t="n">
        <v>3</v>
      </c>
      <c r="L126" s="5" t="n">
        <v>1685370.2</v>
      </c>
    </row>
    <row r="127">
      <c r="A127" t="inlineStr">
        <is>
          <t>CAJAMARCA</t>
        </is>
      </c>
      <c r="B127" t="inlineStr">
        <is>
          <t>CUTERVO</t>
        </is>
      </c>
      <c r="C127" t="inlineStr">
        <is>
          <t>CUTERVO</t>
        </is>
      </c>
      <c r="D127" t="inlineStr">
        <is>
          <t>060601</t>
        </is>
      </c>
      <c r="E127" t="inlineStr">
        <is>
          <t>—</t>
        </is>
      </c>
      <c r="F127" s="11" t="n">
        <v>46756.4454</v>
      </c>
      <c r="G127" s="6">
        <f>IF($F$247=0,0,F127/$F$247)</f>
        <v/>
      </c>
      <c r="H127" s="5" t="n">
        <v>500486.28</v>
      </c>
      <c r="I127" t="n">
        <v>4</v>
      </c>
      <c r="J127" t="n">
        <v>2</v>
      </c>
      <c r="K127" t="n">
        <v>3</v>
      </c>
      <c r="L127" s="5" t="n">
        <v>1501458.85</v>
      </c>
    </row>
    <row r="128">
      <c r="A128" t="inlineStr">
        <is>
          <t>LA LIBERTAD</t>
        </is>
      </c>
      <c r="B128" t="inlineStr">
        <is>
          <t>ASCOPE</t>
        </is>
      </c>
      <c r="C128" t="inlineStr">
        <is>
          <t>CHOCOPE</t>
        </is>
      </c>
      <c r="D128" t="inlineStr">
        <is>
          <t>130203</t>
        </is>
      </c>
      <c r="E128" t="inlineStr">
        <is>
          <t>—</t>
        </is>
      </c>
      <c r="F128" s="11" t="n">
        <v>45621.7607</v>
      </c>
      <c r="G128" s="6">
        <f>IF($F$247=0,0,F128/$F$247)</f>
        <v/>
      </c>
      <c r="H128" s="5" t="n">
        <v>488340.49</v>
      </c>
      <c r="I128" t="n">
        <v>1</v>
      </c>
      <c r="J128" t="n">
        <v>5</v>
      </c>
      <c r="L128" s="5" t="n">
        <v>1465021.47</v>
      </c>
    </row>
    <row r="129">
      <c r="A129" t="inlineStr">
        <is>
          <t>PIURA</t>
        </is>
      </c>
      <c r="B129" t="inlineStr">
        <is>
          <t>PUIRA</t>
        </is>
      </c>
      <c r="C129" t="inlineStr">
        <is>
          <t>LA UNION</t>
        </is>
      </c>
      <c r="D129" t="inlineStr">
        <is>
          <t>200110</t>
        </is>
      </c>
      <c r="E129" t="inlineStr">
        <is>
          <t>—</t>
        </is>
      </c>
      <c r="F129" s="11" t="n">
        <v>45433.977</v>
      </c>
      <c r="G129" s="6">
        <f>IF($F$247=0,0,F129/$F$247)</f>
        <v/>
      </c>
      <c r="H129" s="5" t="n">
        <v>486330.43</v>
      </c>
      <c r="I129" t="n">
        <v>2</v>
      </c>
      <c r="J129" t="n">
        <v>5</v>
      </c>
      <c r="L129" s="5" t="n">
        <v>1702156.52</v>
      </c>
    </row>
    <row r="130">
      <c r="A130" t="inlineStr">
        <is>
          <t>LIMA</t>
        </is>
      </c>
      <c r="B130" t="inlineStr">
        <is>
          <t>LIMA</t>
        </is>
      </c>
      <c r="C130" t="inlineStr">
        <is>
          <t>SAN LUIS</t>
        </is>
      </c>
      <c r="D130" t="inlineStr">
        <is>
          <t>150134</t>
        </is>
      </c>
      <c r="E130" t="inlineStr">
        <is>
          <t>—</t>
        </is>
      </c>
      <c r="F130" s="11" t="n">
        <v>44510.6649</v>
      </c>
      <c r="G130" s="6">
        <f>IF($F$247=0,0,F130/$F$247)</f>
        <v/>
      </c>
      <c r="H130" s="5" t="n">
        <v>476447.2</v>
      </c>
      <c r="I130" t="n">
        <v>1</v>
      </c>
      <c r="J130" t="n">
        <v>3</v>
      </c>
      <c r="L130" s="5" t="n">
        <v>952894.39</v>
      </c>
    </row>
    <row r="131">
      <c r="A131" t="inlineStr">
        <is>
          <t>TACNA</t>
        </is>
      </c>
      <c r="B131" t="inlineStr">
        <is>
          <t>TACNA</t>
        </is>
      </c>
      <c r="C131" t="inlineStr">
        <is>
          <t>CIUDAD NUEVA</t>
        </is>
      </c>
      <c r="D131" t="inlineStr">
        <is>
          <t>230104</t>
        </is>
      </c>
      <c r="E131" t="inlineStr">
        <is>
          <t>—</t>
        </is>
      </c>
      <c r="F131" s="11" t="n">
        <v>44463.5701</v>
      </c>
      <c r="G131" s="6">
        <f>IF($F$247=0,0,F131/$F$247)</f>
        <v/>
      </c>
      <c r="H131" s="5" t="n">
        <v>475943.09</v>
      </c>
      <c r="I131" t="n">
        <v>4</v>
      </c>
      <c r="J131" t="n">
        <v>3</v>
      </c>
      <c r="L131" s="5" t="n">
        <v>1665800.81</v>
      </c>
    </row>
    <row r="132">
      <c r="A132" t="inlineStr">
        <is>
          <t>JUNIN</t>
        </is>
      </c>
      <c r="B132" t="inlineStr">
        <is>
          <t>YAULI</t>
        </is>
      </c>
      <c r="C132" t="inlineStr">
        <is>
          <t>LA OROYA</t>
        </is>
      </c>
      <c r="D132" t="inlineStr">
        <is>
          <t>120801</t>
        </is>
      </c>
      <c r="E132" t="inlineStr">
        <is>
          <t>—</t>
        </is>
      </c>
      <c r="F132" s="11" t="n">
        <v>44267.1065</v>
      </c>
      <c r="G132" s="6">
        <f>IF($F$247=0,0,F132/$F$247)</f>
        <v/>
      </c>
      <c r="H132" s="5" t="n">
        <v>473840.12</v>
      </c>
      <c r="I132" t="n">
        <v>5</v>
      </c>
      <c r="J132" t="n">
        <v>2</v>
      </c>
      <c r="K132" t="n">
        <v>4</v>
      </c>
      <c r="L132" s="5" t="n">
        <v>1737413.77</v>
      </c>
    </row>
    <row r="133">
      <c r="A133" t="inlineStr">
        <is>
          <t>PIURA</t>
        </is>
      </c>
      <c r="B133" t="inlineStr">
        <is>
          <t>SECHURA</t>
        </is>
      </c>
      <c r="C133" t="inlineStr">
        <is>
          <t>SECHURA</t>
        </is>
      </c>
      <c r="D133" t="inlineStr">
        <is>
          <t>200801</t>
        </is>
      </c>
      <c r="E133" t="inlineStr">
        <is>
          <t>—</t>
        </is>
      </c>
      <c r="F133" s="11" t="n">
        <v>43931.4101</v>
      </c>
      <c r="G133" s="6">
        <f>IF($F$247=0,0,F133/$F$247)</f>
        <v/>
      </c>
      <c r="H133" s="5" t="n">
        <v>470246.79</v>
      </c>
      <c r="I133" t="n">
        <v>2</v>
      </c>
      <c r="J133" t="n">
        <v>5</v>
      </c>
      <c r="L133" s="5" t="n">
        <v>1645863.76</v>
      </c>
    </row>
    <row r="134">
      <c r="A134" t="inlineStr">
        <is>
          <t>LIMA</t>
        </is>
      </c>
      <c r="B134" t="inlineStr">
        <is>
          <t>LIMA</t>
        </is>
      </c>
      <c r="C134" t="inlineStr">
        <is>
          <t>SANTIAGO DE SURCO</t>
        </is>
      </c>
      <c r="D134" t="inlineStr">
        <is>
          <t>150140</t>
        </is>
      </c>
      <c r="E134" t="inlineStr">
        <is>
          <t>—</t>
        </is>
      </c>
      <c r="F134" s="11" t="n">
        <v>42043.0112</v>
      </c>
      <c r="G134" s="6">
        <f>IF($F$247=0,0,F134/$F$247)</f>
        <v/>
      </c>
      <c r="H134" s="5" t="n">
        <v>450033.15</v>
      </c>
      <c r="I134" t="n">
        <v>1</v>
      </c>
      <c r="J134" t="n">
        <v>3</v>
      </c>
      <c r="L134" s="5" t="n">
        <v>900066.3</v>
      </c>
    </row>
    <row r="135">
      <c r="A135" t="inlineStr">
        <is>
          <t>LA LIBERTAD</t>
        </is>
      </c>
      <c r="B135" t="inlineStr">
        <is>
          <t>TRUJILLO</t>
        </is>
      </c>
      <c r="C135" t="inlineStr">
        <is>
          <t>HUANCHACO</t>
        </is>
      </c>
      <c r="D135" t="inlineStr">
        <is>
          <t>130104</t>
        </is>
      </c>
      <c r="E135" t="inlineStr">
        <is>
          <t>—</t>
        </is>
      </c>
      <c r="F135" s="11" t="n">
        <v>41755.9586</v>
      </c>
      <c r="G135" s="6">
        <f>IF($F$247=0,0,F135/$F$247)</f>
        <v/>
      </c>
      <c r="H135" s="5" t="n">
        <v>446960.51</v>
      </c>
      <c r="I135" t="n">
        <v>2</v>
      </c>
      <c r="J135" t="n">
        <v>4</v>
      </c>
      <c r="L135" s="5" t="n">
        <v>1340881.52</v>
      </c>
    </row>
    <row r="136">
      <c r="A136" t="inlineStr">
        <is>
          <t>LAMBAYEQUE</t>
        </is>
      </c>
      <c r="B136" t="inlineStr">
        <is>
          <t>FERREÑAFE</t>
        </is>
      </c>
      <c r="C136" t="inlineStr">
        <is>
          <t>FERREÑAFE</t>
        </is>
      </c>
      <c r="D136" t="inlineStr">
        <is>
          <t>140201</t>
        </is>
      </c>
      <c r="E136" t="inlineStr">
        <is>
          <t>—</t>
        </is>
      </c>
      <c r="F136" s="11" t="n">
        <v>41474.3347</v>
      </c>
      <c r="G136" s="6">
        <f>IF($F$247=0,0,F136/$F$247)</f>
        <v/>
      </c>
      <c r="H136" s="5" t="n">
        <v>443945.97</v>
      </c>
      <c r="I136" t="n">
        <v>1</v>
      </c>
      <c r="J136" t="n">
        <v>4</v>
      </c>
      <c r="L136" s="5" t="n">
        <v>1109864.93</v>
      </c>
    </row>
    <row r="137">
      <c r="A137" t="inlineStr">
        <is>
          <t>PUNO</t>
        </is>
      </c>
      <c r="B137" t="inlineStr">
        <is>
          <t>YUNGUYO</t>
        </is>
      </c>
      <c r="C137" t="inlineStr">
        <is>
          <t>YUNGUYO</t>
        </is>
      </c>
      <c r="D137" t="inlineStr">
        <is>
          <t>211301</t>
        </is>
      </c>
      <c r="E137" t="inlineStr">
        <is>
          <t>—</t>
        </is>
      </c>
      <c r="F137" s="11" t="n">
        <v>39630.9101</v>
      </c>
      <c r="G137" s="6">
        <f>IF($F$247=0,0,F137/$F$247)</f>
        <v/>
      </c>
      <c r="H137" s="5" t="n">
        <v>424213.75</v>
      </c>
      <c r="I137" t="n">
        <v>1</v>
      </c>
      <c r="J137" t="n">
        <v>2</v>
      </c>
      <c r="K137" t="n">
        <v>3</v>
      </c>
      <c r="L137" s="5" t="n">
        <v>848427.5</v>
      </c>
    </row>
    <row r="138">
      <c r="A138" t="inlineStr">
        <is>
          <t>PIURA</t>
        </is>
      </c>
      <c r="B138" t="inlineStr">
        <is>
          <t>PIURA</t>
        </is>
      </c>
      <c r="C138" t="inlineStr">
        <is>
          <t>CATACAOS</t>
        </is>
      </c>
      <c r="D138" t="inlineStr">
        <is>
          <t>200105</t>
        </is>
      </c>
      <c r="E138" t="inlineStr">
        <is>
          <t>—</t>
        </is>
      </c>
      <c r="F138" s="11" t="n">
        <v>38733.6923</v>
      </c>
      <c r="G138" s="6">
        <f>IF($F$247=0,0,F138/$F$247)</f>
        <v/>
      </c>
      <c r="H138" s="5" t="n">
        <v>414609.83</v>
      </c>
      <c r="I138" t="n">
        <v>2</v>
      </c>
      <c r="J138" t="n">
        <v>4</v>
      </c>
      <c r="L138" s="5" t="n">
        <v>1243829.48</v>
      </c>
    </row>
    <row r="139">
      <c r="A139" t="inlineStr">
        <is>
          <t>AREQUIPA</t>
        </is>
      </c>
      <c r="B139" t="inlineStr">
        <is>
          <t>AREQUIPA</t>
        </is>
      </c>
      <c r="C139" t="inlineStr">
        <is>
          <t>ALTO SELVA ALEGRE</t>
        </is>
      </c>
      <c r="D139" t="inlineStr">
        <is>
          <t>040102</t>
        </is>
      </c>
      <c r="E139" t="inlineStr">
        <is>
          <t>—</t>
        </is>
      </c>
      <c r="F139" s="11" t="n">
        <v>37470.4345</v>
      </c>
      <c r="G139" s="6">
        <f>IF($F$247=0,0,F139/$F$247)</f>
        <v/>
      </c>
      <c r="H139" s="5" t="n">
        <v>401087.77</v>
      </c>
      <c r="I139" t="n">
        <v>5</v>
      </c>
      <c r="J139" t="n">
        <v>3</v>
      </c>
      <c r="K139" t="n">
        <v>4</v>
      </c>
      <c r="L139" s="5" t="n">
        <v>1604351.09</v>
      </c>
    </row>
    <row r="140">
      <c r="A140" t="inlineStr">
        <is>
          <t>ICA</t>
        </is>
      </c>
      <c r="B140" t="inlineStr">
        <is>
          <t>ICA</t>
        </is>
      </c>
      <c r="C140" t="inlineStr">
        <is>
          <t>PARCONA</t>
        </is>
      </c>
      <c r="D140" t="inlineStr">
        <is>
          <t>110106</t>
        </is>
      </c>
      <c r="E140" t="inlineStr">
        <is>
          <t>—</t>
        </is>
      </c>
      <c r="F140" s="11" t="n">
        <v>36475.6964</v>
      </c>
      <c r="G140" s="6">
        <f>IF($F$247=0,0,F140/$F$247)</f>
        <v/>
      </c>
      <c r="H140" s="5" t="n">
        <v>390439.98</v>
      </c>
      <c r="I140" t="n">
        <v>4</v>
      </c>
      <c r="J140" t="n">
        <v>5</v>
      </c>
      <c r="L140" s="5" t="n">
        <v>1756979.92</v>
      </c>
    </row>
    <row r="141">
      <c r="A141" t="inlineStr">
        <is>
          <t>ANCASH</t>
        </is>
      </c>
      <c r="B141" t="inlineStr">
        <is>
          <t>YUNGAY</t>
        </is>
      </c>
      <c r="C141" t="inlineStr">
        <is>
          <t>YUNGAY</t>
        </is>
      </c>
      <c r="D141" t="inlineStr">
        <is>
          <t>022001</t>
        </is>
      </c>
      <c r="E141" t="inlineStr">
        <is>
          <t>—</t>
        </is>
      </c>
      <c r="F141" s="11" t="n">
        <v>36066.9369</v>
      </c>
      <c r="G141" s="6">
        <f>IF($F$247=0,0,F141/$F$247)</f>
        <v/>
      </c>
      <c r="H141" s="5" t="n">
        <v>386064.58</v>
      </c>
      <c r="I141" t="n">
        <v>5</v>
      </c>
      <c r="J141" t="n">
        <v>3</v>
      </c>
      <c r="K141" t="n">
        <v>3</v>
      </c>
      <c r="L141" s="5" t="n">
        <v>1415570.11</v>
      </c>
    </row>
    <row r="142">
      <c r="A142" t="inlineStr">
        <is>
          <t>LIMA</t>
        </is>
      </c>
      <c r="B142" t="inlineStr">
        <is>
          <t>LIMA</t>
        </is>
      </c>
      <c r="C142" t="inlineStr">
        <is>
          <t>SURQUILLO</t>
        </is>
      </c>
      <c r="D142" t="inlineStr">
        <is>
          <t>150141</t>
        </is>
      </c>
      <c r="E142" t="inlineStr">
        <is>
          <t>—</t>
        </is>
      </c>
      <c r="F142" s="11" t="n">
        <v>35812.2604</v>
      </c>
      <c r="G142" s="6">
        <f>IF($F$247=0,0,F142/$F$247)</f>
        <v/>
      </c>
      <c r="H142" s="5" t="n">
        <v>383338.49</v>
      </c>
      <c r="I142" t="n">
        <v>1</v>
      </c>
      <c r="J142" t="n">
        <v>4</v>
      </c>
      <c r="L142" s="5" t="n">
        <v>958346.22</v>
      </c>
    </row>
    <row r="143">
      <c r="A143" t="inlineStr">
        <is>
          <t>CAJAMARCA</t>
        </is>
      </c>
      <c r="B143" t="inlineStr">
        <is>
          <t>CELENDIN</t>
        </is>
      </c>
      <c r="C143" t="inlineStr">
        <is>
          <t>CELENDIN</t>
        </is>
      </c>
      <c r="D143" t="inlineStr">
        <is>
          <t>060301</t>
        </is>
      </c>
      <c r="E143" t="inlineStr">
        <is>
          <t>—</t>
        </is>
      </c>
      <c r="F143" s="11" t="n">
        <v>35458.7901</v>
      </c>
      <c r="G143" s="6">
        <f>IF($F$247=0,0,F143/$F$247)</f>
        <v/>
      </c>
      <c r="H143" s="5" t="n">
        <v>379554.9</v>
      </c>
      <c r="I143" t="n">
        <v>5</v>
      </c>
      <c r="J143" t="n">
        <v>3</v>
      </c>
      <c r="K143" t="n">
        <v>3</v>
      </c>
      <c r="L143" s="5" t="n">
        <v>1391701.31</v>
      </c>
    </row>
    <row r="144">
      <c r="A144" t="inlineStr">
        <is>
          <t>AREQUIPA</t>
        </is>
      </c>
      <c r="B144" t="inlineStr">
        <is>
          <t>AREQUIPA</t>
        </is>
      </c>
      <c r="C144" t="inlineStr">
        <is>
          <t>CAYMA</t>
        </is>
      </c>
      <c r="D144" t="inlineStr">
        <is>
          <t>040103</t>
        </is>
      </c>
      <c r="E144" t="inlineStr">
        <is>
          <t>—</t>
        </is>
      </c>
      <c r="F144" s="11" t="n">
        <v>34618.3888</v>
      </c>
      <c r="G144" s="6">
        <f>IF($F$247=0,0,F144/$F$247)</f>
        <v/>
      </c>
      <c r="H144" s="5" t="n">
        <v>370559.15</v>
      </c>
      <c r="I144" t="n">
        <v>4</v>
      </c>
      <c r="J144" t="n">
        <v>3</v>
      </c>
      <c r="K144" t="n">
        <v>4</v>
      </c>
      <c r="L144" s="5" t="n">
        <v>1358716.89</v>
      </c>
    </row>
    <row r="145">
      <c r="A145" t="inlineStr">
        <is>
          <t>SAN MARTIN</t>
        </is>
      </c>
      <c r="B145" t="inlineStr">
        <is>
          <t>TOCACHE</t>
        </is>
      </c>
      <c r="C145" t="inlineStr">
        <is>
          <t>TOCACHE</t>
        </is>
      </c>
      <c r="D145" t="inlineStr">
        <is>
          <t>221001</t>
        </is>
      </c>
      <c r="E145" t="inlineStr">
        <is>
          <t>—</t>
        </is>
      </c>
      <c r="F145" s="11" t="n">
        <v>34281.8561</v>
      </c>
      <c r="G145" s="6">
        <f>IF($F$247=0,0,F145/$F$247)</f>
        <v/>
      </c>
      <c r="H145" s="5" t="n">
        <v>366956.87</v>
      </c>
      <c r="I145" t="n">
        <v>4</v>
      </c>
      <c r="J145" t="n">
        <v>3</v>
      </c>
      <c r="K145" t="n">
        <v>1</v>
      </c>
      <c r="L145" s="5" t="n">
        <v>978551.65</v>
      </c>
    </row>
    <row r="146">
      <c r="A146" t="inlineStr">
        <is>
          <t>JUNIN</t>
        </is>
      </c>
      <c r="B146" t="inlineStr">
        <is>
          <t>CONCEPCION</t>
        </is>
      </c>
      <c r="C146" t="inlineStr">
        <is>
          <t>CONCEPCION</t>
        </is>
      </c>
      <c r="D146" t="inlineStr">
        <is>
          <t>120201</t>
        </is>
      </c>
      <c r="E146" t="inlineStr">
        <is>
          <t>—</t>
        </is>
      </c>
      <c r="F146" s="11" t="n">
        <v>34094.7064</v>
      </c>
      <c r="G146" s="6">
        <f>IF($F$247=0,0,F146/$F$247)</f>
        <v/>
      </c>
      <c r="H146" s="5" t="n">
        <v>364953.6</v>
      </c>
      <c r="I146" t="n">
        <v>3</v>
      </c>
      <c r="J146" t="n">
        <v>4</v>
      </c>
      <c r="K146" t="n">
        <v>4</v>
      </c>
      <c r="L146" s="5" t="n">
        <v>1338163.19</v>
      </c>
    </row>
    <row r="147">
      <c r="A147" t="inlineStr">
        <is>
          <t>PASCO</t>
        </is>
      </c>
      <c r="B147" t="inlineStr">
        <is>
          <t>OXAPAMPA</t>
        </is>
      </c>
      <c r="C147" t="inlineStr">
        <is>
          <t>VILLA RICA</t>
        </is>
      </c>
      <c r="D147" t="inlineStr">
        <is>
          <t>190307</t>
        </is>
      </c>
      <c r="E147" t="inlineStr">
        <is>
          <t>—</t>
        </is>
      </c>
      <c r="F147" s="11" t="n">
        <v>33549.3158</v>
      </c>
      <c r="G147" s="6">
        <f>IF($F$247=0,0,F147/$F$247)</f>
        <v/>
      </c>
      <c r="H147" s="5" t="n">
        <v>359115.67</v>
      </c>
      <c r="I147" t="n">
        <v>3</v>
      </c>
      <c r="J147" t="n">
        <v>2</v>
      </c>
      <c r="K147" t="n">
        <v>2</v>
      </c>
      <c r="L147" s="5" t="n">
        <v>837936.5699999999</v>
      </c>
    </row>
    <row r="148">
      <c r="A148" t="inlineStr">
        <is>
          <t>AREQUIPA</t>
        </is>
      </c>
      <c r="B148" t="inlineStr">
        <is>
          <t>ISLAY</t>
        </is>
      </c>
      <c r="C148" t="inlineStr">
        <is>
          <t>COCACHACRA</t>
        </is>
      </c>
      <c r="D148" t="inlineStr">
        <is>
          <t>040702</t>
        </is>
      </c>
      <c r="E148" t="inlineStr">
        <is>
          <t>—</t>
        </is>
      </c>
      <c r="F148" s="11" t="n">
        <v>32948.1795</v>
      </c>
      <c r="G148" s="6">
        <f>IF($F$247=0,0,F148/$F$247)</f>
        <v/>
      </c>
      <c r="H148" s="5" t="n">
        <v>352681.04</v>
      </c>
      <c r="I148" t="n">
        <v>4</v>
      </c>
      <c r="J148" t="n">
        <v>4</v>
      </c>
      <c r="L148" s="5" t="n">
        <v>1410724.17</v>
      </c>
    </row>
    <row r="149">
      <c r="A149" t="inlineStr">
        <is>
          <t>PIURA</t>
        </is>
      </c>
      <c r="B149" t="inlineStr">
        <is>
          <t>MORROPON</t>
        </is>
      </c>
      <c r="C149" t="inlineStr">
        <is>
          <t>MORROPON</t>
        </is>
      </c>
      <c r="D149" t="inlineStr">
        <is>
          <t>200405</t>
        </is>
      </c>
      <c r="E149" t="inlineStr">
        <is>
          <t>—</t>
        </is>
      </c>
      <c r="F149" s="11" t="n">
        <v>32916.6037</v>
      </c>
      <c r="G149" s="6">
        <f>IF($F$247=0,0,F149/$F$247)</f>
        <v/>
      </c>
      <c r="H149" s="5" t="n">
        <v>352343.05</v>
      </c>
      <c r="I149" t="n">
        <v>4</v>
      </c>
      <c r="J149" t="n">
        <v>4</v>
      </c>
      <c r="K149" t="n">
        <v>4</v>
      </c>
      <c r="L149" s="5" t="n">
        <v>1409372.21</v>
      </c>
    </row>
    <row r="150">
      <c r="A150" t="inlineStr">
        <is>
          <t>LIMA</t>
        </is>
      </c>
      <c r="B150" t="inlineStr">
        <is>
          <t>HUARAL</t>
        </is>
      </c>
      <c r="C150" t="inlineStr">
        <is>
          <t>CHANCAY</t>
        </is>
      </c>
      <c r="D150" t="inlineStr">
        <is>
          <t>150605</t>
        </is>
      </c>
      <c r="E150" t="inlineStr">
        <is>
          <t>—</t>
        </is>
      </c>
      <c r="F150" s="11" t="n">
        <v>32153.6274</v>
      </c>
      <c r="G150" s="6">
        <f>IF($F$247=0,0,F150/$F$247)</f>
        <v/>
      </c>
      <c r="H150" s="5" t="n">
        <v>344176.07</v>
      </c>
      <c r="I150" t="n">
        <v>3</v>
      </c>
      <c r="J150" t="n">
        <v>4</v>
      </c>
      <c r="L150" s="5" t="n">
        <v>1204616.24</v>
      </c>
    </row>
    <row r="151">
      <c r="A151" t="inlineStr">
        <is>
          <t>CUSCO</t>
        </is>
      </c>
      <c r="B151" t="inlineStr">
        <is>
          <t>ANTA</t>
        </is>
      </c>
      <c r="C151" t="inlineStr">
        <is>
          <t>ANTA</t>
        </is>
      </c>
      <c r="D151" t="inlineStr">
        <is>
          <t>080301</t>
        </is>
      </c>
      <c r="E151" t="inlineStr">
        <is>
          <t>—</t>
        </is>
      </c>
      <c r="F151" s="11" t="n">
        <v>31600.5783</v>
      </c>
      <c r="G151" s="6">
        <f>IF($F$247=0,0,F151/$F$247)</f>
        <v/>
      </c>
      <c r="H151" s="5" t="n">
        <v>338256.17</v>
      </c>
      <c r="I151" t="n">
        <v>4</v>
      </c>
      <c r="J151" t="n">
        <v>2</v>
      </c>
      <c r="K151" t="n">
        <v>3</v>
      </c>
      <c r="L151" s="5" t="n">
        <v>1014768.5</v>
      </c>
    </row>
    <row r="152">
      <c r="A152" t="inlineStr">
        <is>
          <t>CAJAMARCA</t>
        </is>
      </c>
      <c r="B152" t="inlineStr">
        <is>
          <t>SAN IGNACIO</t>
        </is>
      </c>
      <c r="C152" t="inlineStr">
        <is>
          <t>SAN IGNACIO</t>
        </is>
      </c>
      <c r="D152" t="inlineStr">
        <is>
          <t>060901</t>
        </is>
      </c>
      <c r="E152" t="inlineStr">
        <is>
          <t>—</t>
        </is>
      </c>
      <c r="F152" s="11" t="n">
        <v>30965.4238</v>
      </c>
      <c r="G152" s="6">
        <f>IF($F$247=0,0,F152/$F$247)</f>
        <v/>
      </c>
      <c r="H152" s="5" t="n">
        <v>331457.4</v>
      </c>
      <c r="I152" t="n">
        <v>4</v>
      </c>
      <c r="J152" t="n">
        <v>2</v>
      </c>
      <c r="K152" t="n">
        <v>2</v>
      </c>
      <c r="L152" s="5" t="n">
        <v>883886.41</v>
      </c>
    </row>
    <row r="153">
      <c r="A153" t="inlineStr">
        <is>
          <t>LIMA</t>
        </is>
      </c>
      <c r="B153" t="inlineStr">
        <is>
          <t>LIMA</t>
        </is>
      </c>
      <c r="C153" t="inlineStr">
        <is>
          <t>ANCON</t>
        </is>
      </c>
      <c r="D153" t="inlineStr">
        <is>
          <t>150102</t>
        </is>
      </c>
      <c r="E153" t="inlineStr">
        <is>
          <t>—</t>
        </is>
      </c>
      <c r="F153" s="11" t="n">
        <v>30932.4893</v>
      </c>
      <c r="G153" s="6">
        <f>IF($F$247=0,0,F153/$F$247)</f>
        <v/>
      </c>
      <c r="H153" s="5" t="n">
        <v>331104.87</v>
      </c>
      <c r="I153" t="n">
        <v>4</v>
      </c>
      <c r="J153" t="n">
        <v>2</v>
      </c>
      <c r="L153" s="5" t="n">
        <v>993314.6</v>
      </c>
    </row>
    <row r="154">
      <c r="A154" t="inlineStr">
        <is>
          <t>LIMA</t>
        </is>
      </c>
      <c r="B154" t="inlineStr">
        <is>
          <t>CAÑETE</t>
        </is>
      </c>
      <c r="C154" t="inlineStr">
        <is>
          <t>CHILCA</t>
        </is>
      </c>
      <c r="D154" t="inlineStr">
        <is>
          <t>150505</t>
        </is>
      </c>
      <c r="E154" t="inlineStr">
        <is>
          <t>—</t>
        </is>
      </c>
      <c r="F154" s="11" t="n">
        <v>30186.2058</v>
      </c>
      <c r="G154" s="6">
        <f>IF($F$247=0,0,F154/$F$247)</f>
        <v/>
      </c>
      <c r="H154" s="5" t="n">
        <v>323116.56</v>
      </c>
      <c r="I154" t="n">
        <v>4</v>
      </c>
      <c r="J154" t="n">
        <v>3</v>
      </c>
      <c r="L154" s="5" t="n">
        <v>1130907.97</v>
      </c>
    </row>
    <row r="155">
      <c r="A155" t="inlineStr">
        <is>
          <t>LAMBAYEQUE</t>
        </is>
      </c>
      <c r="B155" t="inlineStr">
        <is>
          <t>CHICLAYO</t>
        </is>
      </c>
      <c r="C155" t="inlineStr">
        <is>
          <t>CAYALTI</t>
        </is>
      </c>
      <c r="D155" t="inlineStr">
        <is>
          <t>140116</t>
        </is>
      </c>
      <c r="E155" t="inlineStr">
        <is>
          <t>—</t>
        </is>
      </c>
      <c r="F155" s="11" t="n">
        <v>28806.346</v>
      </c>
      <c r="G155" s="6">
        <f>IF($F$247=0,0,F155/$F$247)</f>
        <v/>
      </c>
      <c r="H155" s="5" t="n">
        <v>308346.39</v>
      </c>
      <c r="I155" t="n">
        <v>2</v>
      </c>
      <c r="J155" t="n">
        <v>4</v>
      </c>
      <c r="L155" s="5" t="n">
        <v>925039.16</v>
      </c>
    </row>
    <row r="156">
      <c r="A156" t="inlineStr">
        <is>
          <t>ICA</t>
        </is>
      </c>
      <c r="B156" t="inlineStr">
        <is>
          <t>NAZCA</t>
        </is>
      </c>
      <c r="C156" t="inlineStr">
        <is>
          <t>MARCONA</t>
        </is>
      </c>
      <c r="D156" t="inlineStr">
        <is>
          <t>110304</t>
        </is>
      </c>
      <c r="E156" t="inlineStr">
        <is>
          <t>—</t>
        </is>
      </c>
      <c r="F156" s="11" t="n">
        <v>28237.2936</v>
      </c>
      <c r="G156" s="6">
        <f>IF($F$247=0,0,F156/$F$247)</f>
        <v/>
      </c>
      <c r="H156" s="5" t="n">
        <v>302255.19</v>
      </c>
      <c r="I156" t="n">
        <v>3</v>
      </c>
      <c r="J156" t="n">
        <v>4</v>
      </c>
      <c r="L156" s="5" t="n">
        <v>1057893.16</v>
      </c>
    </row>
    <row r="157">
      <c r="A157" t="inlineStr">
        <is>
          <t>PUNO</t>
        </is>
      </c>
      <c r="B157" t="inlineStr">
        <is>
          <t>CHUCUITO</t>
        </is>
      </c>
      <c r="C157" t="inlineStr">
        <is>
          <t>DESAGUADERO</t>
        </is>
      </c>
      <c r="D157" t="inlineStr">
        <is>
          <t>210402</t>
        </is>
      </c>
      <c r="E157" t="inlineStr">
        <is>
          <t>—</t>
        </is>
      </c>
      <c r="F157" s="11" t="n">
        <v>27745.7981</v>
      </c>
      <c r="G157" s="6">
        <f>IF($F$247=0,0,F157/$F$247)</f>
        <v/>
      </c>
      <c r="H157" s="5" t="n">
        <v>296994.16</v>
      </c>
      <c r="I157" t="n">
        <v>1</v>
      </c>
      <c r="J157" t="n">
        <v>1</v>
      </c>
      <c r="K157" t="n">
        <v>4</v>
      </c>
      <c r="L157" s="5" t="n">
        <v>593988.33</v>
      </c>
    </row>
    <row r="158">
      <c r="A158" t="inlineStr">
        <is>
          <t>PUNO</t>
        </is>
      </c>
      <c r="B158" t="inlineStr">
        <is>
          <t>CARABAYA</t>
        </is>
      </c>
      <c r="C158" t="inlineStr">
        <is>
          <t>MACUSANI</t>
        </is>
      </c>
      <c r="D158" t="inlineStr">
        <is>
          <t>210301</t>
        </is>
      </c>
      <c r="E158" t="inlineStr">
        <is>
          <t>—</t>
        </is>
      </c>
      <c r="F158" s="11" t="n">
        <v>27538.7515</v>
      </c>
      <c r="G158" s="6">
        <f>IF($F$247=0,0,F158/$F$247)</f>
        <v/>
      </c>
      <c r="H158" s="5" t="n">
        <v>294777.91</v>
      </c>
      <c r="I158" t="n">
        <v>4</v>
      </c>
      <c r="J158" t="n">
        <v>2</v>
      </c>
      <c r="K158" t="n">
        <v>2</v>
      </c>
      <c r="L158" s="5" t="n">
        <v>786074.4399999999</v>
      </c>
    </row>
    <row r="159">
      <c r="A159" t="inlineStr">
        <is>
          <t>LIMA</t>
        </is>
      </c>
      <c r="B159" t="inlineStr">
        <is>
          <t>CAÑETE</t>
        </is>
      </c>
      <c r="C159" t="inlineStr">
        <is>
          <t>MALA</t>
        </is>
      </c>
      <c r="D159" t="inlineStr">
        <is>
          <t>150509</t>
        </is>
      </c>
      <c r="E159" t="inlineStr">
        <is>
          <t>—</t>
        </is>
      </c>
      <c r="F159" s="11" t="n">
        <v>26467.0451</v>
      </c>
      <c r="G159" s="6">
        <f>IF($F$247=0,0,F159/$F$247)</f>
        <v/>
      </c>
      <c r="H159" s="5" t="n">
        <v>283306.25</v>
      </c>
      <c r="I159" t="n">
        <v>3</v>
      </c>
      <c r="J159" t="n">
        <v>3</v>
      </c>
      <c r="L159" s="5" t="n">
        <v>849918.74</v>
      </c>
    </row>
    <row r="160">
      <c r="A160" t="inlineStr">
        <is>
          <t>ANCASH</t>
        </is>
      </c>
      <c r="B160" t="inlineStr">
        <is>
          <t>HUARI</t>
        </is>
      </c>
      <c r="C160" t="inlineStr">
        <is>
          <t>HUARI</t>
        </is>
      </c>
      <c r="D160" t="inlineStr">
        <is>
          <t>021001</t>
        </is>
      </c>
      <c r="E160" t="inlineStr">
        <is>
          <t>—</t>
        </is>
      </c>
      <c r="F160" s="11" t="n">
        <v>26450.3218</v>
      </c>
      <c r="G160" s="6">
        <f>IF($F$247=0,0,F160/$F$247)</f>
        <v/>
      </c>
      <c r="H160" s="5" t="n">
        <v>283127.24</v>
      </c>
      <c r="I160" t="n">
        <v>5</v>
      </c>
      <c r="J160" t="n">
        <v>3</v>
      </c>
      <c r="K160" t="n">
        <v>3</v>
      </c>
      <c r="L160" s="5" t="n">
        <v>1038133.21</v>
      </c>
    </row>
    <row r="161">
      <c r="A161" t="inlineStr">
        <is>
          <t>PASCO</t>
        </is>
      </c>
      <c r="B161" t="inlineStr">
        <is>
          <t>PASCO</t>
        </is>
      </c>
      <c r="C161" t="inlineStr">
        <is>
          <t>YANACANCHA</t>
        </is>
      </c>
      <c r="D161" t="inlineStr">
        <is>
          <t>190113</t>
        </is>
      </c>
      <c r="E161" t="inlineStr">
        <is>
          <t>—</t>
        </is>
      </c>
      <c r="F161" s="11" t="n">
        <v>26124.2493</v>
      </c>
      <c r="G161" s="6">
        <f>IF($F$247=0,0,F161/$F$247)</f>
        <v/>
      </c>
      <c r="H161" s="5" t="n">
        <v>279636.92</v>
      </c>
      <c r="I161" t="n">
        <v>4</v>
      </c>
      <c r="J161" t="n">
        <v>2</v>
      </c>
      <c r="K161" t="n">
        <v>3</v>
      </c>
      <c r="L161" s="5" t="n">
        <v>838910.76</v>
      </c>
    </row>
    <row r="162">
      <c r="A162" t="inlineStr">
        <is>
          <t>HUANCAVELICA</t>
        </is>
      </c>
      <c r="B162" t="inlineStr">
        <is>
          <t>TAYACAJA</t>
        </is>
      </c>
      <c r="C162" t="inlineStr">
        <is>
          <t>PAMPAS</t>
        </is>
      </c>
      <c r="D162" t="inlineStr">
        <is>
          <t>090701</t>
        </is>
      </c>
      <c r="E162" t="inlineStr">
        <is>
          <t>—</t>
        </is>
      </c>
      <c r="F162" s="11" t="n">
        <v>25844.6485</v>
      </c>
      <c r="G162" s="6">
        <f>IF($F$247=0,0,F162/$F$247)</f>
        <v/>
      </c>
      <c r="H162" s="5" t="n">
        <v>276644.04</v>
      </c>
      <c r="I162" t="n">
        <v>4</v>
      </c>
      <c r="J162" t="n">
        <v>1</v>
      </c>
      <c r="K162" t="n">
        <v>4</v>
      </c>
      <c r="L162" s="5" t="n">
        <v>829932.13</v>
      </c>
    </row>
    <row r="163">
      <c r="A163" t="inlineStr">
        <is>
          <t>HUANUCO</t>
        </is>
      </c>
      <c r="B163" t="inlineStr">
        <is>
          <t>PACHITEA</t>
        </is>
      </c>
      <c r="C163" t="inlineStr">
        <is>
          <t>PANAO</t>
        </is>
      </c>
      <c r="D163" t="inlineStr">
        <is>
          <t>100801</t>
        </is>
      </c>
      <c r="E163" t="inlineStr">
        <is>
          <t>—</t>
        </is>
      </c>
      <c r="F163" s="11" t="n">
        <v>25409.4918</v>
      </c>
      <c r="G163" s="6">
        <f>IF($F$247=0,0,F163/$F$247)</f>
        <v/>
      </c>
      <c r="H163" s="5" t="n">
        <v>271986.08</v>
      </c>
      <c r="I163" t="n">
        <v>4</v>
      </c>
      <c r="J163" t="n">
        <v>2</v>
      </c>
      <c r="K163" t="n">
        <v>3</v>
      </c>
      <c r="L163" s="5" t="n">
        <v>815958.23</v>
      </c>
    </row>
    <row r="164">
      <c r="A164" t="inlineStr">
        <is>
          <t>PIURA</t>
        </is>
      </c>
      <c r="B164" t="inlineStr">
        <is>
          <t>PIURA</t>
        </is>
      </c>
      <c r="C164" t="inlineStr">
        <is>
          <t>LAS LOMAS</t>
        </is>
      </c>
      <c r="D164" t="inlineStr">
        <is>
          <t>200111</t>
        </is>
      </c>
      <c r="E164" t="inlineStr">
        <is>
          <t>—</t>
        </is>
      </c>
      <c r="F164" s="11" t="n">
        <v>25122.4777</v>
      </c>
      <c r="G164" s="6">
        <f>IF($F$247=0,0,F164/$F$247)</f>
        <v/>
      </c>
      <c r="H164" s="5" t="n">
        <v>268913.85</v>
      </c>
      <c r="I164" t="n">
        <v>4</v>
      </c>
      <c r="J164" t="n">
        <v>3</v>
      </c>
      <c r="K164" t="n">
        <v>4</v>
      </c>
      <c r="L164" s="5" t="n">
        <v>986017.4300000001</v>
      </c>
    </row>
    <row r="165">
      <c r="A165" t="inlineStr">
        <is>
          <t>LAMBAYEQUE</t>
        </is>
      </c>
      <c r="B165" t="inlineStr">
        <is>
          <t>CHICLAYO</t>
        </is>
      </c>
      <c r="C165" t="inlineStr">
        <is>
          <t>PIMENTEL</t>
        </is>
      </c>
      <c r="D165" t="inlineStr">
        <is>
          <t>140112</t>
        </is>
      </c>
      <c r="E165" t="inlineStr">
        <is>
          <t>—</t>
        </is>
      </c>
      <c r="F165" s="11" t="n">
        <v>25096.1729</v>
      </c>
      <c r="G165" s="6">
        <f>IF($F$247=0,0,F165/$F$247)</f>
        <v/>
      </c>
      <c r="H165" s="5" t="n">
        <v>268632.28</v>
      </c>
      <c r="I165" t="n">
        <v>1</v>
      </c>
      <c r="J165" t="n">
        <v>4</v>
      </c>
      <c r="L165" s="5" t="n">
        <v>671580.6899999999</v>
      </c>
    </row>
    <row r="166">
      <c r="A166" t="inlineStr">
        <is>
          <t>CUSCO</t>
        </is>
      </c>
      <c r="B166" t="inlineStr">
        <is>
          <t>QUISPICANCHI</t>
        </is>
      </c>
      <c r="C166" t="inlineStr">
        <is>
          <t>URCOS</t>
        </is>
      </c>
      <c r="D166" t="inlineStr">
        <is>
          <t>081201</t>
        </is>
      </c>
      <c r="E166" t="inlineStr">
        <is>
          <t>—</t>
        </is>
      </c>
      <c r="F166" s="11" t="n">
        <v>24750.8889</v>
      </c>
      <c r="G166" s="6">
        <f>IF($F$247=0,0,F166/$F$247)</f>
        <v/>
      </c>
      <c r="H166" s="5" t="n">
        <v>264936.32</v>
      </c>
      <c r="I166" t="n">
        <v>4</v>
      </c>
      <c r="J166" t="n">
        <v>3</v>
      </c>
      <c r="K166" t="n">
        <v>4</v>
      </c>
      <c r="L166" s="5" t="n">
        <v>971433.16</v>
      </c>
    </row>
    <row r="167">
      <c r="A167" t="inlineStr">
        <is>
          <t>PUNO</t>
        </is>
      </c>
      <c r="B167" t="inlineStr">
        <is>
          <t>MELGAR</t>
        </is>
      </c>
      <c r="C167" t="inlineStr">
        <is>
          <t>AYAVIRI</t>
        </is>
      </c>
      <c r="D167" t="inlineStr">
        <is>
          <t>210801</t>
        </is>
      </c>
      <c r="E167" t="inlineStr">
        <is>
          <t>—</t>
        </is>
      </c>
      <c r="F167" s="11" t="n">
        <v>24417.8864</v>
      </c>
      <c r="G167" s="6">
        <f>IF($F$247=0,0,F167/$F$247)</f>
        <v/>
      </c>
      <c r="H167" s="5" t="n">
        <v>261371.82</v>
      </c>
      <c r="I167" t="n">
        <v>4</v>
      </c>
      <c r="J167" t="n">
        <v>3</v>
      </c>
      <c r="K167" t="n">
        <v>3</v>
      </c>
      <c r="L167" s="5" t="n">
        <v>871239.4</v>
      </c>
    </row>
    <row r="168">
      <c r="A168" t="inlineStr">
        <is>
          <t>PIURA</t>
        </is>
      </c>
      <c r="B168" t="inlineStr">
        <is>
          <t>HUANCABAMBA</t>
        </is>
      </c>
      <c r="C168" t="inlineStr">
        <is>
          <t>HUANCABAMBA</t>
        </is>
      </c>
      <c r="D168" t="inlineStr">
        <is>
          <t>200301</t>
        </is>
      </c>
      <c r="E168" t="inlineStr">
        <is>
          <t>—</t>
        </is>
      </c>
      <c r="F168" s="11" t="n">
        <v>22746.3313</v>
      </c>
      <c r="G168" s="6">
        <f>IF($F$247=0,0,F168/$F$247)</f>
        <v/>
      </c>
      <c r="H168" s="5" t="n">
        <v>243479.31</v>
      </c>
      <c r="I168" t="n">
        <v>5</v>
      </c>
      <c r="J168" t="n">
        <v>2</v>
      </c>
      <c r="K168" t="n">
        <v>4</v>
      </c>
      <c r="L168" s="5" t="n">
        <v>892757.45</v>
      </c>
    </row>
    <row r="169">
      <c r="A169" t="inlineStr">
        <is>
          <t>AREQUIPA</t>
        </is>
      </c>
      <c r="B169" t="inlineStr">
        <is>
          <t>AREQUIPA</t>
        </is>
      </c>
      <c r="C169" t="inlineStr">
        <is>
          <t>YURA</t>
        </is>
      </c>
      <c r="D169" t="inlineStr">
        <is>
          <t>040128</t>
        </is>
      </c>
      <c r="E169" t="inlineStr">
        <is>
          <t>—</t>
        </is>
      </c>
      <c r="F169" s="11" t="n">
        <v>22679.3064</v>
      </c>
      <c r="G169" s="6">
        <f>IF($F$247=0,0,F169/$F$247)</f>
        <v/>
      </c>
      <c r="H169" s="5" t="n">
        <v>242761.86</v>
      </c>
      <c r="I169" t="n">
        <v>5</v>
      </c>
      <c r="J169" t="n">
        <v>3</v>
      </c>
      <c r="K169" t="n">
        <v>4</v>
      </c>
      <c r="L169" s="5" t="n">
        <v>971047.45</v>
      </c>
    </row>
    <row r="170">
      <c r="A170" t="inlineStr">
        <is>
          <t>PUNO</t>
        </is>
      </c>
      <c r="B170" t="inlineStr">
        <is>
          <t>CHUCUITO</t>
        </is>
      </c>
      <c r="C170" t="inlineStr">
        <is>
          <t>JULI</t>
        </is>
      </c>
      <c r="D170" t="inlineStr">
        <is>
          <t>210401</t>
        </is>
      </c>
      <c r="E170" t="inlineStr">
        <is>
          <t>—</t>
        </is>
      </c>
      <c r="F170" s="11" t="n">
        <v>22581.9027</v>
      </c>
      <c r="G170" s="6">
        <f>IF($F$247=0,0,F170/$F$247)</f>
        <v/>
      </c>
      <c r="H170" s="5" t="n">
        <v>241719.24</v>
      </c>
      <c r="I170" t="n">
        <v>3</v>
      </c>
      <c r="J170" t="n">
        <v>2</v>
      </c>
      <c r="K170" t="n">
        <v>3</v>
      </c>
      <c r="L170" s="5" t="n">
        <v>644584.65</v>
      </c>
    </row>
    <row r="171">
      <c r="A171" t="inlineStr">
        <is>
          <t>HUANUCO</t>
        </is>
      </c>
      <c r="B171" t="inlineStr">
        <is>
          <t>LEONCIO PRADO</t>
        </is>
      </c>
      <c r="C171" t="inlineStr">
        <is>
          <t>JOSE CRESPO Y CASTILLO</t>
        </is>
      </c>
      <c r="D171" t="inlineStr">
        <is>
          <t>100604</t>
        </is>
      </c>
      <c r="E171" t="inlineStr">
        <is>
          <t>—</t>
        </is>
      </c>
      <c r="F171" s="11" t="n">
        <v>22367.5066</v>
      </c>
      <c r="G171" s="6">
        <f>IF($F$247=0,0,F171/$F$247)</f>
        <v/>
      </c>
      <c r="H171" s="5" t="n">
        <v>239424.32</v>
      </c>
      <c r="I171" t="n">
        <v>4</v>
      </c>
      <c r="J171" t="n">
        <v>4</v>
      </c>
      <c r="K171" t="n">
        <v>2</v>
      </c>
      <c r="L171" s="5" t="n">
        <v>798081.08</v>
      </c>
    </row>
    <row r="172">
      <c r="A172" t="inlineStr">
        <is>
          <t>CUSCO</t>
        </is>
      </c>
      <c r="B172" t="inlineStr">
        <is>
          <t>CANCHIS</t>
        </is>
      </c>
      <c r="C172" t="inlineStr">
        <is>
          <t>COMBAPATA</t>
        </is>
      </c>
      <c r="D172" t="inlineStr">
        <is>
          <t>080603</t>
        </is>
      </c>
      <c r="E172" t="inlineStr">
        <is>
          <t>—</t>
        </is>
      </c>
      <c r="F172" s="11" t="n">
        <v>22142.5426</v>
      </c>
      <c r="G172" s="6">
        <f>IF($F$247=0,0,F172/$F$247)</f>
        <v/>
      </c>
      <c r="H172" s="5" t="n">
        <v>237016.28</v>
      </c>
      <c r="I172" t="n">
        <v>4</v>
      </c>
      <c r="J172" t="n">
        <v>3</v>
      </c>
      <c r="K172" t="n">
        <v>3</v>
      </c>
      <c r="L172" s="5" t="n">
        <v>790054.28</v>
      </c>
    </row>
    <row r="173">
      <c r="A173" t="inlineStr">
        <is>
          <t>CUSCO</t>
        </is>
      </c>
      <c r="B173" t="inlineStr">
        <is>
          <t>ESPINAR</t>
        </is>
      </c>
      <c r="C173" t="inlineStr">
        <is>
          <t>ESPINAR</t>
        </is>
      </c>
      <c r="D173" t="inlineStr">
        <is>
          <t>080801</t>
        </is>
      </c>
      <c r="E173" t="inlineStr">
        <is>
          <t>—</t>
        </is>
      </c>
      <c r="F173" s="11" t="n">
        <v>21488.4514</v>
      </c>
      <c r="G173" s="6">
        <f>IF($F$247=0,0,F173/$F$247)</f>
        <v/>
      </c>
      <c r="H173" s="5" t="n">
        <v>230014.82</v>
      </c>
      <c r="I173" t="n">
        <v>3</v>
      </c>
      <c r="J173" t="n">
        <v>3</v>
      </c>
      <c r="K173" t="n">
        <v>3</v>
      </c>
      <c r="L173" s="5" t="n">
        <v>690044.45</v>
      </c>
    </row>
    <row r="174">
      <c r="A174" t="inlineStr">
        <is>
          <t>PUNO</t>
        </is>
      </c>
      <c r="B174" t="inlineStr">
        <is>
          <t>PUNO</t>
        </is>
      </c>
      <c r="C174" t="inlineStr">
        <is>
          <t>MAÑAZO</t>
        </is>
      </c>
      <c r="D174" t="inlineStr">
        <is>
          <t>210109</t>
        </is>
      </c>
      <c r="E174" t="inlineStr">
        <is>
          <t>—</t>
        </is>
      </c>
      <c r="F174" s="11" t="n">
        <v>20966.2941</v>
      </c>
      <c r="G174" s="6">
        <f>IF($F$247=0,0,F174/$F$247)</f>
        <v/>
      </c>
      <c r="H174" s="5" t="n">
        <v>224425.59</v>
      </c>
      <c r="I174" t="n">
        <v>4</v>
      </c>
      <c r="J174" t="n">
        <v>3</v>
      </c>
      <c r="K174" t="n">
        <v>3</v>
      </c>
      <c r="L174" s="5" t="n">
        <v>748085.29</v>
      </c>
    </row>
    <row r="175">
      <c r="A175" t="inlineStr">
        <is>
          <t>HUANUCO</t>
        </is>
      </c>
      <c r="B175" t="inlineStr">
        <is>
          <t>DOS DE MAYO</t>
        </is>
      </c>
      <c r="C175" t="inlineStr">
        <is>
          <t>LA UNION</t>
        </is>
      </c>
      <c r="D175" t="inlineStr">
        <is>
          <t>100301</t>
        </is>
      </c>
      <c r="E175" t="inlineStr">
        <is>
          <t>—</t>
        </is>
      </c>
      <c r="F175" s="11" t="n">
        <v>20812.4862</v>
      </c>
      <c r="G175" s="6">
        <f>IF($F$247=0,0,F175/$F$247)</f>
        <v/>
      </c>
      <c r="H175" s="5" t="n">
        <v>222779.21</v>
      </c>
      <c r="I175" t="n">
        <v>4</v>
      </c>
      <c r="J175" t="n">
        <v>3</v>
      </c>
      <c r="K175" t="n">
        <v>3</v>
      </c>
      <c r="L175" s="5" t="n">
        <v>742597.36</v>
      </c>
    </row>
    <row r="176">
      <c r="A176" t="inlineStr">
        <is>
          <t>ANCASH</t>
        </is>
      </c>
      <c r="B176" t="inlineStr">
        <is>
          <t>SANTA</t>
        </is>
      </c>
      <c r="C176" t="inlineStr">
        <is>
          <t>NEPEÑA</t>
        </is>
      </c>
      <c r="D176" t="inlineStr">
        <is>
          <t>021806</t>
        </is>
      </c>
      <c r="E176" t="inlineStr">
        <is>
          <t>—</t>
        </is>
      </c>
      <c r="F176" s="11" t="n">
        <v>20483.601</v>
      </c>
      <c r="G176" s="6">
        <f>IF($F$247=0,0,F176/$F$247)</f>
        <v/>
      </c>
      <c r="H176" s="5" t="n">
        <v>219258.78</v>
      </c>
      <c r="I176" t="n">
        <v>2</v>
      </c>
      <c r="J176" t="n">
        <v>4</v>
      </c>
      <c r="L176" s="5" t="n">
        <v>657776.35</v>
      </c>
    </row>
    <row r="177">
      <c r="A177" t="inlineStr">
        <is>
          <t>PIURA</t>
        </is>
      </c>
      <c r="B177" t="inlineStr">
        <is>
          <t>TALARA</t>
        </is>
      </c>
      <c r="C177" t="inlineStr">
        <is>
          <t>LOS ORGANOS</t>
        </is>
      </c>
      <c r="D177" t="inlineStr">
        <is>
          <t>200705</t>
        </is>
      </c>
      <c r="E177" t="inlineStr">
        <is>
          <t>—</t>
        </is>
      </c>
      <c r="F177" s="11" t="n">
        <v>20116.0395</v>
      </c>
      <c r="G177" s="6">
        <f>IF($F$247=0,0,F177/$F$247)</f>
        <v/>
      </c>
      <c r="H177" s="5" t="n">
        <v>215324.36</v>
      </c>
      <c r="I177" t="n">
        <v>3</v>
      </c>
      <c r="J177" t="n">
        <v>3</v>
      </c>
      <c r="L177" s="5" t="n">
        <v>645973.09</v>
      </c>
    </row>
    <row r="178">
      <c r="A178" t="inlineStr">
        <is>
          <t>PUNO</t>
        </is>
      </c>
      <c r="B178" t="inlineStr">
        <is>
          <t>HUANCANE</t>
        </is>
      </c>
      <c r="C178" t="inlineStr">
        <is>
          <t>HUANCANE</t>
        </is>
      </c>
      <c r="D178" t="inlineStr">
        <is>
          <t>210601</t>
        </is>
      </c>
      <c r="E178" t="inlineStr">
        <is>
          <t>—</t>
        </is>
      </c>
      <c r="F178" s="11" t="n">
        <v>19985.6522</v>
      </c>
      <c r="G178" s="6">
        <f>IF($F$247=0,0,F178/$F$247)</f>
        <v/>
      </c>
      <c r="H178" s="5" t="n">
        <v>213928.68</v>
      </c>
      <c r="I178" t="n">
        <v>3</v>
      </c>
      <c r="J178" t="n">
        <v>3</v>
      </c>
      <c r="K178" t="n">
        <v>4</v>
      </c>
      <c r="L178" s="5" t="n">
        <v>713095.61</v>
      </c>
    </row>
    <row r="179">
      <c r="A179" t="inlineStr">
        <is>
          <t>AMAZONAS</t>
        </is>
      </c>
      <c r="B179" t="inlineStr">
        <is>
          <t>BONGARA</t>
        </is>
      </c>
      <c r="C179" t="inlineStr">
        <is>
          <t>JAZAN</t>
        </is>
      </c>
      <c r="D179" t="inlineStr">
        <is>
          <t>010307</t>
        </is>
      </c>
      <c r="E179" t="inlineStr">
        <is>
          <t>—</t>
        </is>
      </c>
      <c r="F179" s="11" t="n">
        <v>19781.5452</v>
      </c>
      <c r="G179" s="6">
        <f>IF($F$247=0,0,F179/$F$247)</f>
        <v/>
      </c>
      <c r="H179" s="5" t="n">
        <v>211743.9</v>
      </c>
      <c r="I179" t="n">
        <v>5</v>
      </c>
      <c r="J179" t="n">
        <v>2</v>
      </c>
      <c r="K179" t="n">
        <v>3</v>
      </c>
      <c r="L179" s="5" t="n">
        <v>705813</v>
      </c>
    </row>
    <row r="180">
      <c r="A180" t="inlineStr">
        <is>
          <t>LIMA</t>
        </is>
      </c>
      <c r="B180" t="inlineStr">
        <is>
          <t>LIMA</t>
        </is>
      </c>
      <c r="C180" t="inlineStr">
        <is>
          <t>MAGDALENA DEL MAR</t>
        </is>
      </c>
      <c r="D180" t="inlineStr">
        <is>
          <t>150120</t>
        </is>
      </c>
      <c r="E180" t="inlineStr">
        <is>
          <t>—</t>
        </is>
      </c>
      <c r="F180" s="11" t="n">
        <v>18902.3407</v>
      </c>
      <c r="G180" s="6">
        <f>IF($F$247=0,0,F180/$F$247)</f>
        <v/>
      </c>
      <c r="H180" s="5" t="n">
        <v>202332.79</v>
      </c>
      <c r="I180" t="n">
        <v>2</v>
      </c>
      <c r="J180" t="n">
        <v>4</v>
      </c>
      <c r="L180" s="5" t="n">
        <v>606998.38</v>
      </c>
    </row>
    <row r="181">
      <c r="A181" t="inlineStr">
        <is>
          <t>PIURA</t>
        </is>
      </c>
      <c r="B181" t="inlineStr">
        <is>
          <t>AYABACA</t>
        </is>
      </c>
      <c r="C181" t="inlineStr">
        <is>
          <t>AYABACA</t>
        </is>
      </c>
      <c r="D181" t="inlineStr">
        <is>
          <t>200201</t>
        </is>
      </c>
      <c r="E181" t="inlineStr">
        <is>
          <t>—</t>
        </is>
      </c>
      <c r="F181" s="11" t="n">
        <v>18867.6802</v>
      </c>
      <c r="G181" s="6">
        <f>IF($F$247=0,0,F181/$F$247)</f>
        <v/>
      </c>
      <c r="H181" s="5" t="n">
        <v>201961.78</v>
      </c>
      <c r="I181" t="n">
        <v>5</v>
      </c>
      <c r="J181" t="n">
        <v>1</v>
      </c>
      <c r="K181" t="n">
        <v>3</v>
      </c>
      <c r="L181" s="5" t="n">
        <v>605885.35</v>
      </c>
    </row>
    <row r="182">
      <c r="A182" t="inlineStr">
        <is>
          <t>ANCASH</t>
        </is>
      </c>
      <c r="B182" t="inlineStr">
        <is>
          <t>HUARMEY</t>
        </is>
      </c>
      <c r="C182" t="inlineStr">
        <is>
          <t>HUARMEY</t>
        </is>
      </c>
      <c r="D182" t="inlineStr">
        <is>
          <t>021101</t>
        </is>
      </c>
      <c r="E182" t="inlineStr">
        <is>
          <t>—</t>
        </is>
      </c>
      <c r="F182" s="11" t="n">
        <v>18636.8081</v>
      </c>
      <c r="G182" s="6">
        <f>IF($F$247=0,0,F182/$F$247)</f>
        <v/>
      </c>
      <c r="H182" s="5" t="n">
        <v>199490.5</v>
      </c>
      <c r="I182" t="n">
        <v>3</v>
      </c>
      <c r="J182" t="n">
        <v>4</v>
      </c>
      <c r="L182" s="5" t="n">
        <v>698216.76</v>
      </c>
    </row>
    <row r="183">
      <c r="A183" t="inlineStr">
        <is>
          <t>CUSCO</t>
        </is>
      </c>
      <c r="B183" t="inlineStr">
        <is>
          <t>CHUMBIVILCAS</t>
        </is>
      </c>
      <c r="C183" t="inlineStr">
        <is>
          <t>SANTO TOMAS</t>
        </is>
      </c>
      <c r="D183" t="inlineStr">
        <is>
          <t>080701</t>
        </is>
      </c>
      <c r="E183" t="inlineStr">
        <is>
          <t>—</t>
        </is>
      </c>
      <c r="F183" s="11" t="n">
        <v>18571.2989</v>
      </c>
      <c r="G183" s="6">
        <f>IF($F$247=0,0,F183/$F$247)</f>
        <v/>
      </c>
      <c r="H183" s="5" t="n">
        <v>198789.29</v>
      </c>
      <c r="I183" t="n">
        <v>4</v>
      </c>
      <c r="J183" t="n">
        <v>3</v>
      </c>
      <c r="K183" t="n">
        <v>3</v>
      </c>
      <c r="L183" s="5" t="n">
        <v>662630.95</v>
      </c>
    </row>
    <row r="184">
      <c r="A184" t="inlineStr">
        <is>
          <t>LIMA</t>
        </is>
      </c>
      <c r="B184" t="inlineStr">
        <is>
          <t>LIMA</t>
        </is>
      </c>
      <c r="C184" t="inlineStr">
        <is>
          <t>LA MOLINA</t>
        </is>
      </c>
      <c r="D184" t="inlineStr">
        <is>
          <t>150114</t>
        </is>
      </c>
      <c r="E184" t="inlineStr">
        <is>
          <t>—</t>
        </is>
      </c>
      <c r="F184" s="11" t="n">
        <v>18511.2402</v>
      </c>
      <c r="G184" s="6">
        <f>IF($F$247=0,0,F184/$F$247)</f>
        <v/>
      </c>
      <c r="H184" s="5" t="n">
        <v>198146.41</v>
      </c>
      <c r="I184" t="n">
        <v>4</v>
      </c>
      <c r="J184" t="n">
        <v>3</v>
      </c>
      <c r="L184" s="5" t="n">
        <v>693512.4399999999</v>
      </c>
    </row>
    <row r="185">
      <c r="A185" t="inlineStr">
        <is>
          <t>AREQUIPA</t>
        </is>
      </c>
      <c r="B185" t="inlineStr">
        <is>
          <t>CASTILLA</t>
        </is>
      </c>
      <c r="C185" t="inlineStr">
        <is>
          <t>APLAO</t>
        </is>
      </c>
      <c r="D185" t="inlineStr">
        <is>
          <t>040401</t>
        </is>
      </c>
      <c r="E185" t="inlineStr">
        <is>
          <t>—</t>
        </is>
      </c>
      <c r="F185" s="11" t="n">
        <v>18418.8042</v>
      </c>
      <c r="G185" s="6">
        <f>IF($F$247=0,0,F185/$F$247)</f>
        <v/>
      </c>
      <c r="H185" s="5" t="n">
        <v>197156.97</v>
      </c>
      <c r="I185" t="n">
        <v>4</v>
      </c>
      <c r="J185" t="n">
        <v>4</v>
      </c>
      <c r="L185" s="5" t="n">
        <v>788627.86</v>
      </c>
    </row>
    <row r="186">
      <c r="A186" t="inlineStr">
        <is>
          <t>PUNO</t>
        </is>
      </c>
      <c r="B186" t="inlineStr">
        <is>
          <t>AZANGARO</t>
        </is>
      </c>
      <c r="C186" t="inlineStr">
        <is>
          <t>AZANGARO</t>
        </is>
      </c>
      <c r="D186" t="inlineStr">
        <is>
          <t>210201</t>
        </is>
      </c>
      <c r="E186" t="inlineStr">
        <is>
          <t>—</t>
        </is>
      </c>
      <c r="F186" s="11" t="n">
        <v>17980.7457</v>
      </c>
      <c r="G186" s="6">
        <f>IF($F$247=0,0,F186/$F$247)</f>
        <v/>
      </c>
      <c r="H186" s="5" t="n">
        <v>192467.94</v>
      </c>
      <c r="I186" t="n">
        <v>4</v>
      </c>
      <c r="J186" t="n">
        <v>3</v>
      </c>
      <c r="K186" t="n">
        <v>4</v>
      </c>
      <c r="L186" s="5" t="n">
        <v>705715.77</v>
      </c>
    </row>
    <row r="187">
      <c r="A187" t="inlineStr">
        <is>
          <t>CAJAMARCA</t>
        </is>
      </c>
      <c r="B187" t="inlineStr">
        <is>
          <t>SAN MARCOS</t>
        </is>
      </c>
      <c r="C187" t="inlineStr">
        <is>
          <t>PEDRO GALVEZ</t>
        </is>
      </c>
      <c r="D187" t="inlineStr">
        <is>
          <t>061001</t>
        </is>
      </c>
      <c r="E187" t="inlineStr">
        <is>
          <t>—</t>
        </is>
      </c>
      <c r="F187" s="11" t="n">
        <v>17631.6537</v>
      </c>
      <c r="G187" s="6">
        <f>IF($F$247=0,0,F187/$F$247)</f>
        <v/>
      </c>
      <c r="H187" s="5" t="n">
        <v>188731.22</v>
      </c>
      <c r="I187" t="n">
        <v>4</v>
      </c>
      <c r="J187" t="n">
        <v>3</v>
      </c>
      <c r="K187" t="n">
        <v>3</v>
      </c>
      <c r="L187" s="5" t="n">
        <v>629104.0600000001</v>
      </c>
    </row>
    <row r="188">
      <c r="A188" t="inlineStr">
        <is>
          <t>AREQUIPA</t>
        </is>
      </c>
      <c r="B188" t="inlineStr">
        <is>
          <t>ISLAY</t>
        </is>
      </c>
      <c r="C188" t="inlineStr">
        <is>
          <t>PUNTA DE BOMBON</t>
        </is>
      </c>
      <c r="D188" t="inlineStr">
        <is>
          <t>040706</t>
        </is>
      </c>
      <c r="E188" t="inlineStr">
        <is>
          <t>—</t>
        </is>
      </c>
      <c r="F188" s="11" t="n">
        <v>16142.3921</v>
      </c>
      <c r="G188" s="6">
        <f>IF($F$247=0,0,F188/$F$247)</f>
        <v/>
      </c>
      <c r="H188" s="5" t="n">
        <v>172789.99</v>
      </c>
      <c r="I188" t="n">
        <v>4</v>
      </c>
      <c r="J188" t="n">
        <v>4</v>
      </c>
      <c r="L188" s="5" t="n">
        <v>691159.97</v>
      </c>
    </row>
    <row r="189">
      <c r="A189" t="inlineStr">
        <is>
          <t>LA LIBERTAD</t>
        </is>
      </c>
      <c r="B189" t="inlineStr">
        <is>
          <t>SANTIAGO DE CHUCO</t>
        </is>
      </c>
      <c r="C189" t="inlineStr">
        <is>
          <t>SANTIAGO DE CHUCO</t>
        </is>
      </c>
      <c r="D189" t="inlineStr">
        <is>
          <t>131001</t>
        </is>
      </c>
      <c r="E189" t="inlineStr">
        <is>
          <t>—</t>
        </is>
      </c>
      <c r="F189" s="11" t="n">
        <v>15451.4377</v>
      </c>
      <c r="G189" s="6">
        <f>IF($F$247=0,0,F189/$F$247)</f>
        <v/>
      </c>
      <c r="H189" s="5" t="n">
        <v>165393.94</v>
      </c>
      <c r="I189" t="n">
        <v>4</v>
      </c>
      <c r="J189" t="n">
        <v>2</v>
      </c>
      <c r="K189" t="n">
        <v>4</v>
      </c>
      <c r="L189" s="5" t="n">
        <v>551313.13</v>
      </c>
    </row>
    <row r="190">
      <c r="A190" t="inlineStr">
        <is>
          <t>UCAYALI</t>
        </is>
      </c>
      <c r="B190" t="inlineStr">
        <is>
          <t>PADRE ABAD</t>
        </is>
      </c>
      <c r="C190" t="inlineStr">
        <is>
          <t>PADRE ABAD</t>
        </is>
      </c>
      <c r="D190" t="inlineStr">
        <is>
          <t>250301</t>
        </is>
      </c>
      <c r="E190" t="inlineStr">
        <is>
          <t>—</t>
        </is>
      </c>
      <c r="F190" s="11" t="n">
        <v>14938.9437</v>
      </c>
      <c r="G190" s="6">
        <f>IF($F$247=0,0,F190/$F$247)</f>
        <v/>
      </c>
      <c r="H190" s="5" t="n">
        <v>159908.14</v>
      </c>
      <c r="I190" t="n">
        <v>3</v>
      </c>
      <c r="J190" t="n">
        <v>2</v>
      </c>
      <c r="K190" t="n">
        <v>2</v>
      </c>
      <c r="L190" s="5" t="n">
        <v>373119</v>
      </c>
    </row>
    <row r="191">
      <c r="A191" t="inlineStr">
        <is>
          <t>ANCASH</t>
        </is>
      </c>
      <c r="B191" t="inlineStr">
        <is>
          <t>SIHUAS</t>
        </is>
      </c>
      <c r="C191" t="inlineStr">
        <is>
          <t>SIHUAS</t>
        </is>
      </c>
      <c r="D191" t="inlineStr">
        <is>
          <t>021901</t>
        </is>
      </c>
      <c r="E191" t="inlineStr">
        <is>
          <t>—</t>
        </is>
      </c>
      <c r="F191" s="11" t="n">
        <v>14838.5726</v>
      </c>
      <c r="G191" s="6">
        <f>IF($F$247=0,0,F191/$F$247)</f>
        <v/>
      </c>
      <c r="H191" s="5" t="n">
        <v>158833.76</v>
      </c>
      <c r="I191" t="n">
        <v>5</v>
      </c>
      <c r="J191" t="n">
        <v>3</v>
      </c>
      <c r="K191" t="n">
        <v>3</v>
      </c>
      <c r="L191" s="5" t="n">
        <v>582390.46</v>
      </c>
    </row>
    <row r="192">
      <c r="A192" t="inlineStr">
        <is>
          <t>CAJAMARCA</t>
        </is>
      </c>
      <c r="B192" t="inlineStr">
        <is>
          <t>SAN MIGUEL</t>
        </is>
      </c>
      <c r="C192" t="inlineStr">
        <is>
          <t>SAN MIGUEL</t>
        </is>
      </c>
      <c r="D192" t="inlineStr">
        <is>
          <t>061101</t>
        </is>
      </c>
      <c r="E192" t="inlineStr">
        <is>
          <t>—</t>
        </is>
      </c>
      <c r="F192" s="11" t="n">
        <v>14837.9965</v>
      </c>
      <c r="G192" s="6">
        <f>IF($F$247=0,0,F192/$F$247)</f>
        <v/>
      </c>
      <c r="H192" s="5" t="n">
        <v>158827.59</v>
      </c>
      <c r="I192" t="n">
        <v>4</v>
      </c>
      <c r="J192" t="n">
        <v>2</v>
      </c>
      <c r="K192" t="n">
        <v>4</v>
      </c>
      <c r="L192" s="5" t="n">
        <v>529425.3100000001</v>
      </c>
    </row>
    <row r="193">
      <c r="A193" t="inlineStr">
        <is>
          <t>LAMBAYEQUE</t>
        </is>
      </c>
      <c r="B193" t="inlineStr">
        <is>
          <t>CHICLAYO</t>
        </is>
      </c>
      <c r="C193" t="inlineStr">
        <is>
          <t>PATAPO</t>
        </is>
      </c>
      <c r="D193" t="inlineStr">
        <is>
          <t>140117</t>
        </is>
      </c>
      <c r="E193" t="inlineStr">
        <is>
          <t>—</t>
        </is>
      </c>
      <c r="F193" s="11" t="n">
        <v>14479.0705</v>
      </c>
      <c r="G193" s="6">
        <f>IF($F$247=0,0,F193/$F$247)</f>
        <v/>
      </c>
      <c r="H193" s="5" t="n">
        <v>154985.61</v>
      </c>
      <c r="I193" t="n">
        <v>2</v>
      </c>
      <c r="J193" t="n">
        <v>4</v>
      </c>
      <c r="L193" s="5" t="n">
        <v>464956.83</v>
      </c>
    </row>
    <row r="194">
      <c r="A194" t="inlineStr">
        <is>
          <t>ANCASH</t>
        </is>
      </c>
      <c r="B194" t="inlineStr">
        <is>
          <t>RECUAY</t>
        </is>
      </c>
      <c r="C194" t="inlineStr">
        <is>
          <t>RECUAY</t>
        </is>
      </c>
      <c r="D194" t="inlineStr">
        <is>
          <t>021701</t>
        </is>
      </c>
      <c r="E194" t="inlineStr">
        <is>
          <t>—</t>
        </is>
      </c>
      <c r="F194" s="11" t="n">
        <v>14134.9734</v>
      </c>
      <c r="G194" s="6">
        <f>IF($F$247=0,0,F194/$F$247)</f>
        <v/>
      </c>
      <c r="H194" s="5" t="n">
        <v>151302.36</v>
      </c>
      <c r="I194" t="n">
        <v>4</v>
      </c>
      <c r="J194" t="n">
        <v>3</v>
      </c>
      <c r="K194" t="n">
        <v>3</v>
      </c>
      <c r="L194" s="5" t="n">
        <v>504341.18</v>
      </c>
    </row>
    <row r="195">
      <c r="A195" t="inlineStr">
        <is>
          <t>PIURA</t>
        </is>
      </c>
      <c r="B195" t="inlineStr">
        <is>
          <t>AYABACA</t>
        </is>
      </c>
      <c r="C195" t="inlineStr">
        <is>
          <t>PAIMAS</t>
        </is>
      </c>
      <c r="D195" t="inlineStr">
        <is>
          <t>200207</t>
        </is>
      </c>
      <c r="E195" t="inlineStr">
        <is>
          <t>—</t>
        </is>
      </c>
      <c r="F195" s="11" t="n">
        <v>14012.4708</v>
      </c>
      <c r="G195" s="6">
        <f>IF($F$247=0,0,F195/$F$247)</f>
        <v/>
      </c>
      <c r="H195" s="5" t="n">
        <v>149991.07</v>
      </c>
      <c r="I195" t="n">
        <v>4</v>
      </c>
      <c r="J195" t="n">
        <v>2</v>
      </c>
      <c r="K195" t="n">
        <v>4</v>
      </c>
      <c r="L195" s="5" t="n">
        <v>499970.24</v>
      </c>
    </row>
    <row r="196">
      <c r="A196" t="inlineStr">
        <is>
          <t>PIURA</t>
        </is>
      </c>
      <c r="B196" t="inlineStr">
        <is>
          <t>SULLANA</t>
        </is>
      </c>
      <c r="C196" t="inlineStr">
        <is>
          <t>IGNACIO ESCUDERO</t>
        </is>
      </c>
      <c r="D196" t="inlineStr">
        <is>
          <t>200603</t>
        </is>
      </c>
      <c r="E196" t="inlineStr">
        <is>
          <t>—</t>
        </is>
      </c>
      <c r="F196" s="11" t="n">
        <v>13548.3799</v>
      </c>
      <c r="G196" s="6">
        <f>IF($F$247=0,0,F196/$F$247)</f>
        <v/>
      </c>
      <c r="H196" s="5" t="n">
        <v>145023.39</v>
      </c>
      <c r="I196" t="n">
        <v>3</v>
      </c>
      <c r="J196" t="n">
        <v>4</v>
      </c>
      <c r="L196" s="5" t="n">
        <v>507581.87</v>
      </c>
    </row>
    <row r="197">
      <c r="A197" t="inlineStr">
        <is>
          <t>CUSCO</t>
        </is>
      </c>
      <c r="B197" t="inlineStr">
        <is>
          <t>CALCA</t>
        </is>
      </c>
      <c r="C197" t="inlineStr">
        <is>
          <t>CALCA</t>
        </is>
      </c>
      <c r="D197" t="inlineStr">
        <is>
          <t>080401</t>
        </is>
      </c>
      <c r="E197" t="inlineStr">
        <is>
          <t>—</t>
        </is>
      </c>
      <c r="F197" s="11" t="n">
        <v>13243.7636</v>
      </c>
      <c r="G197" s="6">
        <f>IF($F$247=0,0,F197/$F$247)</f>
        <v/>
      </c>
      <c r="H197" s="5" t="n">
        <v>141762.74</v>
      </c>
      <c r="I197" t="n">
        <v>4</v>
      </c>
      <c r="J197" t="n">
        <v>2</v>
      </c>
      <c r="K197" t="n">
        <v>4</v>
      </c>
      <c r="L197" s="5" t="n">
        <v>472542.48</v>
      </c>
    </row>
    <row r="198">
      <c r="A198" t="inlineStr">
        <is>
          <t>CAJAMARCA</t>
        </is>
      </c>
      <c r="B198" t="inlineStr">
        <is>
          <t>SANTA CRUZ</t>
        </is>
      </c>
      <c r="C198" t="inlineStr">
        <is>
          <t>SANTA CRUZ</t>
        </is>
      </c>
      <c r="D198" t="inlineStr">
        <is>
          <t>061301</t>
        </is>
      </c>
      <c r="E198" t="inlineStr">
        <is>
          <t>—</t>
        </is>
      </c>
      <c r="F198" s="11" t="n">
        <v>12895.5177</v>
      </c>
      <c r="G198" s="6">
        <f>IF($F$247=0,0,F198/$F$247)</f>
        <v/>
      </c>
      <c r="H198" s="5" t="n">
        <v>138035.08</v>
      </c>
      <c r="I198" t="n">
        <v>3</v>
      </c>
      <c r="J198" t="n">
        <v>2</v>
      </c>
      <c r="K198" t="n">
        <v>3</v>
      </c>
      <c r="L198" s="5" t="n">
        <v>368093.55</v>
      </c>
    </row>
    <row r="199">
      <c r="A199" t="inlineStr">
        <is>
          <t>HUANCAVELICA</t>
        </is>
      </c>
      <c r="B199" t="inlineStr">
        <is>
          <t>ACOBAMBA</t>
        </is>
      </c>
      <c r="C199" t="inlineStr">
        <is>
          <t>PAUCARA</t>
        </is>
      </c>
      <c r="D199" t="inlineStr">
        <is>
          <t>090206</t>
        </is>
      </c>
      <c r="E199" t="inlineStr">
        <is>
          <t>—</t>
        </is>
      </c>
      <c r="F199" s="11" t="n">
        <v>11702.9795</v>
      </c>
      <c r="G199" s="6">
        <f>IF($F$247=0,0,F199/$F$247)</f>
        <v/>
      </c>
      <c r="H199" s="5" t="n">
        <v>125270.02</v>
      </c>
      <c r="I199" t="n">
        <v>4</v>
      </c>
      <c r="J199" t="n">
        <v>3</v>
      </c>
      <c r="K199" t="n">
        <v>3</v>
      </c>
      <c r="L199" s="5" t="n">
        <v>417566.72</v>
      </c>
    </row>
    <row r="200">
      <c r="A200" t="inlineStr">
        <is>
          <t>LAMBAYEQUE</t>
        </is>
      </c>
      <c r="B200" t="inlineStr">
        <is>
          <t>CHICLAYO</t>
        </is>
      </c>
      <c r="C200" t="inlineStr">
        <is>
          <t>OYOTUN</t>
        </is>
      </c>
      <c r="D200" t="inlineStr">
        <is>
          <t>140110</t>
        </is>
      </c>
      <c r="E200" t="inlineStr">
        <is>
          <t>—</t>
        </is>
      </c>
      <c r="F200" s="11" t="n">
        <v>8331.190500000001</v>
      </c>
      <c r="G200" s="6">
        <f>IF($F$247=0,0,F200/$F$247)</f>
        <v/>
      </c>
      <c r="H200" s="5" t="n">
        <v>89178.00999999999</v>
      </c>
      <c r="I200" t="n">
        <v>5</v>
      </c>
      <c r="J200" t="n">
        <v>4</v>
      </c>
      <c r="K200" t="n">
        <v>2</v>
      </c>
      <c r="L200" s="5" t="n">
        <v>326986.02</v>
      </c>
    </row>
    <row r="201">
      <c r="A201" t="inlineStr">
        <is>
          <t>TUMBES</t>
        </is>
      </c>
      <c r="B201" t="inlineStr">
        <is>
          <t>CONTRALMIRANTE VILLAR</t>
        </is>
      </c>
      <c r="C201" t="inlineStr">
        <is>
          <t>ZORRITOS</t>
        </is>
      </c>
      <c r="D201" t="inlineStr">
        <is>
          <t>240201</t>
        </is>
      </c>
      <c r="E201" t="inlineStr">
        <is>
          <t>—</t>
        </is>
      </c>
      <c r="F201" s="11" t="n">
        <v>7684.8588</v>
      </c>
      <c r="G201" s="6">
        <f>IF($F$247=0,0,F201/$F$247)</f>
        <v/>
      </c>
      <c r="H201" s="5" t="n">
        <v>82259.60000000001</v>
      </c>
      <c r="I201" t="n">
        <v>4</v>
      </c>
      <c r="J201" t="n">
        <v>3</v>
      </c>
      <c r="K201" t="n">
        <v>4</v>
      </c>
      <c r="L201" s="5" t="n">
        <v>301618.53</v>
      </c>
    </row>
    <row r="202">
      <c r="A202" t="inlineStr">
        <is>
          <t>PIURA</t>
        </is>
      </c>
      <c r="B202" t="inlineStr">
        <is>
          <t>MORROPON</t>
        </is>
      </c>
      <c r="C202" t="inlineStr">
        <is>
          <t>LA MATANZA</t>
        </is>
      </c>
      <c r="D202" t="inlineStr">
        <is>
          <t>200404</t>
        </is>
      </c>
      <c r="E202" t="inlineStr">
        <is>
          <t>—</t>
        </is>
      </c>
      <c r="F202" s="11" t="n">
        <v>7572.2407</v>
      </c>
      <c r="G202" s="6">
        <f>IF($F$247=0,0,F202/$F$247)</f>
        <v/>
      </c>
      <c r="H202" s="5" t="n">
        <v>81054.12</v>
      </c>
      <c r="I202" t="n">
        <v>2</v>
      </c>
      <c r="J202" t="n">
        <v>5</v>
      </c>
      <c r="K202" t="n">
        <v>2</v>
      </c>
      <c r="L202" s="5" t="n">
        <v>243162.37</v>
      </c>
    </row>
    <row r="203">
      <c r="A203" t="inlineStr">
        <is>
          <t>CAJAMARCA</t>
        </is>
      </c>
      <c r="B203" t="inlineStr">
        <is>
          <t>SAN PABLO</t>
        </is>
      </c>
      <c r="C203" t="inlineStr">
        <is>
          <t>SAN PABLO</t>
        </is>
      </c>
      <c r="D203" t="inlineStr">
        <is>
          <t>061201</t>
        </is>
      </c>
      <c r="E203" t="inlineStr">
        <is>
          <t>—</t>
        </is>
      </c>
      <c r="F203" s="11" t="n">
        <v>6884.1062</v>
      </c>
      <c r="G203" s="6">
        <f>IF($F$247=0,0,F203/$F$247)</f>
        <v/>
      </c>
      <c r="H203" s="5" t="n">
        <v>73688.25</v>
      </c>
      <c r="I203" t="n">
        <v>4</v>
      </c>
      <c r="J203" t="n">
        <v>1</v>
      </c>
      <c r="K203" t="n">
        <v>4</v>
      </c>
      <c r="L203" s="5" t="n">
        <v>221064.76</v>
      </c>
    </row>
    <row r="204">
      <c r="A204" t="inlineStr">
        <is>
          <t>CUSCO</t>
        </is>
      </c>
      <c r="B204" t="inlineStr">
        <is>
          <t>LA CONVENCION</t>
        </is>
      </c>
      <c r="C204" t="inlineStr">
        <is>
          <t>ECHARATE</t>
        </is>
      </c>
      <c r="D204" t="inlineStr">
        <is>
          <t>080902</t>
        </is>
      </c>
      <c r="E204" t="inlineStr">
        <is>
          <t>—</t>
        </is>
      </c>
      <c r="F204" s="11" t="n">
        <v>6749.6646</v>
      </c>
      <c r="G204" s="6">
        <f>IF($F$247=0,0,F204/$F$247)</f>
        <v/>
      </c>
      <c r="H204" s="5" t="n">
        <v>72249.17</v>
      </c>
      <c r="I204" t="n">
        <v>4</v>
      </c>
      <c r="J204" t="n">
        <v>2</v>
      </c>
      <c r="K204" t="n">
        <v>2</v>
      </c>
      <c r="L204" s="5" t="n">
        <v>192664.46</v>
      </c>
    </row>
    <row r="205">
      <c r="A205" t="inlineStr">
        <is>
          <t>AYACUCHO</t>
        </is>
      </c>
      <c r="B205" t="inlineStr">
        <is>
          <t>LA MAR</t>
        </is>
      </c>
      <c r="C205" t="inlineStr">
        <is>
          <t>TAMBO</t>
        </is>
      </c>
      <c r="D205" t="inlineStr">
        <is>
          <t>050508</t>
        </is>
      </c>
      <c r="E205" t="inlineStr">
        <is>
          <t>—</t>
        </is>
      </c>
      <c r="F205" s="11" t="n">
        <v>6618.2703</v>
      </c>
      <c r="G205" s="6">
        <f>IF($F$247=0,0,F205/$F$247)</f>
        <v/>
      </c>
      <c r="H205" s="5" t="n">
        <v>70842.72</v>
      </c>
      <c r="I205" t="n">
        <v>4</v>
      </c>
      <c r="J205" t="n">
        <v>3</v>
      </c>
      <c r="K205" t="n">
        <v>3</v>
      </c>
      <c r="L205" s="5" t="n">
        <v>236142.38</v>
      </c>
    </row>
    <row r="206">
      <c r="A206" t="inlineStr">
        <is>
          <t>SAN MARTIN</t>
        </is>
      </c>
      <c r="B206" t="inlineStr">
        <is>
          <t>EL DORADO</t>
        </is>
      </c>
      <c r="C206" t="inlineStr">
        <is>
          <t>SAN JOSE DE SISA</t>
        </is>
      </c>
      <c r="D206" t="inlineStr">
        <is>
          <t>220301</t>
        </is>
      </c>
      <c r="E206" t="inlineStr">
        <is>
          <t>—</t>
        </is>
      </c>
      <c r="F206" s="11" t="n">
        <v>6552.0631</v>
      </c>
      <c r="G206" s="6">
        <f>IF($F$247=0,0,F206/$F$247)</f>
        <v/>
      </c>
      <c r="H206" s="5" t="n">
        <v>70134.03</v>
      </c>
      <c r="I206" t="n">
        <v>5</v>
      </c>
      <c r="J206" t="n">
        <v>3</v>
      </c>
      <c r="K206" t="n">
        <v>2</v>
      </c>
      <c r="L206" s="5" t="n">
        <v>233780.09</v>
      </c>
    </row>
    <row r="207">
      <c r="A207" t="inlineStr">
        <is>
          <t>CAJAMARCA</t>
        </is>
      </c>
      <c r="B207" t="inlineStr">
        <is>
          <t>SAN MIGUEL</t>
        </is>
      </c>
      <c r="C207" t="inlineStr">
        <is>
          <t>TONGOD</t>
        </is>
      </c>
      <c r="D207" t="inlineStr">
        <is>
          <t>061112</t>
        </is>
      </c>
      <c r="E207" t="inlineStr">
        <is>
          <t>—</t>
        </is>
      </c>
      <c r="F207" s="11" t="n">
        <v>6473.9048</v>
      </c>
      <c r="G207" s="6">
        <f>IF($F$247=0,0,F207/$F$247)</f>
        <v/>
      </c>
      <c r="H207" s="5" t="n">
        <v>69297.41</v>
      </c>
      <c r="I207" t="n">
        <v>3</v>
      </c>
      <c r="J207" t="n">
        <v>2</v>
      </c>
      <c r="K207" t="n">
        <v>2</v>
      </c>
      <c r="L207" s="5" t="n">
        <v>161693.96</v>
      </c>
    </row>
    <row r="208">
      <c r="A208" t="inlineStr">
        <is>
          <t>ANCASH</t>
        </is>
      </c>
      <c r="B208" t="inlineStr">
        <is>
          <t>HUARI</t>
        </is>
      </c>
      <c r="C208" t="inlineStr">
        <is>
          <t>SAN MARCOS</t>
        </is>
      </c>
      <c r="D208" t="inlineStr">
        <is>
          <t>021014</t>
        </is>
      </c>
      <c r="E208" t="inlineStr">
        <is>
          <t>—</t>
        </is>
      </c>
      <c r="F208" s="11" t="n">
        <v>5958.1778</v>
      </c>
      <c r="G208" s="6">
        <f>IF($F$247=0,0,F208/$F$247)</f>
        <v/>
      </c>
      <c r="H208" s="5" t="n">
        <v>63777.01</v>
      </c>
      <c r="I208" t="n">
        <v>4</v>
      </c>
      <c r="J208" t="n">
        <v>3</v>
      </c>
      <c r="K208" t="n">
        <v>3</v>
      </c>
      <c r="L208" s="5" t="n">
        <v>212590.03</v>
      </c>
    </row>
    <row r="209">
      <c r="A209" t="inlineStr">
        <is>
          <t>CAJAMARCA</t>
        </is>
      </c>
      <c r="B209" t="inlineStr">
        <is>
          <t>CHOTA</t>
        </is>
      </c>
      <c r="C209" t="inlineStr">
        <is>
          <t>TACABAMBA</t>
        </is>
      </c>
      <c r="D209" t="inlineStr">
        <is>
          <t>060417</t>
        </is>
      </c>
      <c r="E209" t="inlineStr">
        <is>
          <t>—</t>
        </is>
      </c>
      <c r="F209" s="11" t="n">
        <v>5886.918</v>
      </c>
      <c r="G209" s="6">
        <f>IF($F$247=0,0,F209/$F$247)</f>
        <v/>
      </c>
      <c r="H209" s="5" t="n">
        <v>63014.24</v>
      </c>
      <c r="I209" t="n">
        <v>4</v>
      </c>
      <c r="J209" t="n">
        <v>2</v>
      </c>
      <c r="K209" t="n">
        <v>3</v>
      </c>
      <c r="L209" s="5" t="n">
        <v>189042.71</v>
      </c>
    </row>
    <row r="210">
      <c r="A210" t="inlineStr">
        <is>
          <t>ANCASH</t>
        </is>
      </c>
      <c r="B210" t="inlineStr">
        <is>
          <t>BOLOGNESI</t>
        </is>
      </c>
      <c r="C210" t="inlineStr">
        <is>
          <t>CHIQUIAN</t>
        </is>
      </c>
      <c r="D210" t="inlineStr">
        <is>
          <t>020501</t>
        </is>
      </c>
      <c r="E210" t="inlineStr">
        <is>
          <t>—</t>
        </is>
      </c>
      <c r="F210" s="11" t="n">
        <v>5705.9061</v>
      </c>
      <c r="G210" s="6">
        <f>IF($F$247=0,0,F210/$F$247)</f>
        <v/>
      </c>
      <c r="H210" s="5" t="n">
        <v>61076.66</v>
      </c>
      <c r="I210" t="n">
        <v>5</v>
      </c>
      <c r="J210" t="n">
        <v>3</v>
      </c>
      <c r="K210" t="n">
        <v>4</v>
      </c>
      <c r="L210" s="5" t="n">
        <v>244306.66</v>
      </c>
    </row>
    <row r="211">
      <c r="A211" t="inlineStr">
        <is>
          <t>PIURA</t>
        </is>
      </c>
      <c r="B211" t="inlineStr">
        <is>
          <t>PAITA</t>
        </is>
      </c>
      <c r="C211" t="inlineStr">
        <is>
          <t>COLAN</t>
        </is>
      </c>
      <c r="D211" t="inlineStr">
        <is>
          <t>200504</t>
        </is>
      </c>
      <c r="E211" t="inlineStr">
        <is>
          <t>—</t>
        </is>
      </c>
      <c r="F211" s="11" t="n">
        <v>5440.794</v>
      </c>
      <c r="G211" s="6">
        <f>IF($F$247=0,0,F211/$F$247)</f>
        <v/>
      </c>
      <c r="H211" s="5" t="n">
        <v>58238.87</v>
      </c>
      <c r="I211" t="n">
        <v>2</v>
      </c>
      <c r="J211" t="n">
        <v>5</v>
      </c>
      <c r="L211" s="5" t="n">
        <v>203836.06</v>
      </c>
    </row>
    <row r="212">
      <c r="A212" t="inlineStr">
        <is>
          <t>SAN MARTIN</t>
        </is>
      </c>
      <c r="B212" t="inlineStr">
        <is>
          <t>HUALLAGA</t>
        </is>
      </c>
      <c r="C212" t="inlineStr">
        <is>
          <t>SAPOSOA</t>
        </is>
      </c>
      <c r="D212" t="inlineStr">
        <is>
          <t>220401</t>
        </is>
      </c>
      <c r="E212" t="inlineStr">
        <is>
          <t>—</t>
        </is>
      </c>
      <c r="F212" s="11" t="n">
        <v>5391.3974</v>
      </c>
      <c r="G212" s="6">
        <f>IF($F$247=0,0,F212/$F$247)</f>
        <v/>
      </c>
      <c r="H212" s="5" t="n">
        <v>57710.13</v>
      </c>
      <c r="I212" t="n">
        <v>4</v>
      </c>
      <c r="J212" t="n">
        <v>2</v>
      </c>
      <c r="K212" t="n">
        <v>2</v>
      </c>
      <c r="L212" s="5" t="n">
        <v>153893.67</v>
      </c>
    </row>
    <row r="213">
      <c r="A213" t="inlineStr">
        <is>
          <t>CUSCO</t>
        </is>
      </c>
      <c r="B213" t="inlineStr">
        <is>
          <t>ACOMAYO</t>
        </is>
      </c>
      <c r="C213" t="inlineStr">
        <is>
          <t>POMACANCHI</t>
        </is>
      </c>
      <c r="D213" t="inlineStr">
        <is>
          <t>080205</t>
        </is>
      </c>
      <c r="E213" t="inlineStr">
        <is>
          <t>—</t>
        </is>
      </c>
      <c r="F213" s="11" t="n">
        <v>5313.3544</v>
      </c>
      <c r="G213" s="6">
        <f>IF($F$247=0,0,F213/$F$247)</f>
        <v/>
      </c>
      <c r="H213" s="5" t="n">
        <v>56874.75</v>
      </c>
      <c r="I213" t="n">
        <v>4</v>
      </c>
      <c r="J213" t="n">
        <v>2</v>
      </c>
      <c r="K213" t="n">
        <v>3</v>
      </c>
      <c r="L213" s="5" t="n">
        <v>170624.24</v>
      </c>
    </row>
    <row r="214">
      <c r="A214" t="inlineStr">
        <is>
          <t>CAJAMARCA</t>
        </is>
      </c>
      <c r="B214" t="inlineStr">
        <is>
          <t>CHOTA</t>
        </is>
      </c>
      <c r="C214" t="inlineStr">
        <is>
          <t>PACCHA</t>
        </is>
      </c>
      <c r="D214" t="inlineStr">
        <is>
          <t>060413</t>
        </is>
      </c>
      <c r="E214" t="inlineStr">
        <is>
          <t>—</t>
        </is>
      </c>
      <c r="F214" s="11" t="n">
        <v>4940.8993</v>
      </c>
      <c r="G214" s="6">
        <f>IF($F$247=0,0,F214/$F$247)</f>
        <v/>
      </c>
      <c r="H214" s="5" t="n">
        <v>52887.95</v>
      </c>
      <c r="I214" t="n">
        <v>4</v>
      </c>
      <c r="J214" t="n">
        <v>2</v>
      </c>
      <c r="K214" t="n">
        <v>3</v>
      </c>
      <c r="L214" s="5" t="n">
        <v>158663.84</v>
      </c>
    </row>
    <row r="215">
      <c r="A215" t="inlineStr">
        <is>
          <t>CUSCO</t>
        </is>
      </c>
      <c r="B215" t="inlineStr">
        <is>
          <t>LA CONVENCION</t>
        </is>
      </c>
      <c r="C215" t="inlineStr">
        <is>
          <t>HUAYOPATA</t>
        </is>
      </c>
      <c r="D215" t="inlineStr">
        <is>
          <t>080903</t>
        </is>
      </c>
      <c r="E215" t="inlineStr">
        <is>
          <t>—</t>
        </is>
      </c>
      <c r="F215" s="11" t="n">
        <v>3800.3593</v>
      </c>
      <c r="G215" s="6">
        <f>IF($F$247=0,0,F215/$F$247)</f>
        <v/>
      </c>
      <c r="H215" s="5" t="n">
        <v>40679.48</v>
      </c>
      <c r="I215" t="n">
        <v>4</v>
      </c>
      <c r="J215" t="n">
        <v>2</v>
      </c>
      <c r="K215" t="n">
        <v>3</v>
      </c>
      <c r="L215" s="5" t="n">
        <v>122038.43</v>
      </c>
    </row>
    <row r="216">
      <c r="A216" t="inlineStr">
        <is>
          <t>ANCASH</t>
        </is>
      </c>
      <c r="B216" t="inlineStr">
        <is>
          <t>POMABAMBA</t>
        </is>
      </c>
      <c r="C216" t="inlineStr">
        <is>
          <t>POMABAMBA</t>
        </is>
      </c>
      <c r="D216" t="inlineStr">
        <is>
          <t>021601</t>
        </is>
      </c>
      <c r="E216" t="inlineStr">
        <is>
          <t>—</t>
        </is>
      </c>
      <c r="F216" s="11" t="n">
        <v>3738.4109</v>
      </c>
      <c r="G216" s="6">
        <f>IF($F$247=0,0,F216/$F$247)</f>
        <v/>
      </c>
      <c r="H216" s="5" t="n">
        <v>40016.37</v>
      </c>
      <c r="I216" t="n">
        <v>5</v>
      </c>
      <c r="J216" t="n">
        <v>4</v>
      </c>
      <c r="K216" t="n">
        <v>3</v>
      </c>
      <c r="L216" s="5" t="n">
        <v>160065.49</v>
      </c>
    </row>
    <row r="217">
      <c r="A217" t="inlineStr">
        <is>
          <t>CUSCO</t>
        </is>
      </c>
      <c r="B217" t="inlineStr">
        <is>
          <t>PAUCARTAMBO</t>
        </is>
      </c>
      <c r="C217" t="inlineStr">
        <is>
          <t>PAUCARTAMBO</t>
        </is>
      </c>
      <c r="D217" t="inlineStr">
        <is>
          <t>081101</t>
        </is>
      </c>
      <c r="E217" t="inlineStr">
        <is>
          <t>—</t>
        </is>
      </c>
      <c r="F217" s="11" t="n">
        <v>3523.7831</v>
      </c>
      <c r="G217" s="6">
        <f>IF($F$247=0,0,F217/$F$247)</f>
        <v/>
      </c>
      <c r="H217" s="5" t="n">
        <v>37718.97</v>
      </c>
      <c r="I217" t="n">
        <v>4</v>
      </c>
      <c r="J217" t="n">
        <v>3</v>
      </c>
      <c r="K217" t="n">
        <v>3</v>
      </c>
      <c r="L217" s="5" t="n">
        <v>125729.91</v>
      </c>
    </row>
    <row r="218">
      <c r="A218" t="inlineStr">
        <is>
          <t>CAJAMARCA</t>
        </is>
      </c>
      <c r="B218" t="inlineStr">
        <is>
          <t>CELENDIN</t>
        </is>
      </c>
      <c r="C218" t="inlineStr">
        <is>
          <t>SOROCHUCO</t>
        </is>
      </c>
      <c r="D218" t="inlineStr">
        <is>
          <t>060309</t>
        </is>
      </c>
      <c r="E218" t="inlineStr">
        <is>
          <t>—</t>
        </is>
      </c>
      <c r="F218" s="11" t="n">
        <v>2930.1461</v>
      </c>
      <c r="G218" s="6">
        <f>IF($F$247=0,0,F218/$F$247)</f>
        <v/>
      </c>
      <c r="H218" s="5" t="n">
        <v>31364.62</v>
      </c>
      <c r="I218" t="n">
        <v>4</v>
      </c>
      <c r="J218" t="n">
        <v>2</v>
      </c>
      <c r="K218" t="n">
        <v>3</v>
      </c>
      <c r="L218" s="5" t="n">
        <v>94093.85000000001</v>
      </c>
    </row>
    <row r="219">
      <c r="A219" t="inlineStr">
        <is>
          <t>AYACUCHO</t>
        </is>
      </c>
      <c r="B219" t="inlineStr">
        <is>
          <t>CANGALLO</t>
        </is>
      </c>
      <c r="C219" t="inlineStr">
        <is>
          <t>CANGALLO</t>
        </is>
      </c>
      <c r="D219" t="inlineStr">
        <is>
          <t>050201</t>
        </is>
      </c>
      <c r="E219" t="inlineStr">
        <is>
          <t>—</t>
        </is>
      </c>
      <c r="F219" s="11" t="n">
        <v>2491.6728</v>
      </c>
      <c r="G219" s="6">
        <f>IF($F$247=0,0,F219/$F$247)</f>
        <v/>
      </c>
      <c r="H219" s="5" t="n">
        <v>26671.15</v>
      </c>
      <c r="I219" t="n">
        <v>4</v>
      </c>
      <c r="J219" t="n">
        <v>4</v>
      </c>
      <c r="K219" t="n">
        <v>4</v>
      </c>
      <c r="L219" s="5" t="n">
        <v>106684.59</v>
      </c>
    </row>
    <row r="220">
      <c r="A220" t="inlineStr">
        <is>
          <t>TACNA</t>
        </is>
      </c>
      <c r="B220" t="inlineStr">
        <is>
          <t>JORGE BASADRE</t>
        </is>
      </c>
      <c r="C220" t="inlineStr">
        <is>
          <t>ILABAYA</t>
        </is>
      </c>
      <c r="D220" t="inlineStr">
        <is>
          <t>230302</t>
        </is>
      </c>
      <c r="E220" t="inlineStr">
        <is>
          <t>—</t>
        </is>
      </c>
      <c r="F220" s="11" t="n">
        <v>2266.2438</v>
      </c>
      <c r="G220" s="6">
        <f>IF($F$247=0,0,F220/$F$247)</f>
        <v/>
      </c>
      <c r="H220" s="5" t="n">
        <v>24258.13</v>
      </c>
      <c r="I220" t="n">
        <v>5</v>
      </c>
      <c r="J220" t="n">
        <v>3</v>
      </c>
      <c r="K220" t="n">
        <v>3</v>
      </c>
      <c r="L220" s="5" t="n">
        <v>88946.48</v>
      </c>
    </row>
    <row r="221">
      <c r="A221" t="inlineStr">
        <is>
          <t>AREQUIPA</t>
        </is>
      </c>
      <c r="B221" t="inlineStr">
        <is>
          <t>CASTILLA</t>
        </is>
      </c>
      <c r="C221" t="inlineStr">
        <is>
          <t>PAMPACOLCA</t>
        </is>
      </c>
      <c r="D221" t="inlineStr">
        <is>
          <t>040410</t>
        </is>
      </c>
      <c r="E221" t="inlineStr">
        <is>
          <t>—</t>
        </is>
      </c>
      <c r="F221" s="11" t="n">
        <v>2212.8083</v>
      </c>
      <c r="G221" s="6">
        <f>IF($F$247=0,0,F221/$F$247)</f>
        <v/>
      </c>
      <c r="H221" s="5" t="n">
        <v>23686.15</v>
      </c>
      <c r="I221" t="n">
        <v>4</v>
      </c>
      <c r="J221" t="n">
        <v>2</v>
      </c>
      <c r="K221" t="n">
        <v>4</v>
      </c>
      <c r="L221" s="5" t="n">
        <v>78953.83</v>
      </c>
    </row>
    <row r="222">
      <c r="A222" t="inlineStr">
        <is>
          <t>APURIMAC</t>
        </is>
      </c>
      <c r="B222" t="inlineStr">
        <is>
          <t>ABANCAY</t>
        </is>
      </c>
      <c r="C222" t="inlineStr">
        <is>
          <t>CURAHUASI</t>
        </is>
      </c>
      <c r="D222" t="inlineStr">
        <is>
          <t>030104</t>
        </is>
      </c>
      <c r="E222" t="inlineStr">
        <is>
          <t>—</t>
        </is>
      </c>
      <c r="F222" s="11" t="n">
        <v>2196.0101</v>
      </c>
      <c r="G222" s="6">
        <f>IF($F$247=0,0,F222/$F$247)</f>
        <v/>
      </c>
      <c r="H222" s="5" t="n">
        <v>23506.34</v>
      </c>
      <c r="I222" t="n">
        <v>3</v>
      </c>
      <c r="J222" t="n">
        <v>2</v>
      </c>
      <c r="K222" t="n">
        <v>4</v>
      </c>
      <c r="L222" s="5" t="n">
        <v>70519.02</v>
      </c>
    </row>
    <row r="223">
      <c r="A223" t="inlineStr">
        <is>
          <t>CUSCO</t>
        </is>
      </c>
      <c r="B223" t="inlineStr">
        <is>
          <t>ACOMAYO</t>
        </is>
      </c>
      <c r="C223" t="inlineStr">
        <is>
          <t>ACOMAYO</t>
        </is>
      </c>
      <c r="D223" t="inlineStr">
        <is>
          <t>080201</t>
        </is>
      </c>
      <c r="E223" t="inlineStr">
        <is>
          <t>—</t>
        </is>
      </c>
      <c r="F223" s="11" t="n">
        <v>2039.7992</v>
      </c>
      <c r="G223" s="6">
        <f>IF($F$247=0,0,F223/$F$247)</f>
        <v/>
      </c>
      <c r="H223" s="5" t="n">
        <v>21834.24</v>
      </c>
      <c r="I223" t="n">
        <v>4</v>
      </c>
      <c r="J223" t="n">
        <v>2</v>
      </c>
      <c r="K223" t="n">
        <v>3</v>
      </c>
      <c r="L223" s="5" t="n">
        <v>65502.72</v>
      </c>
    </row>
    <row r="224">
      <c r="A224" t="inlineStr">
        <is>
          <t>APURIMAC</t>
        </is>
      </c>
      <c r="B224" t="inlineStr">
        <is>
          <t>ANDAHUAYLAS</t>
        </is>
      </c>
      <c r="C224" t="inlineStr">
        <is>
          <t>HUANCARAMA</t>
        </is>
      </c>
      <c r="D224" t="inlineStr">
        <is>
          <t>030204</t>
        </is>
      </c>
      <c r="E224" t="inlineStr">
        <is>
          <t>—</t>
        </is>
      </c>
      <c r="F224" s="11" t="n">
        <v>1876.8602</v>
      </c>
      <c r="G224" s="6">
        <f>IF($F$247=0,0,F224/$F$247)</f>
        <v/>
      </c>
      <c r="H224" s="5" t="n">
        <v>20090.12</v>
      </c>
      <c r="I224" t="n">
        <v>4</v>
      </c>
      <c r="J224" t="n">
        <v>2</v>
      </c>
      <c r="K224" t="n">
        <v>4</v>
      </c>
      <c r="L224" s="5" t="n">
        <v>66967.08</v>
      </c>
    </row>
    <row r="225">
      <c r="A225" t="inlineStr">
        <is>
          <t>LIMA</t>
        </is>
      </c>
      <c r="B225" t="inlineStr">
        <is>
          <t>LIMA</t>
        </is>
      </c>
      <c r="C225" t="inlineStr">
        <is>
          <t>SANTA ANITA</t>
        </is>
      </c>
      <c r="D225" t="inlineStr">
        <is>
          <t>150137</t>
        </is>
      </c>
      <c r="E225" t="inlineStr">
        <is>
          <t>—</t>
        </is>
      </c>
      <c r="F225" s="11" t="n">
        <v>509.4375</v>
      </c>
      <c r="G225" s="6">
        <f>IF($F$247=0,0,F225/$F$247)</f>
        <v/>
      </c>
      <c r="H225" s="5" t="n">
        <v>5453.08</v>
      </c>
      <c r="I225" t="n">
        <v>2</v>
      </c>
      <c r="J225" t="n">
        <v>4</v>
      </c>
      <c r="L225" s="5" t="n">
        <v>16359.23</v>
      </c>
    </row>
    <row r="226">
      <c r="A226" t="inlineStr">
        <is>
          <t>LIMA</t>
        </is>
      </c>
      <c r="B226" t="inlineStr">
        <is>
          <t>LIMA</t>
        </is>
      </c>
      <c r="C226" t="inlineStr">
        <is>
          <t>SAN MIGUEL</t>
        </is>
      </c>
      <c r="D226" t="inlineStr">
        <is>
          <t>150136</t>
        </is>
      </c>
      <c r="E226" t="inlineStr">
        <is>
          <t>—</t>
        </is>
      </c>
      <c r="F226" s="11" t="n">
        <v>377.0755</v>
      </c>
      <c r="G226" s="6">
        <f>IF($F$247=0,0,F226/$F$247)</f>
        <v/>
      </c>
      <c r="H226" s="5" t="n">
        <v>4036.26</v>
      </c>
      <c r="I226" t="n">
        <v>1</v>
      </c>
      <c r="J226" t="n">
        <v>4</v>
      </c>
      <c r="L226" s="5" t="n">
        <v>10090.65</v>
      </c>
    </row>
    <row r="227">
      <c r="A227" t="inlineStr">
        <is>
          <t>LIMA</t>
        </is>
      </c>
      <c r="B227" t="inlineStr">
        <is>
          <t>LIMA</t>
        </is>
      </c>
      <c r="C227" t="inlineStr">
        <is>
          <t>LINCE</t>
        </is>
      </c>
      <c r="D227" t="inlineStr">
        <is>
          <t>150116</t>
        </is>
      </c>
      <c r="E227" t="inlineStr">
        <is>
          <t>—</t>
        </is>
      </c>
      <c r="F227" s="11" t="n">
        <v>323.4639</v>
      </c>
      <c r="G227" s="6">
        <f>IF($F$247=0,0,F227/$F$247)</f>
        <v/>
      </c>
      <c r="H227" s="5" t="n">
        <v>3462.39</v>
      </c>
      <c r="I227" t="n">
        <v>1</v>
      </c>
      <c r="J227" t="n">
        <v>4</v>
      </c>
      <c r="L227" s="5" t="n">
        <v>8655.98</v>
      </c>
    </row>
    <row r="228">
      <c r="A228" t="inlineStr">
        <is>
          <t>LIMA</t>
        </is>
      </c>
      <c r="B228" t="inlineStr">
        <is>
          <t>LIMA</t>
        </is>
      </c>
      <c r="C228" t="inlineStr">
        <is>
          <t>SAN BORJA</t>
        </is>
      </c>
      <c r="D228" t="inlineStr">
        <is>
          <t>150130</t>
        </is>
      </c>
      <c r="E228" t="inlineStr">
        <is>
          <t>—</t>
        </is>
      </c>
      <c r="F228" s="11" t="n">
        <v>272.4208</v>
      </c>
      <c r="G228" s="6">
        <f>IF($F$247=0,0,F228/$F$247)</f>
        <v/>
      </c>
      <c r="H228" s="5" t="n">
        <v>2916.02</v>
      </c>
      <c r="I228" t="n">
        <v>1</v>
      </c>
      <c r="J228" t="n">
        <v>2</v>
      </c>
      <c r="L228" s="5" t="n">
        <v>4374.04</v>
      </c>
    </row>
    <row r="229">
      <c r="A229" t="inlineStr">
        <is>
          <t>LIMA</t>
        </is>
      </c>
      <c r="B229" t="inlineStr">
        <is>
          <t>LIMA</t>
        </is>
      </c>
      <c r="C229" t="inlineStr">
        <is>
          <t>JESUS MARIA</t>
        </is>
      </c>
      <c r="D229" t="inlineStr">
        <is>
          <t>150113</t>
        </is>
      </c>
      <c r="E229" t="inlineStr">
        <is>
          <t>—</t>
        </is>
      </c>
      <c r="F229" s="11" t="n">
        <v>212.1692</v>
      </c>
      <c r="G229" s="6">
        <f>IF($F$247=0,0,F229/$F$247)</f>
        <v/>
      </c>
      <c r="H229" s="5" t="n">
        <v>2271.08</v>
      </c>
      <c r="I229" t="n">
        <v>1</v>
      </c>
      <c r="J229" t="n">
        <v>4</v>
      </c>
      <c r="L229" s="5" t="n">
        <v>5677.71</v>
      </c>
    </row>
    <row r="230">
      <c r="A230" t="inlineStr">
        <is>
          <t>LIMA</t>
        </is>
      </c>
      <c r="B230" t="inlineStr">
        <is>
          <t>LIMA</t>
        </is>
      </c>
      <c r="C230" t="inlineStr">
        <is>
          <t>MAGDALENA VIEJA</t>
        </is>
      </c>
      <c r="D230" t="inlineStr">
        <is>
          <t>150121</t>
        </is>
      </c>
      <c r="E230" t="inlineStr">
        <is>
          <t>—</t>
        </is>
      </c>
      <c r="F230" s="11" t="n">
        <v>204.8443</v>
      </c>
      <c r="G230" s="6">
        <f>IF($F$247=0,0,F230/$F$247)</f>
        <v/>
      </c>
      <c r="H230" s="5" t="n">
        <v>2192.68</v>
      </c>
      <c r="I230" t="n">
        <v>1</v>
      </c>
      <c r="J230" t="n">
        <v>4</v>
      </c>
      <c r="L230" s="5" t="n">
        <v>5481.69</v>
      </c>
    </row>
    <row r="231">
      <c r="A231" t="inlineStr">
        <is>
          <t>CALLAO</t>
        </is>
      </c>
      <c r="B231" t="inlineStr">
        <is>
          <t>CALLAO</t>
        </is>
      </c>
      <c r="C231" t="inlineStr">
        <is>
          <t>BELLAVISTA</t>
        </is>
      </c>
      <c r="D231" t="inlineStr">
        <is>
          <t>070102</t>
        </is>
      </c>
      <c r="E231" t="inlineStr">
        <is>
          <t>—</t>
        </is>
      </c>
      <c r="F231" s="11" t="n">
        <v>82.62820000000001</v>
      </c>
      <c r="G231" s="6">
        <f>IF($F$247=0,0,F231/$F$247)</f>
        <v/>
      </c>
      <c r="H231" s="5" t="n">
        <v>884.46</v>
      </c>
      <c r="I231" t="n">
        <v>1</v>
      </c>
      <c r="J231" t="n">
        <v>4</v>
      </c>
      <c r="L231" s="5" t="n">
        <v>2211.15</v>
      </c>
    </row>
    <row r="232">
      <c r="A232" t="inlineStr">
        <is>
          <t>LIMA</t>
        </is>
      </c>
      <c r="B232" t="inlineStr">
        <is>
          <t>LIMA</t>
        </is>
      </c>
      <c r="C232" t="inlineStr">
        <is>
          <t>BARRANCO</t>
        </is>
      </c>
      <c r="D232" t="inlineStr">
        <is>
          <t>150104</t>
        </is>
      </c>
      <c r="E232" t="inlineStr">
        <is>
          <t>—</t>
        </is>
      </c>
      <c r="F232" s="11" t="n">
        <v>56.1034</v>
      </c>
      <c r="G232" s="6">
        <f>IF($F$247=0,0,F232/$F$247)</f>
        <v/>
      </c>
      <c r="H232" s="5" t="n">
        <v>600.54</v>
      </c>
      <c r="I232" t="n">
        <v>1</v>
      </c>
      <c r="J232" t="n">
        <v>4</v>
      </c>
      <c r="L232" s="5" t="n">
        <v>1501.34</v>
      </c>
    </row>
    <row r="233">
      <c r="A233" t="inlineStr">
        <is>
          <t>LIMA</t>
        </is>
      </c>
      <c r="B233" t="inlineStr">
        <is>
          <t>LIMA</t>
        </is>
      </c>
      <c r="C233" t="inlineStr">
        <is>
          <t>BREÑA</t>
        </is>
      </c>
      <c r="D233" t="inlineStr">
        <is>
          <t>150105</t>
        </is>
      </c>
      <c r="E233" t="inlineStr">
        <is>
          <t>—</t>
        </is>
      </c>
      <c r="F233" s="11" t="n">
        <v>49.084</v>
      </c>
      <c r="G233" s="6">
        <f>IF($F$247=0,0,F233/$F$247)</f>
        <v/>
      </c>
      <c r="H233" s="5" t="n">
        <v>525.4</v>
      </c>
      <c r="I233" t="n">
        <v>1</v>
      </c>
      <c r="J233" t="n">
        <v>3</v>
      </c>
      <c r="L233" s="5" t="n">
        <v>1050.8</v>
      </c>
    </row>
    <row r="234">
      <c r="A234" t="inlineStr">
        <is>
          <t>AREQUIPA</t>
        </is>
      </c>
      <c r="B234" t="inlineStr">
        <is>
          <t>AREQUIPA</t>
        </is>
      </c>
      <c r="C234" t="inlineStr">
        <is>
          <t>MARIANO MELGAR</t>
        </is>
      </c>
      <c r="D234" t="inlineStr">
        <is>
          <t>040109</t>
        </is>
      </c>
      <c r="E234" t="inlineStr">
        <is>
          <t>—</t>
        </is>
      </c>
      <c r="F234" s="11" t="n">
        <v>28.7563</v>
      </c>
      <c r="G234" s="6">
        <f>IF($F$247=0,0,F234/$F$247)</f>
        <v/>
      </c>
      <c r="H234" s="5" t="n">
        <v>307.81</v>
      </c>
      <c r="I234" t="n">
        <v>4</v>
      </c>
      <c r="J234" t="n">
        <v>3</v>
      </c>
      <c r="K234" t="n">
        <v>2</v>
      </c>
      <c r="L234" s="5" t="n">
        <v>923.4299999999999</v>
      </c>
    </row>
    <row r="235">
      <c r="A235" t="inlineStr">
        <is>
          <t>LIMA</t>
        </is>
      </c>
      <c r="B235" t="inlineStr">
        <is>
          <t>LIMA</t>
        </is>
      </c>
      <c r="C235" t="inlineStr">
        <is>
          <t>CHACLACAYO</t>
        </is>
      </c>
      <c r="D235" t="inlineStr">
        <is>
          <t>150107</t>
        </is>
      </c>
      <c r="E235" t="inlineStr">
        <is>
          <t>—</t>
        </is>
      </c>
      <c r="F235" s="11" t="n">
        <v>15.1003</v>
      </c>
      <c r="G235" s="6">
        <f>IF($F$247=0,0,F235/$F$247)</f>
        <v/>
      </c>
      <c r="H235" s="5" t="n">
        <v>161.64</v>
      </c>
      <c r="I235" t="n">
        <v>4</v>
      </c>
      <c r="J235" t="n">
        <v>4</v>
      </c>
      <c r="L235" s="5" t="n">
        <v>646.54</v>
      </c>
    </row>
    <row r="236">
      <c r="A236" t="inlineStr">
        <is>
          <t>LIMA</t>
        </is>
      </c>
      <c r="B236" t="inlineStr">
        <is>
          <t>CAÑETE</t>
        </is>
      </c>
      <c r="C236" t="inlineStr">
        <is>
          <t>IMPERIAL</t>
        </is>
      </c>
      <c r="D236" t="inlineStr">
        <is>
          <t>150507</t>
        </is>
      </c>
      <c r="E236" t="inlineStr">
        <is>
          <t>—</t>
        </is>
      </c>
      <c r="F236" s="11" t="n">
        <v>12.7699</v>
      </c>
      <c r="G236" s="6">
        <f>IF($F$247=0,0,F236/$F$247)</f>
        <v/>
      </c>
      <c r="H236" s="5" t="n">
        <v>136.69</v>
      </c>
      <c r="I236" t="n">
        <v>1</v>
      </c>
      <c r="J236" t="n">
        <v>4</v>
      </c>
      <c r="L236" s="5" t="n">
        <v>341.73</v>
      </c>
    </row>
    <row r="237">
      <c r="A237" t="inlineStr">
        <is>
          <t>AREQUIPA</t>
        </is>
      </c>
      <c r="B237" t="inlineStr">
        <is>
          <t>AREQUIPA</t>
        </is>
      </c>
      <c r="C237" t="inlineStr">
        <is>
          <t>YANAHUARA</t>
        </is>
      </c>
      <c r="D237" t="inlineStr">
        <is>
          <t>040126</t>
        </is>
      </c>
      <c r="E237" t="inlineStr">
        <is>
          <t>—</t>
        </is>
      </c>
      <c r="F237" s="11" t="n">
        <v>11.995</v>
      </c>
      <c r="G237" s="6">
        <f>IF($F$247=0,0,F237/$F$247)</f>
        <v/>
      </c>
      <c r="H237" s="5" t="n">
        <v>128.4</v>
      </c>
      <c r="I237" t="n">
        <v>2</v>
      </c>
      <c r="J237" t="n">
        <v>5</v>
      </c>
      <c r="L237" s="5" t="n">
        <v>449.38</v>
      </c>
    </row>
    <row r="238">
      <c r="A238" t="inlineStr">
        <is>
          <t>SAN MARTIN</t>
        </is>
      </c>
      <c r="B238" t="inlineStr">
        <is>
          <t>RIOJA</t>
        </is>
      </c>
      <c r="C238" t="inlineStr">
        <is>
          <t>RIOJA</t>
        </is>
      </c>
      <c r="D238" t="inlineStr">
        <is>
          <t>220801</t>
        </is>
      </c>
      <c r="E238" t="inlineStr">
        <is>
          <t>—</t>
        </is>
      </c>
      <c r="F238" s="11" t="n">
        <v>8.164300000000001</v>
      </c>
      <c r="G238" s="6">
        <f>IF($F$247=0,0,F238/$F$247)</f>
        <v/>
      </c>
      <c r="H238" s="5" t="n">
        <v>87.39</v>
      </c>
      <c r="I238" t="n">
        <v>3</v>
      </c>
      <c r="J238" t="n">
        <v>3</v>
      </c>
      <c r="K238" t="n">
        <v>2</v>
      </c>
      <c r="L238" s="5" t="n">
        <v>233.05</v>
      </c>
    </row>
    <row r="239">
      <c r="A239" t="inlineStr">
        <is>
          <t>CUSCO</t>
        </is>
      </c>
      <c r="B239" t="inlineStr">
        <is>
          <t>URUBAMBA</t>
        </is>
      </c>
      <c r="C239" t="inlineStr">
        <is>
          <t>URUBAMBA</t>
        </is>
      </c>
      <c r="D239" t="inlineStr">
        <is>
          <t>081301</t>
        </is>
      </c>
      <c r="E239" t="inlineStr">
        <is>
          <t>—</t>
        </is>
      </c>
      <c r="F239" s="11" t="n">
        <v>5.2736</v>
      </c>
      <c r="G239" s="6">
        <f>IF($F$247=0,0,F239/$F$247)</f>
        <v/>
      </c>
      <c r="H239" s="5" t="n">
        <v>56.45</v>
      </c>
      <c r="I239" t="n">
        <v>4</v>
      </c>
      <c r="J239" t="n">
        <v>2</v>
      </c>
      <c r="K239" t="n">
        <v>3</v>
      </c>
      <c r="L239" s="5" t="n">
        <v>169.35</v>
      </c>
    </row>
    <row r="240">
      <c r="A240" t="inlineStr">
        <is>
          <t>UCAYALI</t>
        </is>
      </c>
      <c r="B240" t="inlineStr">
        <is>
          <t>CORONEL PORTILLO</t>
        </is>
      </c>
      <c r="C240" t="inlineStr">
        <is>
          <t>YARINACOCHA</t>
        </is>
      </c>
      <c r="D240" t="inlineStr">
        <is>
          <t>250105</t>
        </is>
      </c>
      <c r="E240" t="inlineStr">
        <is>
          <t>—</t>
        </is>
      </c>
      <c r="F240" s="11" t="n">
        <v>5.0002</v>
      </c>
      <c r="G240" s="6">
        <f>IF($F$247=0,0,F240/$F$247)</f>
        <v/>
      </c>
      <c r="H240" s="5" t="n">
        <v>53.52</v>
      </c>
      <c r="I240" t="n">
        <v>1</v>
      </c>
      <c r="J240" t="n">
        <v>5</v>
      </c>
      <c r="K240" t="n">
        <v>2</v>
      </c>
      <c r="L240" s="5" t="n">
        <v>142.73</v>
      </c>
    </row>
    <row r="241">
      <c r="A241" t="inlineStr">
        <is>
          <t>MOQUEGUA</t>
        </is>
      </c>
      <c r="B241" t="inlineStr">
        <is>
          <t>ILO</t>
        </is>
      </c>
      <c r="C241" t="inlineStr">
        <is>
          <t>PACOCHA</t>
        </is>
      </c>
      <c r="D241" t="inlineStr">
        <is>
          <t>180303</t>
        </is>
      </c>
      <c r="E241" t="inlineStr">
        <is>
          <t>—</t>
        </is>
      </c>
      <c r="F241" s="11" t="n">
        <v>3.1153</v>
      </c>
      <c r="G241" s="6">
        <f>IF($F$247=0,0,F241/$F$247)</f>
        <v/>
      </c>
      <c r="H241" s="5" t="n">
        <v>33.35</v>
      </c>
      <c r="I241" t="n">
        <v>4</v>
      </c>
      <c r="J241" t="n">
        <v>2</v>
      </c>
      <c r="L241" s="5" t="n">
        <v>100.04</v>
      </c>
    </row>
    <row r="242">
      <c r="A242" t="inlineStr">
        <is>
          <t>LIMA</t>
        </is>
      </c>
      <c r="B242" t="inlineStr">
        <is>
          <t>CAÑETE</t>
        </is>
      </c>
      <c r="C242" t="inlineStr">
        <is>
          <t>ASIA</t>
        </is>
      </c>
      <c r="D242" t="inlineStr">
        <is>
          <t>150502</t>
        </is>
      </c>
      <c r="E242" t="inlineStr">
        <is>
          <t>—</t>
        </is>
      </c>
      <c r="F242" s="11" t="n">
        <v>1.2952</v>
      </c>
      <c r="G242" s="6">
        <f>IF($F$247=0,0,F242/$F$247)</f>
        <v/>
      </c>
      <c r="H242" s="5" t="n">
        <v>13.86</v>
      </c>
      <c r="I242" t="n">
        <v>3</v>
      </c>
      <c r="J242" t="n">
        <v>3</v>
      </c>
      <c r="L242" s="5" t="n">
        <v>41.59</v>
      </c>
    </row>
    <row r="243">
      <c r="A243" t="inlineStr">
        <is>
          <t>CUSCO</t>
        </is>
      </c>
      <c r="B243" t="inlineStr">
        <is>
          <t>URUBAMBA</t>
        </is>
      </c>
      <c r="C243" t="inlineStr">
        <is>
          <t>MACHUPICCHU</t>
        </is>
      </c>
      <c r="D243" t="inlineStr">
        <is>
          <t>081304</t>
        </is>
      </c>
      <c r="E243" t="inlineStr">
        <is>
          <t>—</t>
        </is>
      </c>
      <c r="F243" s="11" t="n">
        <v>0</v>
      </c>
      <c r="G243" s="6">
        <f>IF($F$247=0,0,F243/$F$247)</f>
        <v/>
      </c>
      <c r="H243" s="5" t="n">
        <v>0</v>
      </c>
      <c r="I243" t="n">
        <v>4</v>
      </c>
      <c r="J243" t="n">
        <v>2</v>
      </c>
      <c r="K243" t="n">
        <v>3</v>
      </c>
      <c r="L243" s="5" t="n">
        <v>0</v>
      </c>
    </row>
    <row r="244">
      <c r="A244" t="inlineStr">
        <is>
          <t>CALLAO</t>
        </is>
      </c>
      <c r="B244" t="inlineStr">
        <is>
          <t>CALLAO</t>
        </is>
      </c>
      <c r="C244" t="inlineStr">
        <is>
          <t>CARMEN DE LA LEGUA REYNOSO</t>
        </is>
      </c>
      <c r="D244" t="inlineStr">
        <is>
          <t>070103</t>
        </is>
      </c>
      <c r="E244" t="inlineStr">
        <is>
          <t>—</t>
        </is>
      </c>
      <c r="F244" s="11" t="n">
        <v>0</v>
      </c>
      <c r="G244" s="6">
        <f>IF($F$247=0,0,F244/$F$247)</f>
        <v/>
      </c>
      <c r="H244" s="5" t="n">
        <v>0</v>
      </c>
      <c r="I244" t="n">
        <v>1</v>
      </c>
      <c r="J244" t="n">
        <v>4</v>
      </c>
      <c r="L244" s="5" t="n">
        <v>0</v>
      </c>
    </row>
    <row r="245">
      <c r="A245" t="inlineStr">
        <is>
          <t>MOQUEGUA</t>
        </is>
      </c>
      <c r="B245" t="inlineStr">
        <is>
          <t>MARISCAL NIETO</t>
        </is>
      </c>
      <c r="C245" t="inlineStr">
        <is>
          <t>TORATA</t>
        </is>
      </c>
      <c r="D245" t="inlineStr">
        <is>
          <t>180106</t>
        </is>
      </c>
      <c r="E245" t="inlineStr">
        <is>
          <t>—</t>
        </is>
      </c>
      <c r="F245" s="11" t="n">
        <v>0</v>
      </c>
      <c r="G245" s="6">
        <f>IF($F$247=0,0,F245/$F$247)</f>
        <v/>
      </c>
      <c r="H245" s="5" t="n">
        <v>0</v>
      </c>
      <c r="I245" t="n">
        <v>5</v>
      </c>
      <c r="J245" t="n">
        <v>3</v>
      </c>
      <c r="K245" t="n">
        <v>4</v>
      </c>
      <c r="L245" s="5" t="n">
        <v>0</v>
      </c>
    </row>
    <row r="246">
      <c r="A246" t="inlineStr">
        <is>
          <t>LORETO</t>
        </is>
      </c>
      <c r="B246" t="inlineStr">
        <is>
          <t>MAYNAS</t>
        </is>
      </c>
      <c r="C246" t="inlineStr">
        <is>
          <t>SAN JUAN BAUTISTA</t>
        </is>
      </c>
      <c r="D246" t="inlineStr">
        <is>
          <t>160113</t>
        </is>
      </c>
      <c r="E246" t="inlineStr">
        <is>
          <t>—</t>
        </is>
      </c>
      <c r="F246" s="11" t="n">
        <v>0</v>
      </c>
      <c r="G246" s="6">
        <f>IF($F$247=0,0,F246/$F$247)</f>
        <v/>
      </c>
      <c r="H246" s="5" t="n">
        <v>0</v>
      </c>
      <c r="I246" t="n">
        <v>3</v>
      </c>
      <c r="J246" t="n">
        <v>4</v>
      </c>
      <c r="K246" t="n">
        <v>2</v>
      </c>
      <c r="L246" s="5" t="n">
        <v>0</v>
      </c>
    </row>
    <row r="247">
      <c r="A247" s="12" t="inlineStr">
        <is>
          <t>TOTAL</t>
        </is>
      </c>
      <c r="B247" t="inlineStr"/>
      <c r="C247" t="inlineStr"/>
      <c r="D247" t="inlineStr"/>
      <c r="E247" t="inlineStr"/>
      <c r="F247" s="13">
        <f>SUM(F5:F246)</f>
        <v/>
      </c>
      <c r="G247" t="inlineStr"/>
      <c r="H247" s="14">
        <f>SUM(H5:H246)</f>
        <v/>
      </c>
      <c r="I247" t="inlineStr"/>
      <c r="J247" t="inlineStr"/>
      <c r="K247" t="inlineStr"/>
      <c r="L247" s="14">
        <f>SUM(L5:L246)</f>
        <v/>
      </c>
    </row>
    <row r="250">
      <c r="A250" s="15" t="inlineStr">
        <is>
          <t>Detalle por colocaciones (Miles S/)</t>
        </is>
      </c>
    </row>
    <row r="251">
      <c r="A251" s="3" t="inlineStr">
        <is>
          <t>Distrito</t>
        </is>
      </c>
      <c r="B251" s="3" t="inlineStr">
        <is>
          <t>Ubigeo</t>
        </is>
      </c>
      <c r="C251" s="3" t="inlineStr">
        <is>
          <t>Mineral</t>
        </is>
      </c>
      <c r="D251" s="3" t="inlineStr">
        <is>
          <t>Unidad</t>
        </is>
      </c>
      <c r="E251" s="3" t="inlineStr">
        <is>
          <t>Cantidad (orig.)</t>
        </is>
      </c>
      <c r="F251" s="3" t="inlineStr">
        <is>
          <t>TMF equiv.</t>
        </is>
      </c>
    </row>
    <row r="252">
      <c r="A252" t="inlineStr">
        <is>
          <t>LIMA</t>
        </is>
      </c>
      <c r="B252" t="inlineStr">
        <is>
          <t>150101</t>
        </is>
      </c>
      <c r="C252" t="inlineStr">
        <is>
          <t>Créditos</t>
        </is>
      </c>
      <c r="D252" t="inlineStr">
        <is>
          <t>Miles S/</t>
        </is>
      </c>
      <c r="E252" s="11" t="n">
        <v>60180007.5224</v>
      </c>
      <c r="F252" s="16" t="n">
        <v>60180007.5224</v>
      </c>
    </row>
    <row r="253">
      <c r="A253" t="inlineStr">
        <is>
          <t>SAN ISIDRO</t>
        </is>
      </c>
      <c r="B253" t="inlineStr">
        <is>
          <t>150131</t>
        </is>
      </c>
      <c r="C253" t="inlineStr">
        <is>
          <t>Créditos</t>
        </is>
      </c>
      <c r="D253" t="inlineStr">
        <is>
          <t>Miles S/</t>
        </is>
      </c>
      <c r="E253" s="11" t="n">
        <v>29188857.5936</v>
      </c>
      <c r="F253" s="16" t="n">
        <v>29188857.59362</v>
      </c>
    </row>
    <row r="254">
      <c r="A254" t="inlineStr">
        <is>
          <t>MIRAFLORES</t>
        </is>
      </c>
      <c r="B254" t="inlineStr">
        <is>
          <t>150122</t>
        </is>
      </c>
      <c r="C254" t="inlineStr">
        <is>
          <t>Créditos</t>
        </is>
      </c>
      <c r="D254" t="inlineStr">
        <is>
          <t>Miles S/</t>
        </is>
      </c>
      <c r="E254" s="11" t="n">
        <v>11725536.6671</v>
      </c>
      <c r="F254" s="16" t="n">
        <v>11725536.66706</v>
      </c>
    </row>
    <row r="255">
      <c r="A255" t="inlineStr">
        <is>
          <t>AREQUIPA</t>
        </is>
      </c>
      <c r="B255" t="inlineStr">
        <is>
          <t>040101</t>
        </is>
      </c>
      <c r="C255" t="inlineStr">
        <is>
          <t>Créditos</t>
        </is>
      </c>
      <c r="D255" t="inlineStr">
        <is>
          <t>Miles S/</t>
        </is>
      </c>
      <c r="E255" s="11" t="n">
        <v>3451281.8865</v>
      </c>
      <c r="F255" s="16" t="n">
        <v>3451281.88653</v>
      </c>
    </row>
    <row r="256">
      <c r="A256" t="inlineStr">
        <is>
          <t>LA PUNTA</t>
        </is>
      </c>
      <c r="B256" t="inlineStr">
        <is>
          <t>070105</t>
        </is>
      </c>
      <c r="C256" t="inlineStr">
        <is>
          <t>Créditos</t>
        </is>
      </c>
      <c r="D256" t="inlineStr">
        <is>
          <t>Miles S/</t>
        </is>
      </c>
      <c r="E256" s="11" t="n">
        <v>2838844.6067</v>
      </c>
      <c r="F256" s="16" t="n">
        <v>2838844.60669</v>
      </c>
    </row>
    <row r="257">
      <c r="A257" t="inlineStr">
        <is>
          <t>TRUJILLO</t>
        </is>
      </c>
      <c r="B257" t="inlineStr">
        <is>
          <t>130101</t>
        </is>
      </c>
      <c r="C257" t="inlineStr">
        <is>
          <t>Créditos</t>
        </is>
      </c>
      <c r="D257" t="inlineStr">
        <is>
          <t>Miles S/</t>
        </is>
      </c>
      <c r="E257" s="11" t="n">
        <v>2751909.5136</v>
      </c>
      <c r="F257" s="16" t="n">
        <v>2751909.51356</v>
      </c>
    </row>
    <row r="258">
      <c r="A258" t="inlineStr">
        <is>
          <t>CHICLAYO</t>
        </is>
      </c>
      <c r="B258" t="inlineStr">
        <is>
          <t>140101</t>
        </is>
      </c>
      <c r="C258" t="inlineStr">
        <is>
          <t>Créditos</t>
        </is>
      </c>
      <c r="D258" t="inlineStr">
        <is>
          <t>Miles S/</t>
        </is>
      </c>
      <c r="E258" s="11" t="n">
        <v>1573397.3163</v>
      </c>
      <c r="F258" s="16" t="n">
        <v>1573397.31635</v>
      </c>
    </row>
    <row r="259">
      <c r="A259" t="inlineStr">
        <is>
          <t>PIURA</t>
        </is>
      </c>
      <c r="B259" t="inlineStr">
        <is>
          <t>200101</t>
        </is>
      </c>
      <c r="C259" t="inlineStr">
        <is>
          <t>Créditos</t>
        </is>
      </c>
      <c r="D259" t="inlineStr">
        <is>
          <t>Miles S/</t>
        </is>
      </c>
      <c r="E259" s="11" t="n">
        <v>1151786.8265</v>
      </c>
      <c r="F259" s="16" t="n">
        <v>1151786.82655</v>
      </c>
    </row>
    <row r="260">
      <c r="A260" t="inlineStr">
        <is>
          <t>JULIACA</t>
        </is>
      </c>
      <c r="B260" t="inlineStr">
        <is>
          <t>211101</t>
        </is>
      </c>
      <c r="C260" t="inlineStr">
        <is>
          <t>Créditos</t>
        </is>
      </c>
      <c r="D260" t="inlineStr">
        <is>
          <t>Miles S/</t>
        </is>
      </c>
      <c r="E260" s="11" t="n">
        <v>762281.0286</v>
      </c>
      <c r="F260" s="16" t="n">
        <v>762281.02858</v>
      </c>
    </row>
    <row r="261">
      <c r="A261" t="inlineStr">
        <is>
          <t>CUSCO</t>
        </is>
      </c>
      <c r="B261" t="inlineStr">
        <is>
          <t>080101</t>
        </is>
      </c>
      <c r="C261" t="inlineStr">
        <is>
          <t>Créditos</t>
        </is>
      </c>
      <c r="D261" t="inlineStr">
        <is>
          <t>Miles S/</t>
        </is>
      </c>
      <c r="E261" s="11" t="n">
        <v>739608.8231</v>
      </c>
      <c r="F261" s="16" t="n">
        <v>739608.82315</v>
      </c>
    </row>
    <row r="262">
      <c r="A262" t="inlineStr">
        <is>
          <t>CAJAMARCA</t>
        </is>
      </c>
      <c r="B262" t="inlineStr">
        <is>
          <t>060101</t>
        </is>
      </c>
      <c r="C262" t="inlineStr">
        <is>
          <t>Créditos</t>
        </is>
      </c>
      <c r="D262" t="inlineStr">
        <is>
          <t>Miles S/</t>
        </is>
      </c>
      <c r="E262" s="11" t="n">
        <v>669391.2398</v>
      </c>
      <c r="F262" s="16" t="n">
        <v>669391.23982</v>
      </c>
    </row>
    <row r="263">
      <c r="A263" t="inlineStr">
        <is>
          <t>ICA</t>
        </is>
      </c>
      <c r="B263" t="inlineStr">
        <is>
          <t>110101</t>
        </is>
      </c>
      <c r="C263" t="inlineStr">
        <is>
          <t>Créditos</t>
        </is>
      </c>
      <c r="D263" t="inlineStr">
        <is>
          <t>Miles S/</t>
        </is>
      </c>
      <c r="E263" s="11" t="n">
        <v>659330.6155</v>
      </c>
      <c r="F263" s="16" t="n">
        <v>659330.61551</v>
      </c>
    </row>
    <row r="264">
      <c r="A264" t="inlineStr">
        <is>
          <t>HUANCAYO</t>
        </is>
      </c>
      <c r="B264" t="inlineStr">
        <is>
          <t>120101</t>
        </is>
      </c>
      <c r="C264" t="inlineStr">
        <is>
          <t>Créditos</t>
        </is>
      </c>
      <c r="D264" t="inlineStr">
        <is>
          <t>Miles S/</t>
        </is>
      </c>
      <c r="E264" s="11" t="n">
        <v>650140.4081</v>
      </c>
      <c r="F264" s="16" t="n">
        <v>650140.40807</v>
      </c>
    </row>
    <row r="265">
      <c r="A265" t="inlineStr">
        <is>
          <t>CHIMBOTE</t>
        </is>
      </c>
      <c r="B265" t="inlineStr">
        <is>
          <t>021801</t>
        </is>
      </c>
      <c r="C265" t="inlineStr">
        <is>
          <t>Créditos</t>
        </is>
      </c>
      <c r="D265" t="inlineStr">
        <is>
          <t>Miles S/</t>
        </is>
      </c>
      <c r="E265" s="11" t="n">
        <v>584120.0547</v>
      </c>
      <c r="F265" s="16" t="n">
        <v>584120.0547</v>
      </c>
    </row>
    <row r="266">
      <c r="A266" t="inlineStr">
        <is>
          <t>TARAPOTO</t>
        </is>
      </c>
      <c r="B266" t="inlineStr">
        <is>
          <t>220901</t>
        </is>
      </c>
      <c r="C266" t="inlineStr">
        <is>
          <t>Créditos</t>
        </is>
      </c>
      <c r="D266" t="inlineStr">
        <is>
          <t>Miles S/</t>
        </is>
      </c>
      <c r="E266" s="11" t="n">
        <v>576683.8268</v>
      </c>
      <c r="F266" s="16" t="n">
        <v>576683.82675</v>
      </c>
    </row>
    <row r="267">
      <c r="A267" t="inlineStr">
        <is>
          <t>TACNA</t>
        </is>
      </c>
      <c r="B267" t="inlineStr">
        <is>
          <t>230101</t>
        </is>
      </c>
      <c r="C267" t="inlineStr">
        <is>
          <t>Créditos</t>
        </is>
      </c>
      <c r="D267" t="inlineStr">
        <is>
          <t>Miles S/</t>
        </is>
      </c>
      <c r="E267" s="11" t="n">
        <v>570495.5995</v>
      </c>
      <c r="F267" s="16" t="n">
        <v>570495.59953</v>
      </c>
    </row>
    <row r="268">
      <c r="A268" t="inlineStr">
        <is>
          <t>HUARAZ</t>
        </is>
      </c>
      <c r="B268" t="inlineStr">
        <is>
          <t>020101</t>
        </is>
      </c>
      <c r="C268" t="inlineStr">
        <is>
          <t>Créditos</t>
        </is>
      </c>
      <c r="D268" t="inlineStr">
        <is>
          <t>Miles S/</t>
        </is>
      </c>
      <c r="E268" s="11" t="n">
        <v>550364.6206</v>
      </c>
      <c r="F268" s="16" t="n">
        <v>550364.62061</v>
      </c>
    </row>
    <row r="269">
      <c r="A269" t="inlineStr">
        <is>
          <t>IQUITOS</t>
        </is>
      </c>
      <c r="B269" t="inlineStr">
        <is>
          <t>160101</t>
        </is>
      </c>
      <c r="C269" t="inlineStr">
        <is>
          <t>Créditos</t>
        </is>
      </c>
      <c r="D269" t="inlineStr">
        <is>
          <t>Miles S/</t>
        </is>
      </c>
      <c r="E269" s="11" t="n">
        <v>524982.4597</v>
      </c>
      <c r="F269" s="16" t="n">
        <v>524982.4597</v>
      </c>
    </row>
    <row r="270">
      <c r="A270" t="inlineStr">
        <is>
          <t>CALLERIA</t>
        </is>
      </c>
      <c r="B270" t="inlineStr">
        <is>
          <t>250101</t>
        </is>
      </c>
      <c r="C270" t="inlineStr">
        <is>
          <t>Créditos</t>
        </is>
      </c>
      <c r="D270" t="inlineStr">
        <is>
          <t>Miles S/</t>
        </is>
      </c>
      <c r="E270" s="11" t="n">
        <v>497413.8376</v>
      </c>
      <c r="F270" s="16" t="n">
        <v>497413.83764</v>
      </c>
    </row>
    <row r="271">
      <c r="A271" t="inlineStr">
        <is>
          <t>CHINCHA ALTA</t>
        </is>
      </c>
      <c r="B271" t="inlineStr">
        <is>
          <t>110201</t>
        </is>
      </c>
      <c r="C271" t="inlineStr">
        <is>
          <t>Créditos</t>
        </is>
      </c>
      <c r="D271" t="inlineStr">
        <is>
          <t>Miles S/</t>
        </is>
      </c>
      <c r="E271" s="11" t="n">
        <v>489092.6465</v>
      </c>
      <c r="F271" s="16" t="n">
        <v>489092.64647</v>
      </c>
    </row>
    <row r="272">
      <c r="A272" t="inlineStr">
        <is>
          <t>ATE</t>
        </is>
      </c>
      <c r="B272" t="inlineStr">
        <is>
          <t>150103</t>
        </is>
      </c>
      <c r="C272" t="inlineStr">
        <is>
          <t>Créditos</t>
        </is>
      </c>
      <c r="D272" t="inlineStr">
        <is>
          <t>Miles S/</t>
        </is>
      </c>
      <c r="E272" s="11" t="n">
        <v>461630.7694</v>
      </c>
      <c r="F272" s="16" t="n">
        <v>461630.76942</v>
      </c>
    </row>
    <row r="273">
      <c r="A273" t="inlineStr">
        <is>
          <t>AYACUCHO</t>
        </is>
      </c>
      <c r="B273" t="inlineStr">
        <is>
          <t>050101</t>
        </is>
      </c>
      <c r="C273" t="inlineStr">
        <is>
          <t>Créditos</t>
        </is>
      </c>
      <c r="D273" t="inlineStr">
        <is>
          <t>Miles S/</t>
        </is>
      </c>
      <c r="E273" s="11" t="n">
        <v>458401.9751</v>
      </c>
      <c r="F273" s="16" t="n">
        <v>458401.97509</v>
      </c>
    </row>
    <row r="274">
      <c r="A274" t="inlineStr">
        <is>
          <t>JAEN</t>
        </is>
      </c>
      <c r="B274" t="inlineStr">
        <is>
          <t>060801</t>
        </is>
      </c>
      <c r="C274" t="inlineStr">
        <is>
          <t>Créditos</t>
        </is>
      </c>
      <c r="D274" t="inlineStr">
        <is>
          <t>Miles S/</t>
        </is>
      </c>
      <c r="E274" s="11" t="n">
        <v>425355.8671</v>
      </c>
      <c r="F274" s="16" t="n">
        <v>425355.86709</v>
      </c>
    </row>
    <row r="275">
      <c r="A275" t="inlineStr">
        <is>
          <t>HUANUCO</t>
        </is>
      </c>
      <c r="B275" t="inlineStr">
        <is>
          <t>100101</t>
        </is>
      </c>
      <c r="C275" t="inlineStr">
        <is>
          <t>Créditos</t>
        </is>
      </c>
      <c r="D275" t="inlineStr">
        <is>
          <t>Miles S/</t>
        </is>
      </c>
      <c r="E275" s="11" t="n">
        <v>420611.1818</v>
      </c>
      <c r="F275" s="16" t="n">
        <v>420611.18185</v>
      </c>
    </row>
    <row r="276">
      <c r="A276" t="inlineStr">
        <is>
          <t>SAN JUAN DE LURIGANCHO</t>
        </is>
      </c>
      <c r="B276" t="inlineStr">
        <is>
          <t>150132</t>
        </is>
      </c>
      <c r="C276" t="inlineStr">
        <is>
          <t>Créditos</t>
        </is>
      </c>
      <c r="D276" t="inlineStr">
        <is>
          <t>Miles S/</t>
        </is>
      </c>
      <c r="E276" s="11" t="n">
        <v>371894.8838</v>
      </c>
      <c r="F276" s="16" t="n">
        <v>371894.88377</v>
      </c>
    </row>
    <row r="277">
      <c r="A277" t="inlineStr">
        <is>
          <t>SULLANA</t>
        </is>
      </c>
      <c r="B277" t="inlineStr">
        <is>
          <t>200601</t>
        </is>
      </c>
      <c r="C277" t="inlineStr">
        <is>
          <t>Créditos</t>
        </is>
      </c>
      <c r="D277" t="inlineStr">
        <is>
          <t>Miles S/</t>
        </is>
      </c>
      <c r="E277" s="11" t="n">
        <v>313758.4497</v>
      </c>
      <c r="F277" s="16" t="n">
        <v>313758.4497</v>
      </c>
    </row>
    <row r="278">
      <c r="A278" t="inlineStr">
        <is>
          <t>PUNO</t>
        </is>
      </c>
      <c r="B278" t="inlineStr">
        <is>
          <t>210101</t>
        </is>
      </c>
      <c r="C278" t="inlineStr">
        <is>
          <t>Créditos</t>
        </is>
      </c>
      <c r="D278" t="inlineStr">
        <is>
          <t>Miles S/</t>
        </is>
      </c>
      <c r="E278" s="11" t="n">
        <v>292989.0638</v>
      </c>
      <c r="F278" s="16" t="n">
        <v>292989.06382</v>
      </c>
    </row>
    <row r="279">
      <c r="A279" t="inlineStr">
        <is>
          <t>LOS OLIVOS</t>
        </is>
      </c>
      <c r="B279" t="inlineStr">
        <is>
          <t>150117</t>
        </is>
      </c>
      <c r="C279" t="inlineStr">
        <is>
          <t>Créditos</t>
        </is>
      </c>
      <c r="D279" t="inlineStr">
        <is>
          <t>Miles S/</t>
        </is>
      </c>
      <c r="E279" s="11" t="n">
        <v>269071.7613</v>
      </c>
      <c r="F279" s="16" t="n">
        <v>269071.7613</v>
      </c>
    </row>
    <row r="280">
      <c r="A280" t="inlineStr">
        <is>
          <t>HUACHO</t>
        </is>
      </c>
      <c r="B280" t="inlineStr">
        <is>
          <t>150801</t>
        </is>
      </c>
      <c r="C280" t="inlineStr">
        <is>
          <t>Créditos</t>
        </is>
      </c>
      <c r="D280" t="inlineStr">
        <is>
          <t>Miles S/</t>
        </is>
      </c>
      <c r="E280" s="11" t="n">
        <v>263969.5107</v>
      </c>
      <c r="F280" s="16" t="n">
        <v>263969.51073</v>
      </c>
    </row>
    <row r="281">
      <c r="A281" t="inlineStr">
        <is>
          <t>MOYOBAMBA</t>
        </is>
      </c>
      <c r="B281" t="inlineStr">
        <is>
          <t>220101</t>
        </is>
      </c>
      <c r="C281" t="inlineStr">
        <is>
          <t>Créditos</t>
        </is>
      </c>
      <c r="D281" t="inlineStr">
        <is>
          <t>Miles S/</t>
        </is>
      </c>
      <c r="E281" s="11" t="n">
        <v>253640.1566</v>
      </c>
      <c r="F281" s="16" t="n">
        <v>253640.15663</v>
      </c>
    </row>
    <row r="282">
      <c r="A282" t="inlineStr">
        <is>
          <t>VILLA EL SALVADOR</t>
        </is>
      </c>
      <c r="B282" t="inlineStr">
        <is>
          <t>150142</t>
        </is>
      </c>
      <c r="C282" t="inlineStr">
        <is>
          <t>Créditos</t>
        </is>
      </c>
      <c r="D282" t="inlineStr">
        <is>
          <t>Miles S/</t>
        </is>
      </c>
      <c r="E282" s="11" t="n">
        <v>241375.0037</v>
      </c>
      <c r="F282" s="16" t="n">
        <v>241375.00367</v>
      </c>
    </row>
    <row r="283">
      <c r="A283" t="inlineStr">
        <is>
          <t>VILLA MARIA DEL TRIUNFO</t>
        </is>
      </c>
      <c r="B283" t="inlineStr">
        <is>
          <t>150143</t>
        </is>
      </c>
      <c r="C283" t="inlineStr">
        <is>
          <t>Créditos</t>
        </is>
      </c>
      <c r="D283" t="inlineStr">
        <is>
          <t>Miles S/</t>
        </is>
      </c>
      <c r="E283" s="11" t="n">
        <v>237251.2769</v>
      </c>
      <c r="F283" s="16" t="n">
        <v>237251.27689</v>
      </c>
    </row>
    <row r="284">
      <c r="A284" t="inlineStr">
        <is>
          <t>LA VICTORIA</t>
        </is>
      </c>
      <c r="B284" t="inlineStr">
        <is>
          <t>150115</t>
        </is>
      </c>
      <c r="C284" t="inlineStr">
        <is>
          <t>Créditos</t>
        </is>
      </c>
      <c r="D284" t="inlineStr">
        <is>
          <t>Miles S/</t>
        </is>
      </c>
      <c r="E284" s="11" t="n">
        <v>230390.9639</v>
      </c>
      <c r="F284" s="16" t="n">
        <v>230390.96388</v>
      </c>
    </row>
    <row r="285">
      <c r="A285" t="inlineStr">
        <is>
          <t>TUMBES</t>
        </is>
      </c>
      <c r="B285" t="inlineStr">
        <is>
          <t>240101</t>
        </is>
      </c>
      <c r="C285" t="inlineStr">
        <is>
          <t>Créditos</t>
        </is>
      </c>
      <c r="D285" t="inlineStr">
        <is>
          <t>Miles S/</t>
        </is>
      </c>
      <c r="E285" s="11" t="n">
        <v>199582.4443</v>
      </c>
      <c r="F285" s="16" t="n">
        <v>199582.44429</v>
      </c>
    </row>
    <row r="286">
      <c r="A286" t="inlineStr">
        <is>
          <t>CERRO COLORADO</t>
        </is>
      </c>
      <c r="B286" t="inlineStr">
        <is>
          <t>040104</t>
        </is>
      </c>
      <c r="C286" t="inlineStr">
        <is>
          <t>Créditos</t>
        </is>
      </c>
      <c r="D286" t="inlineStr">
        <is>
          <t>Miles S/</t>
        </is>
      </c>
      <c r="E286" s="11" t="n">
        <v>190802.6703</v>
      </c>
      <c r="F286" s="16" t="n">
        <v>190802.67032</v>
      </c>
    </row>
    <row r="287">
      <c r="A287" t="inlineStr">
        <is>
          <t>ILO</t>
        </is>
      </c>
      <c r="B287" t="inlineStr">
        <is>
          <t>180301</t>
        </is>
      </c>
      <c r="C287" t="inlineStr">
        <is>
          <t>Créditos</t>
        </is>
      </c>
      <c r="D287" t="inlineStr">
        <is>
          <t>Miles S/</t>
        </is>
      </c>
      <c r="E287" s="11" t="n">
        <v>185334.2333</v>
      </c>
      <c r="F287" s="16" t="n">
        <v>185334.23329</v>
      </c>
    </row>
    <row r="288">
      <c r="A288" t="inlineStr">
        <is>
          <t>SAN VICENTE DE CAÑETE</t>
        </is>
      </c>
      <c r="B288" t="inlineStr">
        <is>
          <t>150501</t>
        </is>
      </c>
      <c r="C288" t="inlineStr">
        <is>
          <t>Créditos</t>
        </is>
      </c>
      <c r="D288" t="inlineStr">
        <is>
          <t>Miles S/</t>
        </is>
      </c>
      <c r="E288" s="11" t="n">
        <v>179867.2814</v>
      </c>
      <c r="F288" s="16" t="n">
        <v>179867.2814</v>
      </c>
    </row>
    <row r="289">
      <c r="A289" t="inlineStr">
        <is>
          <t>SAN JUAN DE MIRAFLORES</t>
        </is>
      </c>
      <c r="B289" t="inlineStr">
        <is>
          <t>150133</t>
        </is>
      </c>
      <c r="C289" t="inlineStr">
        <is>
          <t>Créditos</t>
        </is>
      </c>
      <c r="D289" t="inlineStr">
        <is>
          <t>Miles S/</t>
        </is>
      </c>
      <c r="E289" s="11" t="n">
        <v>178426.1151</v>
      </c>
      <c r="F289" s="16" t="n">
        <v>178426.11508</v>
      </c>
    </row>
    <row r="290">
      <c r="A290" t="inlineStr">
        <is>
          <t>PISCO</t>
        </is>
      </c>
      <c r="B290" t="inlineStr">
        <is>
          <t>110501</t>
        </is>
      </c>
      <c r="C290" t="inlineStr">
        <is>
          <t>Créditos</t>
        </is>
      </c>
      <c r="D290" t="inlineStr">
        <is>
          <t>Miles S/</t>
        </is>
      </c>
      <c r="E290" s="11" t="n">
        <v>173484.9538</v>
      </c>
      <c r="F290" s="16" t="n">
        <v>173484.95379</v>
      </c>
    </row>
    <row r="291">
      <c r="A291" t="inlineStr">
        <is>
          <t>CHEPEN</t>
        </is>
      </c>
      <c r="B291" t="inlineStr">
        <is>
          <t>130401</t>
        </is>
      </c>
      <c r="C291" t="inlineStr">
        <is>
          <t>Créditos</t>
        </is>
      </c>
      <c r="D291" t="inlineStr">
        <is>
          <t>Miles S/</t>
        </is>
      </c>
      <c r="E291" s="11" t="n">
        <v>170894.4588</v>
      </c>
      <c r="F291" s="16" t="n">
        <v>170894.4588</v>
      </c>
    </row>
    <row r="292">
      <c r="A292" t="inlineStr">
        <is>
          <t>ANDAHUAYLAS</t>
        </is>
      </c>
      <c r="B292" t="inlineStr">
        <is>
          <t>030201</t>
        </is>
      </c>
      <c r="C292" t="inlineStr">
        <is>
          <t>Créditos</t>
        </is>
      </c>
      <c r="D292" t="inlineStr">
        <is>
          <t>Miles S/</t>
        </is>
      </c>
      <c r="E292" s="11" t="n">
        <v>166466.8291</v>
      </c>
      <c r="F292" s="16" t="n">
        <v>166466.82914</v>
      </c>
    </row>
    <row r="293">
      <c r="A293" t="inlineStr">
        <is>
          <t>VENTANILLA</t>
        </is>
      </c>
      <c r="B293" t="inlineStr">
        <is>
          <t>070106</t>
        </is>
      </c>
      <c r="C293" t="inlineStr">
        <is>
          <t>Créditos</t>
        </is>
      </c>
      <c r="D293" t="inlineStr">
        <is>
          <t>Miles S/</t>
        </is>
      </c>
      <c r="E293" s="11" t="n">
        <v>165884.3735</v>
      </c>
      <c r="F293" s="16" t="n">
        <v>165884.37355</v>
      </c>
    </row>
    <row r="294">
      <c r="A294" t="inlineStr">
        <is>
          <t>PUENTE PIEDRA</t>
        </is>
      </c>
      <c r="B294" t="inlineStr">
        <is>
          <t>150125</t>
        </is>
      </c>
      <c r="C294" t="inlineStr">
        <is>
          <t>Créditos</t>
        </is>
      </c>
      <c r="D294" t="inlineStr">
        <is>
          <t>Miles S/</t>
        </is>
      </c>
      <c r="E294" s="11" t="n">
        <v>165688.8934</v>
      </c>
      <c r="F294" s="16" t="n">
        <v>165688.8934</v>
      </c>
    </row>
    <row r="295">
      <c r="A295" t="inlineStr">
        <is>
          <t>CHORRILLOS</t>
        </is>
      </c>
      <c r="B295" t="inlineStr">
        <is>
          <t>150108</t>
        </is>
      </c>
      <c r="C295" t="inlineStr">
        <is>
          <t>Créditos</t>
        </is>
      </c>
      <c r="D295" t="inlineStr">
        <is>
          <t>Miles S/</t>
        </is>
      </c>
      <c r="E295" s="11" t="n">
        <v>163518.8996</v>
      </c>
      <c r="F295" s="16" t="n">
        <v>163518.89956</v>
      </c>
    </row>
    <row r="296">
      <c r="A296" t="inlineStr">
        <is>
          <t>MOQUEGUA</t>
        </is>
      </c>
      <c r="B296" t="inlineStr">
        <is>
          <t>180101</t>
        </is>
      </c>
      <c r="C296" t="inlineStr">
        <is>
          <t>Créditos</t>
        </is>
      </c>
      <c r="D296" t="inlineStr">
        <is>
          <t>Miles S/</t>
        </is>
      </c>
      <c r="E296" s="11" t="n">
        <v>161446.148</v>
      </c>
      <c r="F296" s="16" t="n">
        <v>161446.148</v>
      </c>
    </row>
    <row r="297">
      <c r="A297" t="inlineStr">
        <is>
          <t>HUARAL</t>
        </is>
      </c>
      <c r="B297" t="inlineStr">
        <is>
          <t>150601</t>
        </is>
      </c>
      <c r="C297" t="inlineStr">
        <is>
          <t>Créditos</t>
        </is>
      </c>
      <c r="D297" t="inlineStr">
        <is>
          <t>Miles S/</t>
        </is>
      </c>
      <c r="E297" s="11" t="n">
        <v>161029.0179</v>
      </c>
      <c r="F297" s="16" t="n">
        <v>161029.01795</v>
      </c>
    </row>
    <row r="298">
      <c r="A298" t="inlineStr">
        <is>
          <t>HUAMACHUCO</t>
        </is>
      </c>
      <c r="B298" t="inlineStr">
        <is>
          <t>130901</t>
        </is>
      </c>
      <c r="C298" t="inlineStr">
        <is>
          <t>Créditos</t>
        </is>
      </c>
      <c r="D298" t="inlineStr">
        <is>
          <t>Miles S/</t>
        </is>
      </c>
      <c r="E298" s="11" t="n">
        <v>158270.4387</v>
      </c>
      <c r="F298" s="16" t="n">
        <v>158270.43869</v>
      </c>
    </row>
    <row r="299">
      <c r="A299" t="inlineStr">
        <is>
          <t>TAMBOPATA</t>
        </is>
      </c>
      <c r="B299" t="inlineStr">
        <is>
          <t>170101</t>
        </is>
      </c>
      <c r="C299" t="inlineStr">
        <is>
          <t>Créditos</t>
        </is>
      </c>
      <c r="D299" t="inlineStr">
        <is>
          <t>Miles S/</t>
        </is>
      </c>
      <c r="E299" s="11" t="n">
        <v>157644.7499</v>
      </c>
      <c r="F299" s="16" t="n">
        <v>157644.74989</v>
      </c>
    </row>
    <row r="300">
      <c r="A300" t="inlineStr">
        <is>
          <t>ABANCAY</t>
        </is>
      </c>
      <c r="B300" t="inlineStr">
        <is>
          <t>030101</t>
        </is>
      </c>
      <c r="C300" t="inlineStr">
        <is>
          <t>Créditos</t>
        </is>
      </c>
      <c r="D300" t="inlineStr">
        <is>
          <t>Miles S/</t>
        </is>
      </c>
      <c r="E300" s="11" t="n">
        <v>154332.9764</v>
      </c>
      <c r="F300" s="16" t="n">
        <v>154332.97642</v>
      </c>
    </row>
    <row r="301">
      <c r="A301" t="inlineStr">
        <is>
          <t>CHANCHAMAYO</t>
        </is>
      </c>
      <c r="B301" t="inlineStr">
        <is>
          <t>120301</t>
        </is>
      </c>
      <c r="C301" t="inlineStr">
        <is>
          <t>Créditos</t>
        </is>
      </c>
      <c r="D301" t="inlineStr">
        <is>
          <t>Miles S/</t>
        </is>
      </c>
      <c r="E301" s="11" t="n">
        <v>152526.3423</v>
      </c>
      <c r="F301" s="16" t="n">
        <v>152526.34235</v>
      </c>
    </row>
    <row r="302">
      <c r="A302" t="inlineStr">
        <is>
          <t>BARRANCA</t>
        </is>
      </c>
      <c r="B302" t="inlineStr">
        <is>
          <t>150201</t>
        </is>
      </c>
      <c r="C302" t="inlineStr">
        <is>
          <t>Créditos</t>
        </is>
      </c>
      <c r="D302" t="inlineStr">
        <is>
          <t>Miles S/</t>
        </is>
      </c>
      <c r="E302" s="11" t="n">
        <v>150872.9602</v>
      </c>
      <c r="F302" s="16" t="n">
        <v>150872.96023</v>
      </c>
    </row>
    <row r="303">
      <c r="A303" t="inlineStr">
        <is>
          <t>CHOTA</t>
        </is>
      </c>
      <c r="B303" t="inlineStr">
        <is>
          <t>060401</t>
        </is>
      </c>
      <c r="C303" t="inlineStr">
        <is>
          <t>Créditos</t>
        </is>
      </c>
      <c r="D303" t="inlineStr">
        <is>
          <t>Miles S/</t>
        </is>
      </c>
      <c r="E303" s="11" t="n">
        <v>150869.0104</v>
      </c>
      <c r="F303" s="16" t="n">
        <v>150869.01043</v>
      </c>
    </row>
    <row r="304">
      <c r="A304" t="inlineStr">
        <is>
          <t>EL PORVENIR</t>
        </is>
      </c>
      <c r="B304" t="inlineStr">
        <is>
          <t>130102</t>
        </is>
      </c>
      <c r="C304" t="inlineStr">
        <is>
          <t>Créditos</t>
        </is>
      </c>
      <c r="D304" t="inlineStr">
        <is>
          <t>Miles S/</t>
        </is>
      </c>
      <c r="E304" s="11" t="n">
        <v>143679.443</v>
      </c>
      <c r="F304" s="16" t="n">
        <v>143679.44303</v>
      </c>
    </row>
    <row r="305">
      <c r="A305" t="inlineStr">
        <is>
          <t>LAMBAYEQUE</t>
        </is>
      </c>
      <c r="B305" t="inlineStr">
        <is>
          <t>140301</t>
        </is>
      </c>
      <c r="C305" t="inlineStr">
        <is>
          <t>Créditos</t>
        </is>
      </c>
      <c r="D305" t="inlineStr">
        <is>
          <t>Miles S/</t>
        </is>
      </c>
      <c r="E305" s="11" t="n">
        <v>142786.0298</v>
      </c>
      <c r="F305" s="16" t="n">
        <v>142786.0298</v>
      </c>
    </row>
    <row r="306">
      <c r="A306" t="inlineStr">
        <is>
          <t>TARMA</t>
        </is>
      </c>
      <c r="B306" t="inlineStr">
        <is>
          <t>120701</t>
        </is>
      </c>
      <c r="C306" t="inlineStr">
        <is>
          <t>Créditos</t>
        </is>
      </c>
      <c r="D306" t="inlineStr">
        <is>
          <t>Miles S/</t>
        </is>
      </c>
      <c r="E306" s="11" t="n">
        <v>139974.3313</v>
      </c>
      <c r="F306" s="16" t="n">
        <v>139974.33126</v>
      </c>
    </row>
    <row r="307">
      <c r="A307" t="inlineStr">
        <is>
          <t>NAZCA</t>
        </is>
      </c>
      <c r="B307" t="inlineStr">
        <is>
          <t>110301</t>
        </is>
      </c>
      <c r="C307" t="inlineStr">
        <is>
          <t>Créditos</t>
        </is>
      </c>
      <c r="D307" t="inlineStr">
        <is>
          <t>Miles S/</t>
        </is>
      </c>
      <c r="E307" s="11" t="n">
        <v>136763.6149</v>
      </c>
      <c r="F307" s="16" t="n">
        <v>136763.61494</v>
      </c>
    </row>
    <row r="308">
      <c r="A308" t="inlineStr">
        <is>
          <t>CHACHAPOYAS</t>
        </is>
      </c>
      <c r="B308" t="inlineStr">
        <is>
          <t>010101</t>
        </is>
      </c>
      <c r="C308" t="inlineStr">
        <is>
          <t>Créditos</t>
        </is>
      </c>
      <c r="D308" t="inlineStr">
        <is>
          <t>Miles S/</t>
        </is>
      </c>
      <c r="E308" s="11" t="n">
        <v>132420.4175</v>
      </c>
      <c r="F308" s="16" t="n">
        <v>132420.41752</v>
      </c>
    </row>
    <row r="309">
      <c r="A309" t="inlineStr">
        <is>
          <t>RUPA-RUPA</t>
        </is>
      </c>
      <c r="B309" t="inlineStr">
        <is>
          <t>100601</t>
        </is>
      </c>
      <c r="C309" t="inlineStr">
        <is>
          <t>Créditos</t>
        </is>
      </c>
      <c r="D309" t="inlineStr">
        <is>
          <t>Miles S/</t>
        </is>
      </c>
      <c r="E309" s="11" t="n">
        <v>123853.272</v>
      </c>
      <c r="F309" s="16" t="n">
        <v>123853.27201</v>
      </c>
    </row>
    <row r="310">
      <c r="A310" t="inlineStr">
        <is>
          <t>BAGUA GRANDE</t>
        </is>
      </c>
      <c r="B310" t="inlineStr">
        <is>
          <t>010701</t>
        </is>
      </c>
      <c r="C310" t="inlineStr">
        <is>
          <t>Créditos</t>
        </is>
      </c>
      <c r="D310" t="inlineStr">
        <is>
          <t>Miles S/</t>
        </is>
      </c>
      <c r="E310" s="11" t="n">
        <v>122606.7497</v>
      </c>
      <c r="F310" s="16" t="n">
        <v>122606.74969</v>
      </c>
    </row>
    <row r="311">
      <c r="A311" t="inlineStr">
        <is>
          <t>SANTA ANA</t>
        </is>
      </c>
      <c r="B311" t="inlineStr">
        <is>
          <t>080901</t>
        </is>
      </c>
      <c r="C311" t="inlineStr">
        <is>
          <t>Créditos</t>
        </is>
      </c>
      <c r="D311" t="inlineStr">
        <is>
          <t>Miles S/</t>
        </is>
      </c>
      <c r="E311" s="11" t="n">
        <v>121526.6198</v>
      </c>
      <c r="F311" s="16" t="n">
        <v>121526.61975</v>
      </c>
    </row>
    <row r="312">
      <c r="A312" t="inlineStr">
        <is>
          <t>JOSE LEONARDO ORTIZ</t>
        </is>
      </c>
      <c r="B312" t="inlineStr">
        <is>
          <t>140105</t>
        </is>
      </c>
      <c r="C312" t="inlineStr">
        <is>
          <t>Créditos</t>
        </is>
      </c>
      <c r="D312" t="inlineStr">
        <is>
          <t>Miles S/</t>
        </is>
      </c>
      <c r="E312" s="11" t="n">
        <v>119103.5795</v>
      </c>
      <c r="F312" s="16" t="n">
        <v>119103.57952</v>
      </c>
    </row>
    <row r="313">
      <c r="A313" t="inlineStr">
        <is>
          <t>PACHACAMAC</t>
        </is>
      </c>
      <c r="B313" t="inlineStr">
        <is>
          <t>150123</t>
        </is>
      </c>
      <c r="C313" t="inlineStr">
        <is>
          <t>Créditos</t>
        </is>
      </c>
      <c r="D313" t="inlineStr">
        <is>
          <t>Miles S/</t>
        </is>
      </c>
      <c r="E313" s="11" t="n">
        <v>119096.4954</v>
      </c>
      <c r="F313" s="16" t="n">
        <v>119096.49544</v>
      </c>
    </row>
    <row r="314">
      <c r="A314" t="inlineStr">
        <is>
          <t>SAN MARTIN DE PORRES</t>
        </is>
      </c>
      <c r="B314" t="inlineStr">
        <is>
          <t>150135</t>
        </is>
      </c>
      <c r="C314" t="inlineStr">
        <is>
          <t>Créditos</t>
        </is>
      </c>
      <c r="D314" t="inlineStr">
        <is>
          <t>Miles S/</t>
        </is>
      </c>
      <c r="E314" s="11" t="n">
        <v>116577.7375</v>
      </c>
      <c r="F314" s="16" t="n">
        <v>116577.73748</v>
      </c>
    </row>
    <row r="315">
      <c r="A315" t="inlineStr">
        <is>
          <t>CALLAO</t>
        </is>
      </c>
      <c r="B315" t="inlineStr">
        <is>
          <t>070101</t>
        </is>
      </c>
      <c r="C315" t="inlineStr">
        <is>
          <t>Créditos</t>
        </is>
      </c>
      <c r="D315" t="inlineStr">
        <is>
          <t>Miles S/</t>
        </is>
      </c>
      <c r="E315" s="11" t="n">
        <v>116133.3221</v>
      </c>
      <c r="F315" s="16" t="n">
        <v>116133.3221</v>
      </c>
    </row>
    <row r="316">
      <c r="A316" t="inlineStr">
        <is>
          <t>COMAS</t>
        </is>
      </c>
      <c r="B316" t="inlineStr">
        <is>
          <t>150110</t>
        </is>
      </c>
      <c r="C316" t="inlineStr">
        <is>
          <t>Créditos</t>
        </is>
      </c>
      <c r="D316" t="inlineStr">
        <is>
          <t>Miles S/</t>
        </is>
      </c>
      <c r="E316" s="11" t="n">
        <v>115542.4746</v>
      </c>
      <c r="F316" s="16" t="n">
        <v>115542.47459</v>
      </c>
    </row>
    <row r="317">
      <c r="A317" t="inlineStr">
        <is>
          <t>MAJES</t>
        </is>
      </c>
      <c r="B317" t="inlineStr">
        <is>
          <t>040520</t>
        </is>
      </c>
      <c r="C317" t="inlineStr">
        <is>
          <t>Créditos</t>
        </is>
      </c>
      <c r="D317" t="inlineStr">
        <is>
          <t>Miles S/</t>
        </is>
      </c>
      <c r="E317" s="11" t="n">
        <v>114575.9824</v>
      </c>
      <c r="F317" s="16" t="n">
        <v>114575.98242</v>
      </c>
    </row>
    <row r="318">
      <c r="A318" t="inlineStr">
        <is>
          <t>OLMOS</t>
        </is>
      </c>
      <c r="B318" t="inlineStr">
        <is>
          <t>140308</t>
        </is>
      </c>
      <c r="C318" t="inlineStr">
        <is>
          <t>Créditos</t>
        </is>
      </c>
      <c r="D318" t="inlineStr">
        <is>
          <t>Miles S/</t>
        </is>
      </c>
      <c r="E318" s="11" t="n">
        <v>101592.3445</v>
      </c>
      <c r="F318" s="16" t="n">
        <v>101592.34446</v>
      </c>
    </row>
    <row r="319">
      <c r="A319" t="inlineStr">
        <is>
          <t>LA ESPERANZA</t>
        </is>
      </c>
      <c r="B319" t="inlineStr">
        <is>
          <t>130105</t>
        </is>
      </c>
      <c r="C319" t="inlineStr">
        <is>
          <t>Créditos</t>
        </is>
      </c>
      <c r="D319" t="inlineStr">
        <is>
          <t>Miles S/</t>
        </is>
      </c>
      <c r="E319" s="11" t="n">
        <v>98164.77069999999</v>
      </c>
      <c r="F319" s="16" t="n">
        <v>98164.77065000001</v>
      </c>
    </row>
    <row r="320">
      <c r="A320" t="inlineStr">
        <is>
          <t>SATIPO</t>
        </is>
      </c>
      <c r="B320" t="inlineStr">
        <is>
          <t>120601</t>
        </is>
      </c>
      <c r="C320" t="inlineStr">
        <is>
          <t>Créditos</t>
        </is>
      </c>
      <c r="D320" t="inlineStr">
        <is>
          <t>Miles S/</t>
        </is>
      </c>
      <c r="E320" s="11" t="n">
        <v>97895.1344</v>
      </c>
      <c r="F320" s="16" t="n">
        <v>97895.13438</v>
      </c>
    </row>
    <row r="321">
      <c r="A321" t="inlineStr">
        <is>
          <t>PAUCARPATA</t>
        </is>
      </c>
      <c r="B321" t="inlineStr">
        <is>
          <t>040112</t>
        </is>
      </c>
      <c r="C321" t="inlineStr">
        <is>
          <t>Créditos</t>
        </is>
      </c>
      <c r="D321" t="inlineStr">
        <is>
          <t>Miles S/</t>
        </is>
      </c>
      <c r="E321" s="11" t="n">
        <v>97392.4838</v>
      </c>
      <c r="F321" s="16" t="n">
        <v>97392.48381000001</v>
      </c>
    </row>
    <row r="322">
      <c r="A322" t="inlineStr">
        <is>
          <t>RIMAC</t>
        </is>
      </c>
      <c r="B322" t="inlineStr">
        <is>
          <t>150128</t>
        </is>
      </c>
      <c r="C322" t="inlineStr">
        <is>
          <t>Créditos</t>
        </is>
      </c>
      <c r="D322" t="inlineStr">
        <is>
          <t>Miles S/</t>
        </is>
      </c>
      <c r="E322" s="11" t="n">
        <v>94710.7089</v>
      </c>
      <c r="F322" s="16" t="n">
        <v>94710.70887</v>
      </c>
    </row>
    <row r="323">
      <c r="A323" t="inlineStr">
        <is>
          <t>EL TAMBO</t>
        </is>
      </c>
      <c r="B323" t="inlineStr">
        <is>
          <t>120114</t>
        </is>
      </c>
      <c r="C323" t="inlineStr">
        <is>
          <t>Créditos</t>
        </is>
      </c>
      <c r="D323" t="inlineStr">
        <is>
          <t>Miles S/</t>
        </is>
      </c>
      <c r="E323" s="11" t="n">
        <v>94708.5949</v>
      </c>
      <c r="F323" s="16" t="n">
        <v>94708.59488999999</v>
      </c>
    </row>
    <row r="324">
      <c r="A324" t="inlineStr">
        <is>
          <t>CASTILLA</t>
        </is>
      </c>
      <c r="B324" t="inlineStr">
        <is>
          <t>200104</t>
        </is>
      </c>
      <c r="C324" t="inlineStr">
        <is>
          <t>Créditos</t>
        </is>
      </c>
      <c r="D324" t="inlineStr">
        <is>
          <t>Miles S/</t>
        </is>
      </c>
      <c r="E324" s="11" t="n">
        <v>92973.9607</v>
      </c>
      <c r="F324" s="16" t="n">
        <v>92973.96071</v>
      </c>
    </row>
    <row r="325">
      <c r="A325" t="inlineStr">
        <is>
          <t>PICHANAQUI</t>
        </is>
      </c>
      <c r="B325" t="inlineStr">
        <is>
          <t>120303</t>
        </is>
      </c>
      <c r="C325" t="inlineStr">
        <is>
          <t>Créditos</t>
        </is>
      </c>
      <c r="D325" t="inlineStr">
        <is>
          <t>Miles S/</t>
        </is>
      </c>
      <c r="E325" s="11" t="n">
        <v>92695.0508</v>
      </c>
      <c r="F325" s="16" t="n">
        <v>92695.05078999999</v>
      </c>
    </row>
    <row r="326">
      <c r="A326" t="inlineStr">
        <is>
          <t>JOSE LUIS BUSTAMANTE Y RIVERO</t>
        </is>
      </c>
      <c r="B326" t="inlineStr">
        <is>
          <t>040129</t>
        </is>
      </c>
      <c r="C326" t="inlineStr">
        <is>
          <t>Créditos</t>
        </is>
      </c>
      <c r="D326" t="inlineStr">
        <is>
          <t>Miles S/</t>
        </is>
      </c>
      <c r="E326" s="11" t="n">
        <v>91404.1602</v>
      </c>
      <c r="F326" s="16" t="n">
        <v>91404.16017</v>
      </c>
    </row>
    <row r="327">
      <c r="A327" t="inlineStr">
        <is>
          <t>PACASMAYO</t>
        </is>
      </c>
      <c r="B327" t="inlineStr">
        <is>
          <t>130704</t>
        </is>
      </c>
      <c r="C327" t="inlineStr">
        <is>
          <t>Créditos</t>
        </is>
      </c>
      <c r="D327" t="inlineStr">
        <is>
          <t>Miles S/</t>
        </is>
      </c>
      <c r="E327" s="11" t="n">
        <v>89509.4213</v>
      </c>
      <c r="F327" s="16" t="n">
        <v>89509.42129</v>
      </c>
    </row>
    <row r="328">
      <c r="A328" t="inlineStr">
        <is>
          <t>MOLLENDO</t>
        </is>
      </c>
      <c r="B328" t="inlineStr">
        <is>
          <t>040701</t>
        </is>
      </c>
      <c r="C328" t="inlineStr">
        <is>
          <t>Créditos</t>
        </is>
      </c>
      <c r="D328" t="inlineStr">
        <is>
          <t>Miles S/</t>
        </is>
      </c>
      <c r="E328" s="11" t="n">
        <v>89505.52039999999</v>
      </c>
      <c r="F328" s="16" t="n">
        <v>89505.52043</v>
      </c>
    </row>
    <row r="329">
      <c r="A329" t="inlineStr">
        <is>
          <t>SICUANI</t>
        </is>
      </c>
      <c r="B329" t="inlineStr">
        <is>
          <t>080601</t>
        </is>
      </c>
      <c r="C329" t="inlineStr">
        <is>
          <t>Créditos</t>
        </is>
      </c>
      <c r="D329" t="inlineStr">
        <is>
          <t>Miles S/</t>
        </is>
      </c>
      <c r="E329" s="11" t="n">
        <v>88585.1145</v>
      </c>
      <c r="F329" s="16" t="n">
        <v>88585.11455</v>
      </c>
    </row>
    <row r="330">
      <c r="A330" t="inlineStr">
        <is>
          <t>OXAPAMPA</t>
        </is>
      </c>
      <c r="B330" t="inlineStr">
        <is>
          <t>190301</t>
        </is>
      </c>
      <c r="C330" t="inlineStr">
        <is>
          <t>Créditos</t>
        </is>
      </c>
      <c r="D330" t="inlineStr">
        <is>
          <t>Miles S/</t>
        </is>
      </c>
      <c r="E330" s="11" t="n">
        <v>88321.6737</v>
      </c>
      <c r="F330" s="16" t="n">
        <v>88321.67366</v>
      </c>
    </row>
    <row r="331">
      <c r="A331" t="inlineStr">
        <is>
          <t>LA JOYA</t>
        </is>
      </c>
      <c r="B331" t="inlineStr">
        <is>
          <t>040108</t>
        </is>
      </c>
      <c r="C331" t="inlineStr">
        <is>
          <t>Créditos</t>
        </is>
      </c>
      <c r="D331" t="inlineStr">
        <is>
          <t>Miles S/</t>
        </is>
      </c>
      <c r="E331" s="11" t="n">
        <v>85244.3904</v>
      </c>
      <c r="F331" s="16" t="n">
        <v>85244.39038</v>
      </c>
    </row>
    <row r="332">
      <c r="A332" t="inlineStr">
        <is>
          <t>PARIÑAS</t>
        </is>
      </c>
      <c r="B332" t="inlineStr">
        <is>
          <t>200701</t>
        </is>
      </c>
      <c r="C332" t="inlineStr">
        <is>
          <t>Créditos</t>
        </is>
      </c>
      <c r="D332" t="inlineStr">
        <is>
          <t>Miles S/</t>
        </is>
      </c>
      <c r="E332" s="11" t="n">
        <v>84867.52529999999</v>
      </c>
      <c r="F332" s="16" t="n">
        <v>84867.52533</v>
      </c>
    </row>
    <row r="333">
      <c r="A333" t="inlineStr">
        <is>
          <t>WANCHAQ</t>
        </is>
      </c>
      <c r="B333" t="inlineStr">
        <is>
          <t>080108</t>
        </is>
      </c>
      <c r="C333" t="inlineStr">
        <is>
          <t>Créditos</t>
        </is>
      </c>
      <c r="D333" t="inlineStr">
        <is>
          <t>Miles S/</t>
        </is>
      </c>
      <c r="E333" s="11" t="n">
        <v>84847.30220000001</v>
      </c>
      <c r="F333" s="16" t="n">
        <v>84847.30224</v>
      </c>
    </row>
    <row r="334">
      <c r="A334" t="inlineStr">
        <is>
          <t>MOCHUMI</t>
        </is>
      </c>
      <c r="B334" t="inlineStr">
        <is>
          <t>140305</t>
        </is>
      </c>
      <c r="C334" t="inlineStr">
        <is>
          <t>Créditos</t>
        </is>
      </c>
      <c r="D334" t="inlineStr">
        <is>
          <t>Miles S/</t>
        </is>
      </c>
      <c r="E334" s="11" t="n">
        <v>84782.27340000001</v>
      </c>
      <c r="F334" s="16" t="n">
        <v>84782.27339</v>
      </c>
    </row>
    <row r="335">
      <c r="A335" t="inlineStr">
        <is>
          <t>CAMANA</t>
        </is>
      </c>
      <c r="B335" t="inlineStr">
        <is>
          <t>040201</t>
        </is>
      </c>
      <c r="C335" t="inlineStr">
        <is>
          <t>Créditos</t>
        </is>
      </c>
      <c r="D335" t="inlineStr">
        <is>
          <t>Miles S/</t>
        </is>
      </c>
      <c r="E335" s="11" t="n">
        <v>84149.58590000001</v>
      </c>
      <c r="F335" s="16" t="n">
        <v>84149.58590999999</v>
      </c>
    </row>
    <row r="336">
      <c r="A336" t="inlineStr">
        <is>
          <t>INDEPENDENCIA</t>
        </is>
      </c>
      <c r="B336" t="inlineStr">
        <is>
          <t>150112</t>
        </is>
      </c>
      <c r="C336" t="inlineStr">
        <is>
          <t>Créditos</t>
        </is>
      </c>
      <c r="D336" t="inlineStr">
        <is>
          <t>Miles S/</t>
        </is>
      </c>
      <c r="E336" s="11" t="n">
        <v>81785.2798</v>
      </c>
      <c r="F336" s="16" t="n">
        <v>81785.27976</v>
      </c>
    </row>
    <row r="337">
      <c r="A337" t="inlineStr">
        <is>
          <t>LURIGANCHO</t>
        </is>
      </c>
      <c r="B337" t="inlineStr">
        <is>
          <t>150118</t>
        </is>
      </c>
      <c r="C337" t="inlineStr">
        <is>
          <t>Créditos</t>
        </is>
      </c>
      <c r="D337" t="inlineStr">
        <is>
          <t>Miles S/</t>
        </is>
      </c>
      <c r="E337" s="11" t="n">
        <v>81428.2196</v>
      </c>
      <c r="F337" s="16" t="n">
        <v>81428.2196</v>
      </c>
    </row>
    <row r="338">
      <c r="A338" t="inlineStr">
        <is>
          <t>MIRAFLORES</t>
        </is>
      </c>
      <c r="B338" t="inlineStr">
        <is>
          <t>040110</t>
        </is>
      </c>
      <c r="C338" t="inlineStr">
        <is>
          <t>Créditos</t>
        </is>
      </c>
      <c r="D338" t="inlineStr">
        <is>
          <t>Miles S/</t>
        </is>
      </c>
      <c r="E338" s="11" t="n">
        <v>80216.27039999999</v>
      </c>
      <c r="F338" s="16" t="n">
        <v>80216.27039000001</v>
      </c>
    </row>
    <row r="339">
      <c r="A339" t="inlineStr">
        <is>
          <t>LURIN</t>
        </is>
      </c>
      <c r="B339" t="inlineStr">
        <is>
          <t>150119</t>
        </is>
      </c>
      <c r="C339" t="inlineStr">
        <is>
          <t>Créditos</t>
        </is>
      </c>
      <c r="D339" t="inlineStr">
        <is>
          <t>Miles S/</t>
        </is>
      </c>
      <c r="E339" s="11" t="n">
        <v>79834.0456</v>
      </c>
      <c r="F339" s="16" t="n">
        <v>79834.04561</v>
      </c>
    </row>
    <row r="340">
      <c r="A340" t="inlineStr">
        <is>
          <t>CHAUPIMARCA</t>
        </is>
      </c>
      <c r="B340" t="inlineStr">
        <is>
          <t>190101</t>
        </is>
      </c>
      <c r="C340" t="inlineStr">
        <is>
          <t>Créditos</t>
        </is>
      </c>
      <c r="D340" t="inlineStr">
        <is>
          <t>Miles S/</t>
        </is>
      </c>
      <c r="E340" s="11" t="n">
        <v>78417.0481</v>
      </c>
      <c r="F340" s="16" t="n">
        <v>78417.04807</v>
      </c>
    </row>
    <row r="341">
      <c r="A341" t="inlineStr">
        <is>
          <t>CHUPACA</t>
        </is>
      </c>
      <c r="B341" t="inlineStr">
        <is>
          <t>120901</t>
        </is>
      </c>
      <c r="C341" t="inlineStr">
        <is>
          <t>Créditos</t>
        </is>
      </c>
      <c r="D341" t="inlineStr">
        <is>
          <t>Miles S/</t>
        </is>
      </c>
      <c r="E341" s="11" t="n">
        <v>78161.5102</v>
      </c>
      <c r="F341" s="16" t="n">
        <v>78161.51019</v>
      </c>
    </row>
    <row r="342">
      <c r="A342" t="inlineStr">
        <is>
          <t>CASMA</t>
        </is>
      </c>
      <c r="B342" t="inlineStr">
        <is>
          <t>020801</t>
        </is>
      </c>
      <c r="C342" t="inlineStr">
        <is>
          <t>Créditos</t>
        </is>
      </c>
      <c r="D342" t="inlineStr">
        <is>
          <t>Miles S/</t>
        </is>
      </c>
      <c r="E342" s="11" t="n">
        <v>76380.7276</v>
      </c>
      <c r="F342" s="16" t="n">
        <v>76380.72761</v>
      </c>
    </row>
    <row r="343">
      <c r="A343" t="inlineStr">
        <is>
          <t>MORROPE</t>
        </is>
      </c>
      <c r="B343" t="inlineStr">
        <is>
          <t>140306</t>
        </is>
      </c>
      <c r="C343" t="inlineStr">
        <is>
          <t>Créditos</t>
        </is>
      </c>
      <c r="D343" t="inlineStr">
        <is>
          <t>Miles S/</t>
        </is>
      </c>
      <c r="E343" s="11" t="n">
        <v>76081.9578</v>
      </c>
      <c r="F343" s="16" t="n">
        <v>76081.95785000001</v>
      </c>
    </row>
    <row r="344">
      <c r="A344" t="inlineStr">
        <is>
          <t>OTUZCO</t>
        </is>
      </c>
      <c r="B344" t="inlineStr">
        <is>
          <t>130601</t>
        </is>
      </c>
      <c r="C344" t="inlineStr">
        <is>
          <t>Créditos</t>
        </is>
      </c>
      <c r="D344" t="inlineStr">
        <is>
          <t>Miles S/</t>
        </is>
      </c>
      <c r="E344" s="11" t="n">
        <v>75366.3823</v>
      </c>
      <c r="F344" s="16" t="n">
        <v>75366.3823</v>
      </c>
    </row>
    <row r="345">
      <c r="A345" t="inlineStr">
        <is>
          <t>BAMBAMARCA</t>
        </is>
      </c>
      <c r="B345" t="inlineStr">
        <is>
          <t>060701</t>
        </is>
      </c>
      <c r="C345" t="inlineStr">
        <is>
          <t>Créditos</t>
        </is>
      </c>
      <c r="D345" t="inlineStr">
        <is>
          <t>Miles S/</t>
        </is>
      </c>
      <c r="E345" s="11" t="n">
        <v>74684.4327</v>
      </c>
      <c r="F345" s="16" t="n">
        <v>74684.43274</v>
      </c>
    </row>
    <row r="346">
      <c r="A346" t="inlineStr">
        <is>
          <t>HUANCAVELICA</t>
        </is>
      </c>
      <c r="B346" t="inlineStr">
        <is>
          <t>090101</t>
        </is>
      </c>
      <c r="C346" t="inlineStr">
        <is>
          <t>Créditos</t>
        </is>
      </c>
      <c r="D346" t="inlineStr">
        <is>
          <t>Miles S/</t>
        </is>
      </c>
      <c r="E346" s="11" t="n">
        <v>73436.91869999999</v>
      </c>
      <c r="F346" s="16" t="n">
        <v>73436.91871</v>
      </c>
    </row>
    <row r="347">
      <c r="A347" t="inlineStr">
        <is>
          <t>CARAZ</t>
        </is>
      </c>
      <c r="B347" t="inlineStr">
        <is>
          <t>021201</t>
        </is>
      </c>
      <c r="C347" t="inlineStr">
        <is>
          <t>Créditos</t>
        </is>
      </c>
      <c r="D347" t="inlineStr">
        <is>
          <t>Miles S/</t>
        </is>
      </c>
      <c r="E347" s="11" t="n">
        <v>73011.6103</v>
      </c>
      <c r="F347" s="16" t="n">
        <v>73011.61027999999</v>
      </c>
    </row>
    <row r="348">
      <c r="A348" t="inlineStr">
        <is>
          <t>CHULUCANAS</t>
        </is>
      </c>
      <c r="B348" t="inlineStr">
        <is>
          <t>200401</t>
        </is>
      </c>
      <c r="C348" t="inlineStr">
        <is>
          <t>Créditos</t>
        </is>
      </c>
      <c r="D348" t="inlineStr">
        <is>
          <t>Miles S/</t>
        </is>
      </c>
      <c r="E348" s="11" t="n">
        <v>72133.58689999999</v>
      </c>
      <c r="F348" s="16" t="n">
        <v>72133.58686</v>
      </c>
    </row>
    <row r="349">
      <c r="A349" t="inlineStr">
        <is>
          <t>BAGUA</t>
        </is>
      </c>
      <c r="B349" t="inlineStr">
        <is>
          <t>010201</t>
        </is>
      </c>
      <c r="C349" t="inlineStr">
        <is>
          <t>Créditos</t>
        </is>
      </c>
      <c r="D349" t="inlineStr">
        <is>
          <t>Miles S/</t>
        </is>
      </c>
      <c r="E349" s="11" t="n">
        <v>71900.7488</v>
      </c>
      <c r="F349" s="16" t="n">
        <v>71900.74877999999</v>
      </c>
    </row>
    <row r="350">
      <c r="A350" t="inlineStr">
        <is>
          <t>JACOBO HUNTER</t>
        </is>
      </c>
      <c r="B350" t="inlineStr">
        <is>
          <t>040107</t>
        </is>
      </c>
      <c r="C350" t="inlineStr">
        <is>
          <t>Créditos</t>
        </is>
      </c>
      <c r="D350" t="inlineStr">
        <is>
          <t>Miles S/</t>
        </is>
      </c>
      <c r="E350" s="11" t="n">
        <v>71848.6688</v>
      </c>
      <c r="F350" s="16" t="n">
        <v>71848.6688</v>
      </c>
    </row>
    <row r="351">
      <c r="A351" t="inlineStr">
        <is>
          <t>SAN ANTONIO</t>
        </is>
      </c>
      <c r="B351" t="inlineStr">
        <is>
          <t>150716</t>
        </is>
      </c>
      <c r="C351" t="inlineStr">
        <is>
          <t>Créditos</t>
        </is>
      </c>
      <c r="D351" t="inlineStr">
        <is>
          <t>Miles S/</t>
        </is>
      </c>
      <c r="E351" s="11" t="n">
        <v>71702.1591</v>
      </c>
      <c r="F351" s="16" t="n">
        <v>71702.1591</v>
      </c>
    </row>
    <row r="352">
      <c r="A352" t="inlineStr">
        <is>
          <t>JAUJA</t>
        </is>
      </c>
      <c r="B352" t="inlineStr">
        <is>
          <t>120401</t>
        </is>
      </c>
      <c r="C352" t="inlineStr">
        <is>
          <t>Créditos</t>
        </is>
      </c>
      <c r="D352" t="inlineStr">
        <is>
          <t>Miles S/</t>
        </is>
      </c>
      <c r="E352" s="11" t="n">
        <v>71566.40579999999</v>
      </c>
      <c r="F352" s="16" t="n">
        <v>71566.40577</v>
      </c>
    </row>
    <row r="353">
      <c r="A353" t="inlineStr">
        <is>
          <t>CHILCA</t>
        </is>
      </c>
      <c r="B353" t="inlineStr">
        <is>
          <t>120107</t>
        </is>
      </c>
      <c r="C353" t="inlineStr">
        <is>
          <t>Créditos</t>
        </is>
      </c>
      <c r="D353" t="inlineStr">
        <is>
          <t>Miles S/</t>
        </is>
      </c>
      <c r="E353" s="11" t="n">
        <v>70918.63770000001</v>
      </c>
      <c r="F353" s="16" t="n">
        <v>70918.63765</v>
      </c>
    </row>
    <row r="354">
      <c r="A354" t="inlineStr">
        <is>
          <t>NUEVO CHIMBOTE</t>
        </is>
      </c>
      <c r="B354" t="inlineStr">
        <is>
          <t>021809</t>
        </is>
      </c>
      <c r="C354" t="inlineStr">
        <is>
          <t>Créditos</t>
        </is>
      </c>
      <c r="D354" t="inlineStr">
        <is>
          <t>Miles S/</t>
        </is>
      </c>
      <c r="E354" s="11" t="n">
        <v>66747.2708</v>
      </c>
      <c r="F354" s="16" t="n">
        <v>66747.27076</v>
      </c>
    </row>
    <row r="355">
      <c r="A355" t="inlineStr">
        <is>
          <t>LA VICTORIA</t>
        </is>
      </c>
      <c r="B355" t="inlineStr">
        <is>
          <t>140106</t>
        </is>
      </c>
      <c r="C355" t="inlineStr">
        <is>
          <t>Créditos</t>
        </is>
      </c>
      <c r="D355" t="inlineStr">
        <is>
          <t>Miles S/</t>
        </is>
      </c>
      <c r="E355" s="11" t="n">
        <v>66111.3821</v>
      </c>
      <c r="F355" s="16" t="n">
        <v>66111.38211999999</v>
      </c>
    </row>
    <row r="356">
      <c r="A356" t="inlineStr">
        <is>
          <t>VIRU</t>
        </is>
      </c>
      <c r="B356" t="inlineStr">
        <is>
          <t>131201</t>
        </is>
      </c>
      <c r="C356" t="inlineStr">
        <is>
          <t>Créditos</t>
        </is>
      </c>
      <c r="D356" t="inlineStr">
        <is>
          <t>Miles S/</t>
        </is>
      </c>
      <c r="E356" s="11" t="n">
        <v>65173.5881</v>
      </c>
      <c r="F356" s="16" t="n">
        <v>65173.58808</v>
      </c>
    </row>
    <row r="357">
      <c r="A357" t="inlineStr">
        <is>
          <t>CARABAYLLO</t>
        </is>
      </c>
      <c r="B357" t="inlineStr">
        <is>
          <t>150106</t>
        </is>
      </c>
      <c r="C357" t="inlineStr">
        <is>
          <t>Créditos</t>
        </is>
      </c>
      <c r="D357" t="inlineStr">
        <is>
          <t>Miles S/</t>
        </is>
      </c>
      <c r="E357" s="11" t="n">
        <v>64768.7772</v>
      </c>
      <c r="F357" s="16" t="n">
        <v>64768.77725</v>
      </c>
    </row>
    <row r="358">
      <c r="A358" t="inlineStr">
        <is>
          <t>SAN SEBASTIAN</t>
        </is>
      </c>
      <c r="B358" t="inlineStr">
        <is>
          <t>080105</t>
        </is>
      </c>
      <c r="C358" t="inlineStr">
        <is>
          <t>Créditos</t>
        </is>
      </c>
      <c r="D358" t="inlineStr">
        <is>
          <t>Miles S/</t>
        </is>
      </c>
      <c r="E358" s="11" t="n">
        <v>63279.0629</v>
      </c>
      <c r="F358" s="16" t="n">
        <v>63279.06289</v>
      </c>
    </row>
    <row r="359">
      <c r="A359" t="inlineStr">
        <is>
          <t>PAITA</t>
        </is>
      </c>
      <c r="B359" t="inlineStr">
        <is>
          <t>200501</t>
        </is>
      </c>
      <c r="C359" t="inlineStr">
        <is>
          <t>Créditos</t>
        </is>
      </c>
      <c r="D359" t="inlineStr">
        <is>
          <t>Miles S/</t>
        </is>
      </c>
      <c r="E359" s="11" t="n">
        <v>61467.5502</v>
      </c>
      <c r="F359" s="16" t="n">
        <v>61467.55024</v>
      </c>
    </row>
    <row r="360">
      <c r="A360" t="inlineStr">
        <is>
          <t>YURIMAGUAS</t>
        </is>
      </c>
      <c r="B360" t="inlineStr">
        <is>
          <t>160201</t>
        </is>
      </c>
      <c r="C360" t="inlineStr">
        <is>
          <t>Créditos</t>
        </is>
      </c>
      <c r="D360" t="inlineStr">
        <is>
          <t>Miles S/</t>
        </is>
      </c>
      <c r="E360" s="11" t="n">
        <v>59855.6474</v>
      </c>
      <c r="F360" s="16" t="n">
        <v>59855.64739</v>
      </c>
    </row>
    <row r="361">
      <c r="A361" t="inlineStr">
        <is>
          <t>JUANJUI</t>
        </is>
      </c>
      <c r="B361" t="inlineStr">
        <is>
          <t>220601</t>
        </is>
      </c>
      <c r="C361" t="inlineStr">
        <is>
          <t>Créditos</t>
        </is>
      </c>
      <c r="D361" t="inlineStr">
        <is>
          <t>Miles S/</t>
        </is>
      </c>
      <c r="E361" s="11" t="n">
        <v>58187.5907</v>
      </c>
      <c r="F361" s="16" t="n">
        <v>58187.59074</v>
      </c>
    </row>
    <row r="362">
      <c r="A362" t="inlineStr">
        <is>
          <t>EL AGUSTINO</t>
        </is>
      </c>
      <c r="B362" t="inlineStr">
        <is>
          <t>150111</t>
        </is>
      </c>
      <c r="C362" t="inlineStr">
        <is>
          <t>Créditos</t>
        </is>
      </c>
      <c r="D362" t="inlineStr">
        <is>
          <t>Miles S/</t>
        </is>
      </c>
      <c r="E362" s="11" t="n">
        <v>56425.9536</v>
      </c>
      <c r="F362" s="16" t="n">
        <v>56425.95359</v>
      </c>
    </row>
    <row r="363">
      <c r="A363" t="inlineStr">
        <is>
          <t>TAMBO GRANDE</t>
        </is>
      </c>
      <c r="B363" t="inlineStr">
        <is>
          <t>200114</t>
        </is>
      </c>
      <c r="C363" t="inlineStr">
        <is>
          <t>Créditos</t>
        </is>
      </c>
      <c r="D363" t="inlineStr">
        <is>
          <t>Miles S/</t>
        </is>
      </c>
      <c r="E363" s="11" t="n">
        <v>56140.7234</v>
      </c>
      <c r="F363" s="16" t="n">
        <v>56140.72336</v>
      </c>
    </row>
    <row r="364">
      <c r="A364" t="inlineStr">
        <is>
          <t>PANGOA</t>
        </is>
      </c>
      <c r="B364" t="inlineStr">
        <is>
          <t>120606</t>
        </is>
      </c>
      <c r="C364" t="inlineStr">
        <is>
          <t>Créditos</t>
        </is>
      </c>
      <c r="D364" t="inlineStr">
        <is>
          <t>Miles S/</t>
        </is>
      </c>
      <c r="E364" s="11" t="n">
        <v>54531.746</v>
      </c>
      <c r="F364" s="16" t="n">
        <v>54531.74597</v>
      </c>
    </row>
    <row r="365">
      <c r="A365" t="inlineStr">
        <is>
          <t>CARHUAZ</t>
        </is>
      </c>
      <c r="B365" t="inlineStr">
        <is>
          <t>020601</t>
        </is>
      </c>
      <c r="C365" t="inlineStr">
        <is>
          <t>Créditos</t>
        </is>
      </c>
      <c r="D365" t="inlineStr">
        <is>
          <t>Miles S/</t>
        </is>
      </c>
      <c r="E365" s="11" t="n">
        <v>54215.7483</v>
      </c>
      <c r="F365" s="16" t="n">
        <v>54215.74829</v>
      </c>
    </row>
    <row r="366">
      <c r="A366" t="inlineStr">
        <is>
          <t>SANTIAGO</t>
        </is>
      </c>
      <c r="B366" t="inlineStr">
        <is>
          <t>080106</t>
        </is>
      </c>
      <c r="C366" t="inlineStr">
        <is>
          <t>Créditos</t>
        </is>
      </c>
      <c r="D366" t="inlineStr">
        <is>
          <t>Miles S/</t>
        </is>
      </c>
      <c r="E366" s="11" t="n">
        <v>52035.7242</v>
      </c>
      <c r="F366" s="16" t="n">
        <v>52035.72421</v>
      </c>
    </row>
    <row r="367">
      <c r="A367" t="inlineStr">
        <is>
          <t>NUEVA CAJAMARCA</t>
        </is>
      </c>
      <c r="B367" t="inlineStr">
        <is>
          <t>220804</t>
        </is>
      </c>
      <c r="C367" t="inlineStr">
        <is>
          <t>Créditos</t>
        </is>
      </c>
      <c r="D367" t="inlineStr">
        <is>
          <t>Miles S/</t>
        </is>
      </c>
      <c r="E367" s="11" t="n">
        <v>51706.8665</v>
      </c>
      <c r="F367" s="16" t="n">
        <v>51706.86651</v>
      </c>
    </row>
    <row r="368">
      <c r="A368" t="inlineStr">
        <is>
          <t>SAN JERONIMO</t>
        </is>
      </c>
      <c r="B368" t="inlineStr">
        <is>
          <t>080104</t>
        </is>
      </c>
      <c r="C368" t="inlineStr">
        <is>
          <t>Créditos</t>
        </is>
      </c>
      <c r="D368" t="inlineStr">
        <is>
          <t>Miles S/</t>
        </is>
      </c>
      <c r="E368" s="11" t="n">
        <v>50719.9749</v>
      </c>
      <c r="F368" s="16" t="n">
        <v>50719.97489</v>
      </c>
    </row>
    <row r="369">
      <c r="A369" t="inlineStr">
        <is>
          <t>SOCABAYA</t>
        </is>
      </c>
      <c r="B369" t="inlineStr">
        <is>
          <t>040122</t>
        </is>
      </c>
      <c r="C369" t="inlineStr">
        <is>
          <t>Créditos</t>
        </is>
      </c>
      <c r="D369" t="inlineStr">
        <is>
          <t>Miles S/</t>
        </is>
      </c>
      <c r="E369" s="11" t="n">
        <v>49794.4984</v>
      </c>
      <c r="F369" s="16" t="n">
        <v>49794.49839</v>
      </c>
    </row>
    <row r="370">
      <c r="A370" t="inlineStr">
        <is>
          <t>SANTA</t>
        </is>
      </c>
      <c r="B370" t="inlineStr">
        <is>
          <t>021808</t>
        </is>
      </c>
      <c r="C370" t="inlineStr">
        <is>
          <t>Créditos</t>
        </is>
      </c>
      <c r="D370" t="inlineStr">
        <is>
          <t>Miles S/</t>
        </is>
      </c>
      <c r="E370" s="11" t="n">
        <v>49754.8467</v>
      </c>
      <c r="F370" s="16" t="n">
        <v>49754.84672</v>
      </c>
    </row>
    <row r="371">
      <c r="A371" t="inlineStr">
        <is>
          <t>ILAVE</t>
        </is>
      </c>
      <c r="B371" t="inlineStr">
        <is>
          <t>210501</t>
        </is>
      </c>
      <c r="C371" t="inlineStr">
        <is>
          <t>Créditos</t>
        </is>
      </c>
      <c r="D371" t="inlineStr">
        <is>
          <t>Miles S/</t>
        </is>
      </c>
      <c r="E371" s="11" t="n">
        <v>47930.8283</v>
      </c>
      <c r="F371" s="16" t="n">
        <v>47930.82833</v>
      </c>
    </row>
    <row r="372">
      <c r="A372" t="inlineStr">
        <is>
          <t>CAJABAMBA</t>
        </is>
      </c>
      <c r="B372" t="inlineStr">
        <is>
          <t>060201</t>
        </is>
      </c>
      <c r="C372" t="inlineStr">
        <is>
          <t>Créditos</t>
        </is>
      </c>
      <c r="D372" t="inlineStr">
        <is>
          <t>Miles S/</t>
        </is>
      </c>
      <c r="E372" s="11" t="n">
        <v>47802.2515</v>
      </c>
      <c r="F372" s="16" t="n">
        <v>47802.2515</v>
      </c>
    </row>
    <row r="373">
      <c r="A373" t="inlineStr">
        <is>
          <t>HUANTA</t>
        </is>
      </c>
      <c r="B373" t="inlineStr">
        <is>
          <t>050401</t>
        </is>
      </c>
      <c r="C373" t="inlineStr">
        <is>
          <t>Créditos</t>
        </is>
      </c>
      <c r="D373" t="inlineStr">
        <is>
          <t>Miles S/</t>
        </is>
      </c>
      <c r="E373" s="11" t="n">
        <v>47235.2123</v>
      </c>
      <c r="F373" s="16" t="n">
        <v>47235.21231</v>
      </c>
    </row>
    <row r="374">
      <c r="A374" t="inlineStr">
        <is>
          <t>CUTERVO</t>
        </is>
      </c>
      <c r="B374" t="inlineStr">
        <is>
          <t>060601</t>
        </is>
      </c>
      <c r="C374" t="inlineStr">
        <is>
          <t>Créditos</t>
        </is>
      </c>
      <c r="D374" t="inlineStr">
        <is>
          <t>Miles S/</t>
        </is>
      </c>
      <c r="E374" s="11" t="n">
        <v>46756.4454</v>
      </c>
      <c r="F374" s="16" t="n">
        <v>46756.44536</v>
      </c>
    </row>
    <row r="375">
      <c r="A375" t="inlineStr">
        <is>
          <t>CHOCOPE</t>
        </is>
      </c>
      <c r="B375" t="inlineStr">
        <is>
          <t>130203</t>
        </is>
      </c>
      <c r="C375" t="inlineStr">
        <is>
          <t>Créditos</t>
        </is>
      </c>
      <c r="D375" t="inlineStr">
        <is>
          <t>Miles S/</t>
        </is>
      </c>
      <c r="E375" s="11" t="n">
        <v>45621.7607</v>
      </c>
      <c r="F375" s="16" t="n">
        <v>45621.76073</v>
      </c>
    </row>
    <row r="376">
      <c r="A376" t="inlineStr">
        <is>
          <t>LA UNION</t>
        </is>
      </c>
      <c r="B376" t="inlineStr">
        <is>
          <t>200110</t>
        </is>
      </c>
      <c r="C376" t="inlineStr">
        <is>
          <t>Créditos</t>
        </is>
      </c>
      <c r="D376" t="inlineStr">
        <is>
          <t>Miles S/</t>
        </is>
      </c>
      <c r="E376" s="11" t="n">
        <v>45433.977</v>
      </c>
      <c r="F376" s="16" t="n">
        <v>45433.97702</v>
      </c>
    </row>
    <row r="377">
      <c r="A377" t="inlineStr">
        <is>
          <t>SAN LUIS</t>
        </is>
      </c>
      <c r="B377" t="inlineStr">
        <is>
          <t>150134</t>
        </is>
      </c>
      <c r="C377" t="inlineStr">
        <is>
          <t>Créditos</t>
        </is>
      </c>
      <c r="D377" t="inlineStr">
        <is>
          <t>Miles S/</t>
        </is>
      </c>
      <c r="E377" s="11" t="n">
        <v>44510.6649</v>
      </c>
      <c r="F377" s="16" t="n">
        <v>44510.66493</v>
      </c>
    </row>
    <row r="378">
      <c r="A378" t="inlineStr">
        <is>
          <t>CIUDAD NUEVA</t>
        </is>
      </c>
      <c r="B378" t="inlineStr">
        <is>
          <t>230104</t>
        </is>
      </c>
      <c r="C378" t="inlineStr">
        <is>
          <t>Créditos</t>
        </is>
      </c>
      <c r="D378" t="inlineStr">
        <is>
          <t>Miles S/</t>
        </is>
      </c>
      <c r="E378" s="11" t="n">
        <v>44463.5701</v>
      </c>
      <c r="F378" s="16" t="n">
        <v>44463.57007</v>
      </c>
    </row>
    <row r="379">
      <c r="A379" t="inlineStr">
        <is>
          <t>LA OROYA</t>
        </is>
      </c>
      <c r="B379" t="inlineStr">
        <is>
          <t>120801</t>
        </is>
      </c>
      <c r="C379" t="inlineStr">
        <is>
          <t>Créditos</t>
        </is>
      </c>
      <c r="D379" t="inlineStr">
        <is>
          <t>Miles S/</t>
        </is>
      </c>
      <c r="E379" s="11" t="n">
        <v>44267.1065</v>
      </c>
      <c r="F379" s="16" t="n">
        <v>44267.10651</v>
      </c>
    </row>
    <row r="380">
      <c r="A380" t="inlineStr">
        <is>
          <t>SECHURA</t>
        </is>
      </c>
      <c r="B380" t="inlineStr">
        <is>
          <t>200801</t>
        </is>
      </c>
      <c r="C380" t="inlineStr">
        <is>
          <t>Créditos</t>
        </is>
      </c>
      <c r="D380" t="inlineStr">
        <is>
          <t>Miles S/</t>
        </is>
      </c>
      <c r="E380" s="11" t="n">
        <v>43931.4101</v>
      </c>
      <c r="F380" s="16" t="n">
        <v>43931.41013</v>
      </c>
    </row>
    <row r="381">
      <c r="A381" t="inlineStr">
        <is>
          <t>SANTIAGO DE SURCO</t>
        </is>
      </c>
      <c r="B381" t="inlineStr">
        <is>
          <t>150140</t>
        </is>
      </c>
      <c r="C381" t="inlineStr">
        <is>
          <t>Créditos</t>
        </is>
      </c>
      <c r="D381" t="inlineStr">
        <is>
          <t>Miles S/</t>
        </is>
      </c>
      <c r="E381" s="11" t="n">
        <v>42043.0112</v>
      </c>
      <c r="F381" s="16" t="n">
        <v>42043.01125</v>
      </c>
    </row>
    <row r="382">
      <c r="A382" t="inlineStr">
        <is>
          <t>HUANCHACO</t>
        </is>
      </c>
      <c r="B382" t="inlineStr">
        <is>
          <t>130104</t>
        </is>
      </c>
      <c r="C382" t="inlineStr">
        <is>
          <t>Créditos</t>
        </is>
      </c>
      <c r="D382" t="inlineStr">
        <is>
          <t>Miles S/</t>
        </is>
      </c>
      <c r="E382" s="11" t="n">
        <v>41755.9586</v>
      </c>
      <c r="F382" s="16" t="n">
        <v>41755.95857</v>
      </c>
    </row>
    <row r="383">
      <c r="A383" t="inlineStr">
        <is>
          <t>FERREÑAFE</t>
        </is>
      </c>
      <c r="B383" t="inlineStr">
        <is>
          <t>140201</t>
        </is>
      </c>
      <c r="C383" t="inlineStr">
        <is>
          <t>Créditos</t>
        </is>
      </c>
      <c r="D383" t="inlineStr">
        <is>
          <t>Miles S/</t>
        </is>
      </c>
      <c r="E383" s="11" t="n">
        <v>41474.3347</v>
      </c>
      <c r="F383" s="16" t="n">
        <v>41474.33469</v>
      </c>
    </row>
    <row r="384">
      <c r="A384" t="inlineStr">
        <is>
          <t>YUNGUYO</t>
        </is>
      </c>
      <c r="B384" t="inlineStr">
        <is>
          <t>211301</t>
        </is>
      </c>
      <c r="C384" t="inlineStr">
        <is>
          <t>Créditos</t>
        </is>
      </c>
      <c r="D384" t="inlineStr">
        <is>
          <t>Miles S/</t>
        </is>
      </c>
      <c r="E384" s="11" t="n">
        <v>39630.9101</v>
      </c>
      <c r="F384" s="16" t="n">
        <v>39630.91011</v>
      </c>
    </row>
    <row r="385">
      <c r="A385" t="inlineStr">
        <is>
          <t>CATACAOS</t>
        </is>
      </c>
      <c r="B385" t="inlineStr">
        <is>
          <t>200105</t>
        </is>
      </c>
      <c r="C385" t="inlineStr">
        <is>
          <t>Créditos</t>
        </is>
      </c>
      <c r="D385" t="inlineStr">
        <is>
          <t>Miles S/</t>
        </is>
      </c>
      <c r="E385" s="11" t="n">
        <v>38733.6923</v>
      </c>
      <c r="F385" s="16" t="n">
        <v>38733.69228</v>
      </c>
    </row>
    <row r="386">
      <c r="A386" t="inlineStr">
        <is>
          <t>ALTO SELVA ALEGRE</t>
        </is>
      </c>
      <c r="B386" t="inlineStr">
        <is>
          <t>040102</t>
        </is>
      </c>
      <c r="C386" t="inlineStr">
        <is>
          <t>Créditos</t>
        </is>
      </c>
      <c r="D386" t="inlineStr">
        <is>
          <t>Miles S/</t>
        </is>
      </c>
      <c r="E386" s="11" t="n">
        <v>37470.4345</v>
      </c>
      <c r="F386" s="16" t="n">
        <v>37470.43454</v>
      </c>
    </row>
    <row r="387">
      <c r="A387" t="inlineStr">
        <is>
          <t>PARCONA</t>
        </is>
      </c>
      <c r="B387" t="inlineStr">
        <is>
          <t>110106</t>
        </is>
      </c>
      <c r="C387" t="inlineStr">
        <is>
          <t>Créditos</t>
        </is>
      </c>
      <c r="D387" t="inlineStr">
        <is>
          <t>Miles S/</t>
        </is>
      </c>
      <c r="E387" s="11" t="n">
        <v>36475.6964</v>
      </c>
      <c r="F387" s="16" t="n">
        <v>36475.69637</v>
      </c>
    </row>
    <row r="388">
      <c r="A388" t="inlineStr">
        <is>
          <t>YUNGAY</t>
        </is>
      </c>
      <c r="B388" t="inlineStr">
        <is>
          <t>022001</t>
        </is>
      </c>
      <c r="C388" t="inlineStr">
        <is>
          <t>Créditos</t>
        </is>
      </c>
      <c r="D388" t="inlineStr">
        <is>
          <t>Miles S/</t>
        </is>
      </c>
      <c r="E388" s="11" t="n">
        <v>36066.9369</v>
      </c>
      <c r="F388" s="16" t="n">
        <v>36066.93687</v>
      </c>
    </row>
    <row r="389">
      <c r="A389" t="inlineStr">
        <is>
          <t>SURQUILLO</t>
        </is>
      </c>
      <c r="B389" t="inlineStr">
        <is>
          <t>150141</t>
        </is>
      </c>
      <c r="C389" t="inlineStr">
        <is>
          <t>Créditos</t>
        </is>
      </c>
      <c r="D389" t="inlineStr">
        <is>
          <t>Miles S/</t>
        </is>
      </c>
      <c r="E389" s="11" t="n">
        <v>35812.2604</v>
      </c>
      <c r="F389" s="16" t="n">
        <v>35812.26038</v>
      </c>
    </row>
    <row r="390">
      <c r="A390" t="inlineStr">
        <is>
          <t>CELENDIN</t>
        </is>
      </c>
      <c r="B390" t="inlineStr">
        <is>
          <t>060301</t>
        </is>
      </c>
      <c r="C390" t="inlineStr">
        <is>
          <t>Créditos</t>
        </is>
      </c>
      <c r="D390" t="inlineStr">
        <is>
          <t>Miles S/</t>
        </is>
      </c>
      <c r="E390" s="11" t="n">
        <v>35458.7901</v>
      </c>
      <c r="F390" s="16" t="n">
        <v>35458.79014</v>
      </c>
    </row>
    <row r="391">
      <c r="A391" t="inlineStr">
        <is>
          <t>CAYMA</t>
        </is>
      </c>
      <c r="B391" t="inlineStr">
        <is>
          <t>040103</t>
        </is>
      </c>
      <c r="C391" t="inlineStr">
        <is>
          <t>Créditos</t>
        </is>
      </c>
      <c r="D391" t="inlineStr">
        <is>
          <t>Miles S/</t>
        </is>
      </c>
      <c r="E391" s="11" t="n">
        <v>34618.3888</v>
      </c>
      <c r="F391" s="16" t="n">
        <v>34618.3888</v>
      </c>
    </row>
    <row r="392">
      <c r="A392" t="inlineStr">
        <is>
          <t>TOCACHE</t>
        </is>
      </c>
      <c r="B392" t="inlineStr">
        <is>
          <t>221001</t>
        </is>
      </c>
      <c r="C392" t="inlineStr">
        <is>
          <t>Créditos</t>
        </is>
      </c>
      <c r="D392" t="inlineStr">
        <is>
          <t>Miles S/</t>
        </is>
      </c>
      <c r="E392" s="11" t="n">
        <v>34281.8561</v>
      </c>
      <c r="F392" s="16" t="n">
        <v>34281.85609</v>
      </c>
    </row>
    <row r="393">
      <c r="A393" t="inlineStr">
        <is>
          <t>CONCEPCION</t>
        </is>
      </c>
      <c r="B393" t="inlineStr">
        <is>
          <t>120201</t>
        </is>
      </c>
      <c r="C393" t="inlineStr">
        <is>
          <t>Créditos</t>
        </is>
      </c>
      <c r="D393" t="inlineStr">
        <is>
          <t>Miles S/</t>
        </is>
      </c>
      <c r="E393" s="11" t="n">
        <v>34094.7064</v>
      </c>
      <c r="F393" s="16" t="n">
        <v>34094.70643</v>
      </c>
    </row>
    <row r="394">
      <c r="A394" t="inlineStr">
        <is>
          <t>VILLA RICA</t>
        </is>
      </c>
      <c r="B394" t="inlineStr">
        <is>
          <t>190307</t>
        </is>
      </c>
      <c r="C394" t="inlineStr">
        <is>
          <t>Créditos</t>
        </is>
      </c>
      <c r="D394" t="inlineStr">
        <is>
          <t>Miles S/</t>
        </is>
      </c>
      <c r="E394" s="11" t="n">
        <v>33549.3158</v>
      </c>
      <c r="F394" s="16" t="n">
        <v>33549.31582</v>
      </c>
    </row>
    <row r="395">
      <c r="A395" t="inlineStr">
        <is>
          <t>COCACHACRA</t>
        </is>
      </c>
      <c r="B395" t="inlineStr">
        <is>
          <t>040702</t>
        </is>
      </c>
      <c r="C395" t="inlineStr">
        <is>
          <t>Créditos</t>
        </is>
      </c>
      <c r="D395" t="inlineStr">
        <is>
          <t>Miles S/</t>
        </is>
      </c>
      <c r="E395" s="11" t="n">
        <v>32948.1795</v>
      </c>
      <c r="F395" s="16" t="n">
        <v>32948.17947</v>
      </c>
    </row>
    <row r="396">
      <c r="A396" t="inlineStr">
        <is>
          <t>MORROPON</t>
        </is>
      </c>
      <c r="B396" t="inlineStr">
        <is>
          <t>200405</t>
        </is>
      </c>
      <c r="C396" t="inlineStr">
        <is>
          <t>Créditos</t>
        </is>
      </c>
      <c r="D396" t="inlineStr">
        <is>
          <t>Miles S/</t>
        </is>
      </c>
      <c r="E396" s="11" t="n">
        <v>32916.6037</v>
      </c>
      <c r="F396" s="16" t="n">
        <v>32916.60367</v>
      </c>
    </row>
    <row r="397">
      <c r="A397" t="inlineStr">
        <is>
          <t>CHANCAY</t>
        </is>
      </c>
      <c r="B397" t="inlineStr">
        <is>
          <t>150605</t>
        </is>
      </c>
      <c r="C397" t="inlineStr">
        <is>
          <t>Créditos</t>
        </is>
      </c>
      <c r="D397" t="inlineStr">
        <is>
          <t>Miles S/</t>
        </is>
      </c>
      <c r="E397" s="11" t="n">
        <v>32153.6274</v>
      </c>
      <c r="F397" s="16" t="n">
        <v>32153.62741</v>
      </c>
    </row>
    <row r="398">
      <c r="A398" t="inlineStr">
        <is>
          <t>ANTA</t>
        </is>
      </c>
      <c r="B398" t="inlineStr">
        <is>
          <t>080301</t>
        </is>
      </c>
      <c r="C398" t="inlineStr">
        <is>
          <t>Créditos</t>
        </is>
      </c>
      <c r="D398" t="inlineStr">
        <is>
          <t>Miles S/</t>
        </is>
      </c>
      <c r="E398" s="11" t="n">
        <v>31600.5783</v>
      </c>
      <c r="F398" s="16" t="n">
        <v>31600.57832</v>
      </c>
    </row>
    <row r="399">
      <c r="A399" t="inlineStr">
        <is>
          <t>SAN IGNACIO</t>
        </is>
      </c>
      <c r="B399" t="inlineStr">
        <is>
          <t>060901</t>
        </is>
      </c>
      <c r="C399" t="inlineStr">
        <is>
          <t>Créditos</t>
        </is>
      </c>
      <c r="D399" t="inlineStr">
        <is>
          <t>Miles S/</t>
        </is>
      </c>
      <c r="E399" s="11" t="n">
        <v>30965.4238</v>
      </c>
      <c r="F399" s="16" t="n">
        <v>30965.42384</v>
      </c>
    </row>
    <row r="400">
      <c r="A400" t="inlineStr">
        <is>
          <t>ANCON</t>
        </is>
      </c>
      <c r="B400" t="inlineStr">
        <is>
          <t>150102</t>
        </is>
      </c>
      <c r="C400" t="inlineStr">
        <is>
          <t>Créditos</t>
        </is>
      </c>
      <c r="D400" t="inlineStr">
        <is>
          <t>Miles S/</t>
        </is>
      </c>
      <c r="E400" s="11" t="n">
        <v>30932.4893</v>
      </c>
      <c r="F400" s="16" t="n">
        <v>30932.48932</v>
      </c>
    </row>
    <row r="401">
      <c r="A401" t="inlineStr">
        <is>
          <t>CHILCA</t>
        </is>
      </c>
      <c r="B401" t="inlineStr">
        <is>
          <t>150505</t>
        </is>
      </c>
      <c r="C401" t="inlineStr">
        <is>
          <t>Créditos</t>
        </is>
      </c>
      <c r="D401" t="inlineStr">
        <is>
          <t>Miles S/</t>
        </is>
      </c>
      <c r="E401" s="11" t="n">
        <v>30186.2058</v>
      </c>
      <c r="F401" s="16" t="n">
        <v>30186.20579</v>
      </c>
    </row>
    <row r="402">
      <c r="A402" t="inlineStr">
        <is>
          <t>CAYALTI</t>
        </is>
      </c>
      <c r="B402" t="inlineStr">
        <is>
          <t>140116</t>
        </is>
      </c>
      <c r="C402" t="inlineStr">
        <is>
          <t>Créditos</t>
        </is>
      </c>
      <c r="D402" t="inlineStr">
        <is>
          <t>Miles S/</t>
        </is>
      </c>
      <c r="E402" s="11" t="n">
        <v>28806.346</v>
      </c>
      <c r="F402" s="16" t="n">
        <v>28806.34596</v>
      </c>
    </row>
    <row r="403">
      <c r="A403" t="inlineStr">
        <is>
          <t>MARCONA</t>
        </is>
      </c>
      <c r="B403" t="inlineStr">
        <is>
          <t>110304</t>
        </is>
      </c>
      <c r="C403" t="inlineStr">
        <is>
          <t>Créditos</t>
        </is>
      </c>
      <c r="D403" t="inlineStr">
        <is>
          <t>Miles S/</t>
        </is>
      </c>
      <c r="E403" s="11" t="n">
        <v>28237.2936</v>
      </c>
      <c r="F403" s="16" t="n">
        <v>28237.2936</v>
      </c>
    </row>
    <row r="404">
      <c r="A404" t="inlineStr">
        <is>
          <t>DESAGUADERO</t>
        </is>
      </c>
      <c r="B404" t="inlineStr">
        <is>
          <t>210402</t>
        </is>
      </c>
      <c r="C404" t="inlineStr">
        <is>
          <t>Créditos</t>
        </is>
      </c>
      <c r="D404" t="inlineStr">
        <is>
          <t>Miles S/</t>
        </is>
      </c>
      <c r="E404" s="11" t="n">
        <v>27745.7981</v>
      </c>
      <c r="F404" s="16" t="n">
        <v>27745.79808</v>
      </c>
    </row>
    <row r="405">
      <c r="A405" t="inlineStr">
        <is>
          <t>MACUSANI</t>
        </is>
      </c>
      <c r="B405" t="inlineStr">
        <is>
          <t>210301</t>
        </is>
      </c>
      <c r="C405" t="inlineStr">
        <is>
          <t>Créditos</t>
        </is>
      </c>
      <c r="D405" t="inlineStr">
        <is>
          <t>Miles S/</t>
        </is>
      </c>
      <c r="E405" s="11" t="n">
        <v>27538.7515</v>
      </c>
      <c r="F405" s="16" t="n">
        <v>27538.7515</v>
      </c>
    </row>
    <row r="406">
      <c r="A406" t="inlineStr">
        <is>
          <t>MALA</t>
        </is>
      </c>
      <c r="B406" t="inlineStr">
        <is>
          <t>150509</t>
        </is>
      </c>
      <c r="C406" t="inlineStr">
        <is>
          <t>Créditos</t>
        </is>
      </c>
      <c r="D406" t="inlineStr">
        <is>
          <t>Miles S/</t>
        </is>
      </c>
      <c r="E406" s="11" t="n">
        <v>26467.0451</v>
      </c>
      <c r="F406" s="16" t="n">
        <v>26467.04514</v>
      </c>
    </row>
    <row r="407">
      <c r="A407" t="inlineStr">
        <is>
          <t>HUARI</t>
        </is>
      </c>
      <c r="B407" t="inlineStr">
        <is>
          <t>021001</t>
        </is>
      </c>
      <c r="C407" t="inlineStr">
        <is>
          <t>Créditos</t>
        </is>
      </c>
      <c r="D407" t="inlineStr">
        <is>
          <t>Miles S/</t>
        </is>
      </c>
      <c r="E407" s="11" t="n">
        <v>26450.3218</v>
      </c>
      <c r="F407" s="16" t="n">
        <v>26450.32181</v>
      </c>
    </row>
    <row r="408">
      <c r="A408" t="inlineStr">
        <is>
          <t>YANACANCHA</t>
        </is>
      </c>
      <c r="B408" t="inlineStr">
        <is>
          <t>190113</t>
        </is>
      </c>
      <c r="C408" t="inlineStr">
        <is>
          <t>Créditos</t>
        </is>
      </c>
      <c r="D408" t="inlineStr">
        <is>
          <t>Miles S/</t>
        </is>
      </c>
      <c r="E408" s="11" t="n">
        <v>26124.2493</v>
      </c>
      <c r="F408" s="16" t="n">
        <v>26124.24927</v>
      </c>
    </row>
    <row r="409">
      <c r="A409" t="inlineStr">
        <is>
          <t>PAMPAS</t>
        </is>
      </c>
      <c r="B409" t="inlineStr">
        <is>
          <t>090701</t>
        </is>
      </c>
      <c r="C409" t="inlineStr">
        <is>
          <t>Créditos</t>
        </is>
      </c>
      <c r="D409" t="inlineStr">
        <is>
          <t>Miles S/</t>
        </is>
      </c>
      <c r="E409" s="11" t="n">
        <v>25844.6485</v>
      </c>
      <c r="F409" s="16" t="n">
        <v>25844.64852</v>
      </c>
    </row>
    <row r="410">
      <c r="A410" t="inlineStr">
        <is>
          <t>PANAO</t>
        </is>
      </c>
      <c r="B410" t="inlineStr">
        <is>
          <t>100801</t>
        </is>
      </c>
      <c r="C410" t="inlineStr">
        <is>
          <t>Créditos</t>
        </is>
      </c>
      <c r="D410" t="inlineStr">
        <is>
          <t>Miles S/</t>
        </is>
      </c>
      <c r="E410" s="11" t="n">
        <v>25409.4918</v>
      </c>
      <c r="F410" s="16" t="n">
        <v>25409.49176</v>
      </c>
    </row>
    <row r="411">
      <c r="A411" t="inlineStr">
        <is>
          <t>LAS LOMAS</t>
        </is>
      </c>
      <c r="B411" t="inlineStr">
        <is>
          <t>200111</t>
        </is>
      </c>
      <c r="C411" t="inlineStr">
        <is>
          <t>Créditos</t>
        </is>
      </c>
      <c r="D411" t="inlineStr">
        <is>
          <t>Miles S/</t>
        </is>
      </c>
      <c r="E411" s="11" t="n">
        <v>25122.4777</v>
      </c>
      <c r="F411" s="16" t="n">
        <v>25122.47771</v>
      </c>
    </row>
    <row r="412">
      <c r="A412" t="inlineStr">
        <is>
          <t>PIMENTEL</t>
        </is>
      </c>
      <c r="B412" t="inlineStr">
        <is>
          <t>140112</t>
        </is>
      </c>
      <c r="C412" t="inlineStr">
        <is>
          <t>Créditos</t>
        </is>
      </c>
      <c r="D412" t="inlineStr">
        <is>
          <t>Miles S/</t>
        </is>
      </c>
      <c r="E412" s="11" t="n">
        <v>25096.1729</v>
      </c>
      <c r="F412" s="16" t="n">
        <v>25096.17292</v>
      </c>
    </row>
    <row r="413">
      <c r="A413" t="inlineStr">
        <is>
          <t>URCOS</t>
        </is>
      </c>
      <c r="B413" t="inlineStr">
        <is>
          <t>081201</t>
        </is>
      </c>
      <c r="C413" t="inlineStr">
        <is>
          <t>Créditos</t>
        </is>
      </c>
      <c r="D413" t="inlineStr">
        <is>
          <t>Miles S/</t>
        </is>
      </c>
      <c r="E413" s="11" t="n">
        <v>24750.8889</v>
      </c>
      <c r="F413" s="16" t="n">
        <v>24750.88889</v>
      </c>
    </row>
    <row r="414">
      <c r="A414" t="inlineStr">
        <is>
          <t>AYAVIRI</t>
        </is>
      </c>
      <c r="B414" t="inlineStr">
        <is>
          <t>210801</t>
        </is>
      </c>
      <c r="C414" t="inlineStr">
        <is>
          <t>Créditos</t>
        </is>
      </c>
      <c r="D414" t="inlineStr">
        <is>
          <t>Miles S/</t>
        </is>
      </c>
      <c r="E414" s="11" t="n">
        <v>24417.8864</v>
      </c>
      <c r="F414" s="16" t="n">
        <v>24417.88637</v>
      </c>
    </row>
    <row r="415">
      <c r="A415" t="inlineStr">
        <is>
          <t>HUANCABAMBA</t>
        </is>
      </c>
      <c r="B415" t="inlineStr">
        <is>
          <t>200301</t>
        </is>
      </c>
      <c r="C415" t="inlineStr">
        <is>
          <t>Créditos</t>
        </is>
      </c>
      <c r="D415" t="inlineStr">
        <is>
          <t>Miles S/</t>
        </is>
      </c>
      <c r="E415" s="11" t="n">
        <v>22746.3313</v>
      </c>
      <c r="F415" s="16" t="n">
        <v>22746.33133</v>
      </c>
    </row>
    <row r="416">
      <c r="A416" t="inlineStr">
        <is>
          <t>YURA</t>
        </is>
      </c>
      <c r="B416" t="inlineStr">
        <is>
          <t>040128</t>
        </is>
      </c>
      <c r="C416" t="inlineStr">
        <is>
          <t>Créditos</t>
        </is>
      </c>
      <c r="D416" t="inlineStr">
        <is>
          <t>Miles S/</t>
        </is>
      </c>
      <c r="E416" s="11" t="n">
        <v>22679.3064</v>
      </c>
      <c r="F416" s="16" t="n">
        <v>22679.30642</v>
      </c>
    </row>
    <row r="417">
      <c r="A417" t="inlineStr">
        <is>
          <t>JULI</t>
        </is>
      </c>
      <c r="B417" t="inlineStr">
        <is>
          <t>210401</t>
        </is>
      </c>
      <c r="C417" t="inlineStr">
        <is>
          <t>Créditos</t>
        </is>
      </c>
      <c r="D417" t="inlineStr">
        <is>
          <t>Miles S/</t>
        </is>
      </c>
      <c r="E417" s="11" t="n">
        <v>22581.9027</v>
      </c>
      <c r="F417" s="16" t="n">
        <v>22581.90271</v>
      </c>
    </row>
    <row r="418">
      <c r="A418" t="inlineStr">
        <is>
          <t>JOSE CRESPO Y CASTILLO</t>
        </is>
      </c>
      <c r="B418" t="inlineStr">
        <is>
          <t>100604</t>
        </is>
      </c>
      <c r="C418" t="inlineStr">
        <is>
          <t>Créditos</t>
        </is>
      </c>
      <c r="D418" t="inlineStr">
        <is>
          <t>Miles S/</t>
        </is>
      </c>
      <c r="E418" s="11" t="n">
        <v>22367.5066</v>
      </c>
      <c r="F418" s="16" t="n">
        <v>22367.50659</v>
      </c>
    </row>
    <row r="419">
      <c r="A419" t="inlineStr">
        <is>
          <t>COMBAPATA</t>
        </is>
      </c>
      <c r="B419" t="inlineStr">
        <is>
          <t>080603</t>
        </is>
      </c>
      <c r="C419" t="inlineStr">
        <is>
          <t>Créditos</t>
        </is>
      </c>
      <c r="D419" t="inlineStr">
        <is>
          <t>Miles S/</t>
        </is>
      </c>
      <c r="E419" s="11" t="n">
        <v>22142.5426</v>
      </c>
      <c r="F419" s="16" t="n">
        <v>22142.54264</v>
      </c>
    </row>
    <row r="420">
      <c r="A420" t="inlineStr">
        <is>
          <t>ESPINAR</t>
        </is>
      </c>
      <c r="B420" t="inlineStr">
        <is>
          <t>080801</t>
        </is>
      </c>
      <c r="C420" t="inlineStr">
        <is>
          <t>Créditos</t>
        </is>
      </c>
      <c r="D420" t="inlineStr">
        <is>
          <t>Miles S/</t>
        </is>
      </c>
      <c r="E420" s="11" t="n">
        <v>21488.4514</v>
      </c>
      <c r="F420" s="16" t="n">
        <v>21488.45143</v>
      </c>
    </row>
    <row r="421">
      <c r="A421" t="inlineStr">
        <is>
          <t>MAÑAZO</t>
        </is>
      </c>
      <c r="B421" t="inlineStr">
        <is>
          <t>210109</t>
        </is>
      </c>
      <c r="C421" t="inlineStr">
        <is>
          <t>Créditos</t>
        </is>
      </c>
      <c r="D421" t="inlineStr">
        <is>
          <t>Miles S/</t>
        </is>
      </c>
      <c r="E421" s="11" t="n">
        <v>20966.2941</v>
      </c>
      <c r="F421" s="16" t="n">
        <v>20966.2941</v>
      </c>
    </row>
    <row r="422">
      <c r="A422" t="inlineStr">
        <is>
          <t>LA UNION</t>
        </is>
      </c>
      <c r="B422" t="inlineStr">
        <is>
          <t>100301</t>
        </is>
      </c>
      <c r="C422" t="inlineStr">
        <is>
          <t>Créditos</t>
        </is>
      </c>
      <c r="D422" t="inlineStr">
        <is>
          <t>Miles S/</t>
        </is>
      </c>
      <c r="E422" s="11" t="n">
        <v>20812.4862</v>
      </c>
      <c r="F422" s="16" t="n">
        <v>20812.48623</v>
      </c>
    </row>
    <row r="423">
      <c r="A423" t="inlineStr">
        <is>
          <t>NEPEÑA</t>
        </is>
      </c>
      <c r="B423" t="inlineStr">
        <is>
          <t>021806</t>
        </is>
      </c>
      <c r="C423" t="inlineStr">
        <is>
          <t>Créditos</t>
        </is>
      </c>
      <c r="D423" t="inlineStr">
        <is>
          <t>Miles S/</t>
        </is>
      </c>
      <c r="E423" s="11" t="n">
        <v>20483.601</v>
      </c>
      <c r="F423" s="16" t="n">
        <v>20483.60099</v>
      </c>
    </row>
    <row r="424">
      <c r="A424" t="inlineStr">
        <is>
          <t>LOS ORGANOS</t>
        </is>
      </c>
      <c r="B424" t="inlineStr">
        <is>
          <t>200705</t>
        </is>
      </c>
      <c r="C424" t="inlineStr">
        <is>
          <t>Créditos</t>
        </is>
      </c>
      <c r="D424" t="inlineStr">
        <is>
          <t>Miles S/</t>
        </is>
      </c>
      <c r="E424" s="11" t="n">
        <v>20116.0395</v>
      </c>
      <c r="F424" s="16" t="n">
        <v>20116.03947</v>
      </c>
    </row>
    <row r="425">
      <c r="A425" t="inlineStr">
        <is>
          <t>HUANCANE</t>
        </is>
      </c>
      <c r="B425" t="inlineStr">
        <is>
          <t>210601</t>
        </is>
      </c>
      <c r="C425" t="inlineStr">
        <is>
          <t>Créditos</t>
        </is>
      </c>
      <c r="D425" t="inlineStr">
        <is>
          <t>Miles S/</t>
        </is>
      </c>
      <c r="E425" s="11" t="n">
        <v>19985.6522</v>
      </c>
      <c r="F425" s="16" t="n">
        <v>19985.65222</v>
      </c>
    </row>
    <row r="426">
      <c r="A426" t="inlineStr">
        <is>
          <t>JAZAN</t>
        </is>
      </c>
      <c r="B426" t="inlineStr">
        <is>
          <t>010307</t>
        </is>
      </c>
      <c r="C426" t="inlineStr">
        <is>
          <t>Créditos</t>
        </is>
      </c>
      <c r="D426" t="inlineStr">
        <is>
          <t>Miles S/</t>
        </is>
      </c>
      <c r="E426" s="11" t="n">
        <v>19781.5452</v>
      </c>
      <c r="F426" s="16" t="n">
        <v>19781.54519</v>
      </c>
    </row>
    <row r="427">
      <c r="A427" t="inlineStr">
        <is>
          <t>MAGDALENA DEL MAR</t>
        </is>
      </c>
      <c r="B427" t="inlineStr">
        <is>
          <t>150120</t>
        </is>
      </c>
      <c r="C427" t="inlineStr">
        <is>
          <t>Créditos</t>
        </is>
      </c>
      <c r="D427" t="inlineStr">
        <is>
          <t>Miles S/</t>
        </is>
      </c>
      <c r="E427" s="11" t="n">
        <v>18902.3407</v>
      </c>
      <c r="F427" s="16" t="n">
        <v>18902.3407</v>
      </c>
    </row>
    <row r="428">
      <c r="A428" t="inlineStr">
        <is>
          <t>AYABACA</t>
        </is>
      </c>
      <c r="B428" t="inlineStr">
        <is>
          <t>200201</t>
        </is>
      </c>
      <c r="C428" t="inlineStr">
        <is>
          <t>Créditos</t>
        </is>
      </c>
      <c r="D428" t="inlineStr">
        <is>
          <t>Miles S/</t>
        </is>
      </c>
      <c r="E428" s="11" t="n">
        <v>18867.6802</v>
      </c>
      <c r="F428" s="16" t="n">
        <v>18867.68018</v>
      </c>
    </row>
    <row r="429">
      <c r="A429" t="inlineStr">
        <is>
          <t>HUARMEY</t>
        </is>
      </c>
      <c r="B429" t="inlineStr">
        <is>
          <t>021101</t>
        </is>
      </c>
      <c r="C429" t="inlineStr">
        <is>
          <t>Créditos</t>
        </is>
      </c>
      <c r="D429" t="inlineStr">
        <is>
          <t>Miles S/</t>
        </is>
      </c>
      <c r="E429" s="11" t="n">
        <v>18636.8081</v>
      </c>
      <c r="F429" s="16" t="n">
        <v>18636.80813</v>
      </c>
    </row>
    <row r="430">
      <c r="A430" t="inlineStr">
        <is>
          <t>SANTO TOMAS</t>
        </is>
      </c>
      <c r="B430" t="inlineStr">
        <is>
          <t>080701</t>
        </is>
      </c>
      <c r="C430" t="inlineStr">
        <is>
          <t>Créditos</t>
        </is>
      </c>
      <c r="D430" t="inlineStr">
        <is>
          <t>Miles S/</t>
        </is>
      </c>
      <c r="E430" s="11" t="n">
        <v>18571.2989</v>
      </c>
      <c r="F430" s="16" t="n">
        <v>18571.29889</v>
      </c>
    </row>
    <row r="431">
      <c r="A431" t="inlineStr">
        <is>
          <t>LA MOLINA</t>
        </is>
      </c>
      <c r="B431" t="inlineStr">
        <is>
          <t>150114</t>
        </is>
      </c>
      <c r="C431" t="inlineStr">
        <is>
          <t>Créditos</t>
        </is>
      </c>
      <c r="D431" t="inlineStr">
        <is>
          <t>Miles S/</t>
        </is>
      </c>
      <c r="E431" s="11" t="n">
        <v>18511.2402</v>
      </c>
      <c r="F431" s="16" t="n">
        <v>18511.24019</v>
      </c>
    </row>
    <row r="432">
      <c r="A432" t="inlineStr">
        <is>
          <t>APLAO</t>
        </is>
      </c>
      <c r="B432" t="inlineStr">
        <is>
          <t>040401</t>
        </is>
      </c>
      <c r="C432" t="inlineStr">
        <is>
          <t>Créditos</t>
        </is>
      </c>
      <c r="D432" t="inlineStr">
        <is>
          <t>Miles S/</t>
        </is>
      </c>
      <c r="E432" s="11" t="n">
        <v>18418.8042</v>
      </c>
      <c r="F432" s="16" t="n">
        <v>18418.80419</v>
      </c>
    </row>
    <row r="433">
      <c r="A433" t="inlineStr">
        <is>
          <t>AZANGARO</t>
        </is>
      </c>
      <c r="B433" t="inlineStr">
        <is>
          <t>210201</t>
        </is>
      </c>
      <c r="C433" t="inlineStr">
        <is>
          <t>Créditos</t>
        </is>
      </c>
      <c r="D433" t="inlineStr">
        <is>
          <t>Miles S/</t>
        </is>
      </c>
      <c r="E433" s="11" t="n">
        <v>17980.7457</v>
      </c>
      <c r="F433" s="16" t="n">
        <v>17980.74575</v>
      </c>
    </row>
    <row r="434">
      <c r="A434" t="inlineStr">
        <is>
          <t>PEDRO GALVEZ</t>
        </is>
      </c>
      <c r="B434" t="inlineStr">
        <is>
          <t>061001</t>
        </is>
      </c>
      <c r="C434" t="inlineStr">
        <is>
          <t>Créditos</t>
        </is>
      </c>
      <c r="D434" t="inlineStr">
        <is>
          <t>Miles S/</t>
        </is>
      </c>
      <c r="E434" s="11" t="n">
        <v>17631.6537</v>
      </c>
      <c r="F434" s="16" t="n">
        <v>17631.65374</v>
      </c>
    </row>
    <row r="435">
      <c r="A435" t="inlineStr">
        <is>
          <t>PUNTA DE BOMBON</t>
        </is>
      </c>
      <c r="B435" t="inlineStr">
        <is>
          <t>040706</t>
        </is>
      </c>
      <c r="C435" t="inlineStr">
        <is>
          <t>Créditos</t>
        </is>
      </c>
      <c r="D435" t="inlineStr">
        <is>
          <t>Miles S/</t>
        </is>
      </c>
      <c r="E435" s="11" t="n">
        <v>16142.3921</v>
      </c>
      <c r="F435" s="16" t="n">
        <v>16142.3921</v>
      </c>
    </row>
    <row r="436">
      <c r="A436" t="inlineStr">
        <is>
          <t>SANTIAGO DE CHUCO</t>
        </is>
      </c>
      <c r="B436" t="inlineStr">
        <is>
          <t>131001</t>
        </is>
      </c>
      <c r="C436" t="inlineStr">
        <is>
          <t>Créditos</t>
        </is>
      </c>
      <c r="D436" t="inlineStr">
        <is>
          <t>Miles S/</t>
        </is>
      </c>
      <c r="E436" s="11" t="n">
        <v>15451.4377</v>
      </c>
      <c r="F436" s="16" t="n">
        <v>15451.43772</v>
      </c>
    </row>
    <row r="437">
      <c r="A437" t="inlineStr">
        <is>
          <t>PADRE ABAD</t>
        </is>
      </c>
      <c r="B437" t="inlineStr">
        <is>
          <t>250301</t>
        </is>
      </c>
      <c r="C437" t="inlineStr">
        <is>
          <t>Créditos</t>
        </is>
      </c>
      <c r="D437" t="inlineStr">
        <is>
          <t>Miles S/</t>
        </is>
      </c>
      <c r="E437" s="11" t="n">
        <v>14938.9437</v>
      </c>
      <c r="F437" s="16" t="n">
        <v>14938.94371</v>
      </c>
    </row>
    <row r="438">
      <c r="A438" t="inlineStr">
        <is>
          <t>SIHUAS</t>
        </is>
      </c>
      <c r="B438" t="inlineStr">
        <is>
          <t>021901</t>
        </is>
      </c>
      <c r="C438" t="inlineStr">
        <is>
          <t>Créditos</t>
        </is>
      </c>
      <c r="D438" t="inlineStr">
        <is>
          <t>Miles S/</t>
        </is>
      </c>
      <c r="E438" s="11" t="n">
        <v>14838.5726</v>
      </c>
      <c r="F438" s="16" t="n">
        <v>14838.57256</v>
      </c>
    </row>
    <row r="439">
      <c r="A439" t="inlineStr">
        <is>
          <t>SAN MIGUEL</t>
        </is>
      </c>
      <c r="B439" t="inlineStr">
        <is>
          <t>061101</t>
        </is>
      </c>
      <c r="C439" t="inlineStr">
        <is>
          <t>Créditos</t>
        </is>
      </c>
      <c r="D439" t="inlineStr">
        <is>
          <t>Miles S/</t>
        </is>
      </c>
      <c r="E439" s="11" t="n">
        <v>14837.9965</v>
      </c>
      <c r="F439" s="16" t="n">
        <v>14837.99652</v>
      </c>
    </row>
    <row r="440">
      <c r="A440" t="inlineStr">
        <is>
          <t>PATAPO</t>
        </is>
      </c>
      <c r="B440" t="inlineStr">
        <is>
          <t>140117</t>
        </is>
      </c>
      <c r="C440" t="inlineStr">
        <is>
          <t>Créditos</t>
        </is>
      </c>
      <c r="D440" t="inlineStr">
        <is>
          <t>Miles S/</t>
        </is>
      </c>
      <c r="E440" s="11" t="n">
        <v>14479.0705</v>
      </c>
      <c r="F440" s="16" t="n">
        <v>14479.07054</v>
      </c>
    </row>
    <row r="441">
      <c r="A441" t="inlineStr">
        <is>
          <t>RECUAY</t>
        </is>
      </c>
      <c r="B441" t="inlineStr">
        <is>
          <t>021701</t>
        </is>
      </c>
      <c r="C441" t="inlineStr">
        <is>
          <t>Créditos</t>
        </is>
      </c>
      <c r="D441" t="inlineStr">
        <is>
          <t>Miles S/</t>
        </is>
      </c>
      <c r="E441" s="11" t="n">
        <v>14134.9734</v>
      </c>
      <c r="F441" s="16" t="n">
        <v>14134.9734</v>
      </c>
    </row>
    <row r="442">
      <c r="A442" t="inlineStr">
        <is>
          <t>PAIMAS</t>
        </is>
      </c>
      <c r="B442" t="inlineStr">
        <is>
          <t>200207</t>
        </is>
      </c>
      <c r="C442" t="inlineStr">
        <is>
          <t>Créditos</t>
        </is>
      </c>
      <c r="D442" t="inlineStr">
        <is>
          <t>Miles S/</t>
        </is>
      </c>
      <c r="E442" s="11" t="n">
        <v>14012.4708</v>
      </c>
      <c r="F442" s="16" t="n">
        <v>14012.47075</v>
      </c>
    </row>
    <row r="443">
      <c r="A443" t="inlineStr">
        <is>
          <t>IGNACIO ESCUDERO</t>
        </is>
      </c>
      <c r="B443" t="inlineStr">
        <is>
          <t>200603</t>
        </is>
      </c>
      <c r="C443" t="inlineStr">
        <is>
          <t>Créditos</t>
        </is>
      </c>
      <c r="D443" t="inlineStr">
        <is>
          <t>Miles S/</t>
        </is>
      </c>
      <c r="E443" s="11" t="n">
        <v>13548.3799</v>
      </c>
      <c r="F443" s="16" t="n">
        <v>13548.37988</v>
      </c>
    </row>
    <row r="444">
      <c r="A444" t="inlineStr">
        <is>
          <t>CALCA</t>
        </is>
      </c>
      <c r="B444" t="inlineStr">
        <is>
          <t>080401</t>
        </is>
      </c>
      <c r="C444" t="inlineStr">
        <is>
          <t>Créditos</t>
        </is>
      </c>
      <c r="D444" t="inlineStr">
        <is>
          <t>Miles S/</t>
        </is>
      </c>
      <c r="E444" s="11" t="n">
        <v>13243.7636</v>
      </c>
      <c r="F444" s="16" t="n">
        <v>13243.7636</v>
      </c>
    </row>
    <row r="445">
      <c r="A445" t="inlineStr">
        <is>
          <t>SANTA CRUZ</t>
        </is>
      </c>
      <c r="B445" t="inlineStr">
        <is>
          <t>061301</t>
        </is>
      </c>
      <c r="C445" t="inlineStr">
        <is>
          <t>Créditos</t>
        </is>
      </c>
      <c r="D445" t="inlineStr">
        <is>
          <t>Miles S/</t>
        </is>
      </c>
      <c r="E445" s="11" t="n">
        <v>12895.5177</v>
      </c>
      <c r="F445" s="16" t="n">
        <v>12895.51773</v>
      </c>
    </row>
    <row r="446">
      <c r="A446" t="inlineStr">
        <is>
          <t>PAUCARA</t>
        </is>
      </c>
      <c r="B446" t="inlineStr">
        <is>
          <t>090206</t>
        </is>
      </c>
      <c r="C446" t="inlineStr">
        <is>
          <t>Créditos</t>
        </is>
      </c>
      <c r="D446" t="inlineStr">
        <is>
          <t>Miles S/</t>
        </is>
      </c>
      <c r="E446" s="11" t="n">
        <v>11702.9795</v>
      </c>
      <c r="F446" s="16" t="n">
        <v>11702.97948</v>
      </c>
    </row>
    <row r="447">
      <c r="A447" t="inlineStr">
        <is>
          <t>OYOTUN</t>
        </is>
      </c>
      <c r="B447" t="inlineStr">
        <is>
          <t>140110</t>
        </is>
      </c>
      <c r="C447" t="inlineStr">
        <is>
          <t>Créditos</t>
        </is>
      </c>
      <c r="D447" t="inlineStr">
        <is>
          <t>Miles S/</t>
        </is>
      </c>
      <c r="E447" s="11" t="n">
        <v>8331.190500000001</v>
      </c>
      <c r="F447" s="16" t="n">
        <v>8331.190549999999</v>
      </c>
    </row>
    <row r="448">
      <c r="A448" t="inlineStr">
        <is>
          <t>ZORRITOS</t>
        </is>
      </c>
      <c r="B448" t="inlineStr">
        <is>
          <t>240201</t>
        </is>
      </c>
      <c r="C448" t="inlineStr">
        <is>
          <t>Créditos</t>
        </is>
      </c>
      <c r="D448" t="inlineStr">
        <is>
          <t>Miles S/</t>
        </is>
      </c>
      <c r="E448" s="11" t="n">
        <v>7684.8588</v>
      </c>
      <c r="F448" s="16" t="n">
        <v>7684.8588</v>
      </c>
    </row>
    <row r="449">
      <c r="A449" t="inlineStr">
        <is>
          <t>LA MATANZA</t>
        </is>
      </c>
      <c r="B449" t="inlineStr">
        <is>
          <t>200404</t>
        </is>
      </c>
      <c r="C449" t="inlineStr">
        <is>
          <t>Créditos</t>
        </is>
      </c>
      <c r="D449" t="inlineStr">
        <is>
          <t>Miles S/</t>
        </is>
      </c>
      <c r="E449" s="11" t="n">
        <v>7572.2407</v>
      </c>
      <c r="F449" s="16" t="n">
        <v>7572.24073</v>
      </c>
    </row>
    <row r="450">
      <c r="A450" t="inlineStr">
        <is>
          <t>SAN PABLO</t>
        </is>
      </c>
      <c r="B450" t="inlineStr">
        <is>
          <t>061201</t>
        </is>
      </c>
      <c r="C450" t="inlineStr">
        <is>
          <t>Créditos</t>
        </is>
      </c>
      <c r="D450" t="inlineStr">
        <is>
          <t>Miles S/</t>
        </is>
      </c>
      <c r="E450" s="11" t="n">
        <v>6884.1062</v>
      </c>
      <c r="F450" s="16" t="n">
        <v>6884.10622</v>
      </c>
    </row>
    <row r="451">
      <c r="A451" t="inlineStr">
        <is>
          <t>ECHARATE</t>
        </is>
      </c>
      <c r="B451" t="inlineStr">
        <is>
          <t>080902</t>
        </is>
      </c>
      <c r="C451" t="inlineStr">
        <is>
          <t>Créditos</t>
        </is>
      </c>
      <c r="D451" t="inlineStr">
        <is>
          <t>Miles S/</t>
        </is>
      </c>
      <c r="E451" s="11" t="n">
        <v>6749.6646</v>
      </c>
      <c r="F451" s="16" t="n">
        <v>6749.6646</v>
      </c>
    </row>
    <row r="452">
      <c r="A452" t="inlineStr">
        <is>
          <t>TAMBO</t>
        </is>
      </c>
      <c r="B452" t="inlineStr">
        <is>
          <t>050508</t>
        </is>
      </c>
      <c r="C452" t="inlineStr">
        <is>
          <t>Créditos</t>
        </is>
      </c>
      <c r="D452" t="inlineStr">
        <is>
          <t>Miles S/</t>
        </is>
      </c>
      <c r="E452" s="11" t="n">
        <v>6618.2703</v>
      </c>
      <c r="F452" s="16" t="n">
        <v>6618.27035</v>
      </c>
    </row>
    <row r="453">
      <c r="A453" t="inlineStr">
        <is>
          <t>SAN JOSE DE SISA</t>
        </is>
      </c>
      <c r="B453" t="inlineStr">
        <is>
          <t>220301</t>
        </is>
      </c>
      <c r="C453" t="inlineStr">
        <is>
          <t>Créditos</t>
        </is>
      </c>
      <c r="D453" t="inlineStr">
        <is>
          <t>Miles S/</t>
        </is>
      </c>
      <c r="E453" s="11" t="n">
        <v>6552.0631</v>
      </c>
      <c r="F453" s="16" t="n">
        <v>6552.06315</v>
      </c>
    </row>
    <row r="454">
      <c r="A454" t="inlineStr">
        <is>
          <t>TONGOD</t>
        </is>
      </c>
      <c r="B454" t="inlineStr">
        <is>
          <t>061112</t>
        </is>
      </c>
      <c r="C454" t="inlineStr">
        <is>
          <t>Créditos</t>
        </is>
      </c>
      <c r="D454" t="inlineStr">
        <is>
          <t>Miles S/</t>
        </is>
      </c>
      <c r="E454" s="11" t="n">
        <v>6473.9048</v>
      </c>
      <c r="F454" s="16" t="n">
        <v>6473.9048</v>
      </c>
    </row>
    <row r="455">
      <c r="A455" t="inlineStr">
        <is>
          <t>SAN MARCOS</t>
        </is>
      </c>
      <c r="B455" t="inlineStr">
        <is>
          <t>021014</t>
        </is>
      </c>
      <c r="C455" t="inlineStr">
        <is>
          <t>Créditos</t>
        </is>
      </c>
      <c r="D455" t="inlineStr">
        <is>
          <t>Miles S/</t>
        </is>
      </c>
      <c r="E455" s="11" t="n">
        <v>5958.1778</v>
      </c>
      <c r="F455" s="16" t="n">
        <v>5958.17784</v>
      </c>
    </row>
    <row r="456">
      <c r="A456" t="inlineStr">
        <is>
          <t>TACABAMBA</t>
        </is>
      </c>
      <c r="B456" t="inlineStr">
        <is>
          <t>060417</t>
        </is>
      </c>
      <c r="C456" t="inlineStr">
        <is>
          <t>Créditos</t>
        </is>
      </c>
      <c r="D456" t="inlineStr">
        <is>
          <t>Miles S/</t>
        </is>
      </c>
      <c r="E456" s="11" t="n">
        <v>5886.918</v>
      </c>
      <c r="F456" s="16" t="n">
        <v>5886.91795</v>
      </c>
    </row>
    <row r="457">
      <c r="A457" t="inlineStr">
        <is>
          <t>CHIQUIAN</t>
        </is>
      </c>
      <c r="B457" t="inlineStr">
        <is>
          <t>020501</t>
        </is>
      </c>
      <c r="C457" t="inlineStr">
        <is>
          <t>Créditos</t>
        </is>
      </c>
      <c r="D457" t="inlineStr">
        <is>
          <t>Miles S/</t>
        </is>
      </c>
      <c r="E457" s="11" t="n">
        <v>5705.9061</v>
      </c>
      <c r="F457" s="16" t="n">
        <v>5705.90608</v>
      </c>
    </row>
    <row r="458">
      <c r="A458" t="inlineStr">
        <is>
          <t>COLAN</t>
        </is>
      </c>
      <c r="B458" t="inlineStr">
        <is>
          <t>200504</t>
        </is>
      </c>
      <c r="C458" t="inlineStr">
        <is>
          <t>Créditos</t>
        </is>
      </c>
      <c r="D458" t="inlineStr">
        <is>
          <t>Miles S/</t>
        </is>
      </c>
      <c r="E458" s="11" t="n">
        <v>5440.794</v>
      </c>
      <c r="F458" s="16" t="n">
        <v>5440.79397</v>
      </c>
    </row>
    <row r="459">
      <c r="A459" t="inlineStr">
        <is>
          <t>SAPOSOA</t>
        </is>
      </c>
      <c r="B459" t="inlineStr">
        <is>
          <t>220401</t>
        </is>
      </c>
      <c r="C459" t="inlineStr">
        <is>
          <t>Créditos</t>
        </is>
      </c>
      <c r="D459" t="inlineStr">
        <is>
          <t>Miles S/</t>
        </is>
      </c>
      <c r="E459" s="11" t="n">
        <v>5391.3974</v>
      </c>
      <c r="F459" s="16" t="n">
        <v>5391.39736</v>
      </c>
    </row>
    <row r="460">
      <c r="A460" t="inlineStr">
        <is>
          <t>POMACANCHI</t>
        </is>
      </c>
      <c r="B460" t="inlineStr">
        <is>
          <t>080205</t>
        </is>
      </c>
      <c r="C460" t="inlineStr">
        <is>
          <t>Créditos</t>
        </is>
      </c>
      <c r="D460" t="inlineStr">
        <is>
          <t>Miles S/</t>
        </is>
      </c>
      <c r="E460" s="11" t="n">
        <v>5313.3544</v>
      </c>
      <c r="F460" s="16" t="n">
        <v>5313.35443</v>
      </c>
    </row>
    <row r="461">
      <c r="A461" t="inlineStr">
        <is>
          <t>PACCHA</t>
        </is>
      </c>
      <c r="B461" t="inlineStr">
        <is>
          <t>060413</t>
        </is>
      </c>
      <c r="C461" t="inlineStr">
        <is>
          <t>Créditos</t>
        </is>
      </c>
      <c r="D461" t="inlineStr">
        <is>
          <t>Miles S/</t>
        </is>
      </c>
      <c r="E461" s="11" t="n">
        <v>4940.8993</v>
      </c>
      <c r="F461" s="16" t="n">
        <v>4940.89935</v>
      </c>
    </row>
    <row r="462">
      <c r="A462" t="inlineStr">
        <is>
          <t>HUAYOPATA</t>
        </is>
      </c>
      <c r="B462" t="inlineStr">
        <is>
          <t>080903</t>
        </is>
      </c>
      <c r="C462" t="inlineStr">
        <is>
          <t>Créditos</t>
        </is>
      </c>
      <c r="D462" t="inlineStr">
        <is>
          <t>Miles S/</t>
        </is>
      </c>
      <c r="E462" s="11" t="n">
        <v>3800.3593</v>
      </c>
      <c r="F462" s="16" t="n">
        <v>3800.35931</v>
      </c>
    </row>
    <row r="463">
      <c r="A463" t="inlineStr">
        <is>
          <t>POMABAMBA</t>
        </is>
      </c>
      <c r="B463" t="inlineStr">
        <is>
          <t>021601</t>
        </is>
      </c>
      <c r="C463" t="inlineStr">
        <is>
          <t>Créditos</t>
        </is>
      </c>
      <c r="D463" t="inlineStr">
        <is>
          <t>Miles S/</t>
        </is>
      </c>
      <c r="E463" s="11" t="n">
        <v>3738.4109</v>
      </c>
      <c r="F463" s="16" t="n">
        <v>3738.41092</v>
      </c>
    </row>
    <row r="464">
      <c r="A464" t="inlineStr">
        <is>
          <t>PAUCARTAMBO</t>
        </is>
      </c>
      <c r="B464" t="inlineStr">
        <is>
          <t>081101</t>
        </is>
      </c>
      <c r="C464" t="inlineStr">
        <is>
          <t>Créditos</t>
        </is>
      </c>
      <c r="D464" t="inlineStr">
        <is>
          <t>Miles S/</t>
        </is>
      </c>
      <c r="E464" s="11" t="n">
        <v>3523.7831</v>
      </c>
      <c r="F464" s="16" t="n">
        <v>3523.78309</v>
      </c>
    </row>
    <row r="465">
      <c r="A465" t="inlineStr">
        <is>
          <t>SOROCHUCO</t>
        </is>
      </c>
      <c r="B465" t="inlineStr">
        <is>
          <t>060309</t>
        </is>
      </c>
      <c r="C465" t="inlineStr">
        <is>
          <t>Créditos</t>
        </is>
      </c>
      <c r="D465" t="inlineStr">
        <is>
          <t>Miles S/</t>
        </is>
      </c>
      <c r="E465" s="11" t="n">
        <v>2930.1461</v>
      </c>
      <c r="F465" s="16" t="n">
        <v>2930.14611</v>
      </c>
    </row>
    <row r="466">
      <c r="A466" t="inlineStr">
        <is>
          <t>CANGALLO</t>
        </is>
      </c>
      <c r="B466" t="inlineStr">
        <is>
          <t>050201</t>
        </is>
      </c>
      <c r="C466" t="inlineStr">
        <is>
          <t>Créditos</t>
        </is>
      </c>
      <c r="D466" t="inlineStr">
        <is>
          <t>Miles S/</t>
        </is>
      </c>
      <c r="E466" s="11" t="n">
        <v>2491.6728</v>
      </c>
      <c r="F466" s="16" t="n">
        <v>2491.67283</v>
      </c>
    </row>
    <row r="467">
      <c r="A467" t="inlineStr">
        <is>
          <t>ILABAYA</t>
        </is>
      </c>
      <c r="B467" t="inlineStr">
        <is>
          <t>230302</t>
        </is>
      </c>
      <c r="C467" t="inlineStr">
        <is>
          <t>Créditos</t>
        </is>
      </c>
      <c r="D467" t="inlineStr">
        <is>
          <t>Miles S/</t>
        </is>
      </c>
      <c r="E467" s="11" t="n">
        <v>2266.2438</v>
      </c>
      <c r="F467" s="16" t="n">
        <v>2266.24375</v>
      </c>
    </row>
    <row r="468">
      <c r="A468" t="inlineStr">
        <is>
          <t>PAMPACOLCA</t>
        </is>
      </c>
      <c r="B468" t="inlineStr">
        <is>
          <t>040410</t>
        </is>
      </c>
      <c r="C468" t="inlineStr">
        <is>
          <t>Créditos</t>
        </is>
      </c>
      <c r="D468" t="inlineStr">
        <is>
          <t>Miles S/</t>
        </is>
      </c>
      <c r="E468" s="11" t="n">
        <v>2212.8083</v>
      </c>
      <c r="F468" s="16" t="n">
        <v>2212.80827</v>
      </c>
    </row>
    <row r="469">
      <c r="A469" t="inlineStr">
        <is>
          <t>CURAHUASI</t>
        </is>
      </c>
      <c r="B469" t="inlineStr">
        <is>
          <t>030104</t>
        </is>
      </c>
      <c r="C469" t="inlineStr">
        <is>
          <t>Créditos</t>
        </is>
      </c>
      <c r="D469" t="inlineStr">
        <is>
          <t>Miles S/</t>
        </is>
      </c>
      <c r="E469" s="11" t="n">
        <v>2196.0101</v>
      </c>
      <c r="F469" s="16" t="n">
        <v>2196.01011</v>
      </c>
    </row>
    <row r="470">
      <c r="A470" t="inlineStr">
        <is>
          <t>ACOMAYO</t>
        </is>
      </c>
      <c r="B470" t="inlineStr">
        <is>
          <t>080201</t>
        </is>
      </c>
      <c r="C470" t="inlineStr">
        <is>
          <t>Créditos</t>
        </is>
      </c>
      <c r="D470" t="inlineStr">
        <is>
          <t>Miles S/</t>
        </is>
      </c>
      <c r="E470" s="11" t="n">
        <v>2039.7992</v>
      </c>
      <c r="F470" s="16" t="n">
        <v>2039.79919</v>
      </c>
    </row>
    <row r="471">
      <c r="A471" t="inlineStr">
        <is>
          <t>HUANCARAMA</t>
        </is>
      </c>
      <c r="B471" t="inlineStr">
        <is>
          <t>030204</t>
        </is>
      </c>
      <c r="C471" t="inlineStr">
        <is>
          <t>Créditos</t>
        </is>
      </c>
      <c r="D471" t="inlineStr">
        <is>
          <t>Miles S/</t>
        </is>
      </c>
      <c r="E471" s="11" t="n">
        <v>1876.8602</v>
      </c>
      <c r="F471" s="16" t="n">
        <v>1876.86024</v>
      </c>
    </row>
    <row r="472">
      <c r="A472" t="inlineStr">
        <is>
          <t>SANTA ANITA</t>
        </is>
      </c>
      <c r="B472" t="inlineStr">
        <is>
          <t>150137</t>
        </is>
      </c>
      <c r="C472" t="inlineStr">
        <is>
          <t>Créditos</t>
        </is>
      </c>
      <c r="D472" t="inlineStr">
        <is>
          <t>Miles S/</t>
        </is>
      </c>
      <c r="E472" s="11" t="n">
        <v>509.4375</v>
      </c>
      <c r="F472" s="16" t="n">
        <v>509.43746</v>
      </c>
    </row>
    <row r="473">
      <c r="A473" t="inlineStr">
        <is>
          <t>SAN MIGUEL</t>
        </is>
      </c>
      <c r="B473" t="inlineStr">
        <is>
          <t>150136</t>
        </is>
      </c>
      <c r="C473" t="inlineStr">
        <is>
          <t>Créditos</t>
        </is>
      </c>
      <c r="D473" t="inlineStr">
        <is>
          <t>Miles S/</t>
        </is>
      </c>
      <c r="E473" s="11" t="n">
        <v>377.0755</v>
      </c>
      <c r="F473" s="16" t="n">
        <v>377.0755</v>
      </c>
    </row>
    <row r="474">
      <c r="A474" t="inlineStr">
        <is>
          <t>LINCE</t>
        </is>
      </c>
      <c r="B474" t="inlineStr">
        <is>
          <t>150116</t>
        </is>
      </c>
      <c r="C474" t="inlineStr">
        <is>
          <t>Créditos</t>
        </is>
      </c>
      <c r="D474" t="inlineStr">
        <is>
          <t>Miles S/</t>
        </is>
      </c>
      <c r="E474" s="11" t="n">
        <v>323.4639</v>
      </c>
      <c r="F474" s="16" t="n">
        <v>323.46388</v>
      </c>
    </row>
    <row r="475">
      <c r="A475" t="inlineStr">
        <is>
          <t>SAN BORJA</t>
        </is>
      </c>
      <c r="B475" t="inlineStr">
        <is>
          <t>150130</t>
        </is>
      </c>
      <c r="C475" t="inlineStr">
        <is>
          <t>Créditos</t>
        </is>
      </c>
      <c r="D475" t="inlineStr">
        <is>
          <t>Miles S/</t>
        </is>
      </c>
      <c r="E475" s="11" t="n">
        <v>272.4208</v>
      </c>
      <c r="F475" s="16" t="n">
        <v>272.42083</v>
      </c>
    </row>
    <row r="476">
      <c r="A476" t="inlineStr">
        <is>
          <t>JESUS MARIA</t>
        </is>
      </c>
      <c r="B476" t="inlineStr">
        <is>
          <t>150113</t>
        </is>
      </c>
      <c r="C476" t="inlineStr">
        <is>
          <t>Créditos</t>
        </is>
      </c>
      <c r="D476" t="inlineStr">
        <is>
          <t>Miles S/</t>
        </is>
      </c>
      <c r="E476" s="11" t="n">
        <v>212.1692</v>
      </c>
      <c r="F476" s="16" t="n">
        <v>212.16921</v>
      </c>
    </row>
    <row r="477">
      <c r="A477" t="inlineStr">
        <is>
          <t>MAGDALENA VIEJA</t>
        </is>
      </c>
      <c r="B477" t="inlineStr">
        <is>
          <t>150121</t>
        </is>
      </c>
      <c r="C477" t="inlineStr">
        <is>
          <t>Créditos</t>
        </is>
      </c>
      <c r="D477" t="inlineStr">
        <is>
          <t>Miles S/</t>
        </is>
      </c>
      <c r="E477" s="11" t="n">
        <v>204.8443</v>
      </c>
      <c r="F477" s="16" t="n">
        <v>204.84427</v>
      </c>
    </row>
    <row r="478">
      <c r="A478" t="inlineStr">
        <is>
          <t>BELLAVISTA</t>
        </is>
      </c>
      <c r="B478" t="inlineStr">
        <is>
          <t>070102</t>
        </is>
      </c>
      <c r="C478" t="inlineStr">
        <is>
          <t>Créditos</t>
        </is>
      </c>
      <c r="D478" t="inlineStr">
        <is>
          <t>Miles S/</t>
        </is>
      </c>
      <c r="E478" s="11" t="n">
        <v>82.62820000000001</v>
      </c>
      <c r="F478" s="16" t="n">
        <v>82.62822</v>
      </c>
    </row>
    <row r="479">
      <c r="A479" t="inlineStr">
        <is>
          <t>BARRANCO</t>
        </is>
      </c>
      <c r="B479" t="inlineStr">
        <is>
          <t>150104</t>
        </is>
      </c>
      <c r="C479" t="inlineStr">
        <is>
          <t>Créditos</t>
        </is>
      </c>
      <c r="D479" t="inlineStr">
        <is>
          <t>Miles S/</t>
        </is>
      </c>
      <c r="E479" s="11" t="n">
        <v>56.1034</v>
      </c>
      <c r="F479" s="16" t="n">
        <v>56.10337</v>
      </c>
    </row>
    <row r="480">
      <c r="A480" t="inlineStr">
        <is>
          <t>BREÑA</t>
        </is>
      </c>
      <c r="B480" t="inlineStr">
        <is>
          <t>150105</t>
        </is>
      </c>
      <c r="C480" t="inlineStr">
        <is>
          <t>Créditos</t>
        </is>
      </c>
      <c r="D480" t="inlineStr">
        <is>
          <t>Miles S/</t>
        </is>
      </c>
      <c r="E480" s="11" t="n">
        <v>49.084</v>
      </c>
      <c r="F480" s="16" t="n">
        <v>49.08399</v>
      </c>
    </row>
    <row r="481">
      <c r="A481" t="inlineStr">
        <is>
          <t>MARIANO MELGAR</t>
        </is>
      </c>
      <c r="B481" t="inlineStr">
        <is>
          <t>040109</t>
        </is>
      </c>
      <c r="C481" t="inlineStr">
        <is>
          <t>Créditos</t>
        </is>
      </c>
      <c r="D481" t="inlineStr">
        <is>
          <t>Miles S/</t>
        </is>
      </c>
      <c r="E481" s="11" t="n">
        <v>28.7563</v>
      </c>
      <c r="F481" s="16" t="n">
        <v>28.7563</v>
      </c>
    </row>
    <row r="482">
      <c r="A482" t="inlineStr">
        <is>
          <t>CHACLACAYO</t>
        </is>
      </c>
      <c r="B482" t="inlineStr">
        <is>
          <t>150107</t>
        </is>
      </c>
      <c r="C482" t="inlineStr">
        <is>
          <t>Créditos</t>
        </is>
      </c>
      <c r="D482" t="inlineStr">
        <is>
          <t>Miles S/</t>
        </is>
      </c>
      <c r="E482" s="11" t="n">
        <v>15.1003</v>
      </c>
      <c r="F482" s="16" t="n">
        <v>15.10034</v>
      </c>
    </row>
    <row r="483">
      <c r="A483" t="inlineStr">
        <is>
          <t>IMPERIAL</t>
        </is>
      </c>
      <c r="B483" t="inlineStr">
        <is>
          <t>150507</t>
        </is>
      </c>
      <c r="C483" t="inlineStr">
        <is>
          <t>Créditos</t>
        </is>
      </c>
      <c r="D483" t="inlineStr">
        <is>
          <t>Miles S/</t>
        </is>
      </c>
      <c r="E483" s="11" t="n">
        <v>12.7699</v>
      </c>
      <c r="F483" s="16" t="n">
        <v>12.76991</v>
      </c>
    </row>
    <row r="484">
      <c r="A484" t="inlineStr">
        <is>
          <t>YANAHUARA</t>
        </is>
      </c>
      <c r="B484" t="inlineStr">
        <is>
          <t>040126</t>
        </is>
      </c>
      <c r="C484" t="inlineStr">
        <is>
          <t>Créditos</t>
        </is>
      </c>
      <c r="D484" t="inlineStr">
        <is>
          <t>Miles S/</t>
        </is>
      </c>
      <c r="E484" s="11" t="n">
        <v>11.995</v>
      </c>
      <c r="F484" s="16" t="n">
        <v>11.99498</v>
      </c>
    </row>
    <row r="485">
      <c r="A485" t="inlineStr">
        <is>
          <t>RIOJA</t>
        </is>
      </c>
      <c r="B485" t="inlineStr">
        <is>
          <t>220801</t>
        </is>
      </c>
      <c r="C485" t="inlineStr">
        <is>
          <t>Créditos</t>
        </is>
      </c>
      <c r="D485" t="inlineStr">
        <is>
          <t>Miles S/</t>
        </is>
      </c>
      <c r="E485" s="11" t="n">
        <v>8.164300000000001</v>
      </c>
      <c r="F485" s="16" t="n">
        <v>8.16433</v>
      </c>
    </row>
    <row r="486">
      <c r="A486" t="inlineStr">
        <is>
          <t>URUBAMBA</t>
        </is>
      </c>
      <c r="B486" t="inlineStr">
        <is>
          <t>081301</t>
        </is>
      </c>
      <c r="C486" t="inlineStr">
        <is>
          <t>Créditos</t>
        </is>
      </c>
      <c r="D486" t="inlineStr">
        <is>
          <t>Miles S/</t>
        </is>
      </c>
      <c r="E486" s="11" t="n">
        <v>5.2736</v>
      </c>
      <c r="F486" s="16" t="n">
        <v>5.27359</v>
      </c>
    </row>
    <row r="487">
      <c r="A487" t="inlineStr">
        <is>
          <t>YARINACOCHA</t>
        </is>
      </c>
      <c r="B487" t="inlineStr">
        <is>
          <t>250105</t>
        </is>
      </c>
      <c r="C487" t="inlineStr">
        <is>
          <t>Créditos</t>
        </is>
      </c>
      <c r="D487" t="inlineStr">
        <is>
          <t>Miles S/</t>
        </is>
      </c>
      <c r="E487" s="11" t="n">
        <v>5.0002</v>
      </c>
      <c r="F487" s="16" t="n">
        <v>5.0002</v>
      </c>
    </row>
    <row r="488">
      <c r="A488" t="inlineStr">
        <is>
          <t>PACOCHA</t>
        </is>
      </c>
      <c r="B488" t="inlineStr">
        <is>
          <t>180303</t>
        </is>
      </c>
      <c r="C488" t="inlineStr">
        <is>
          <t>Créditos</t>
        </is>
      </c>
      <c r="D488" t="inlineStr">
        <is>
          <t>Miles S/</t>
        </is>
      </c>
      <c r="E488" s="11" t="n">
        <v>3.1153</v>
      </c>
      <c r="F488" s="16" t="n">
        <v>3.11533</v>
      </c>
    </row>
    <row r="489">
      <c r="A489" t="inlineStr">
        <is>
          <t>ASIA</t>
        </is>
      </c>
      <c r="B489" t="inlineStr">
        <is>
          <t>150502</t>
        </is>
      </c>
      <c r="C489" t="inlineStr">
        <is>
          <t>Créditos</t>
        </is>
      </c>
      <c r="D489" t="inlineStr">
        <is>
          <t>Miles S/</t>
        </is>
      </c>
      <c r="E489" s="11" t="n">
        <v>1.2952</v>
      </c>
      <c r="F489" s="16" t="n">
        <v>1.29517</v>
      </c>
    </row>
    <row r="490">
      <c r="A490" t="inlineStr">
        <is>
          <t>MACHUPICCHU</t>
        </is>
      </c>
      <c r="B490" t="inlineStr">
        <is>
          <t>081304</t>
        </is>
      </c>
      <c r="C490" t="inlineStr">
        <is>
          <t>Créditos</t>
        </is>
      </c>
      <c r="D490" t="inlineStr">
        <is>
          <t>Miles S/</t>
        </is>
      </c>
      <c r="E490" s="11" t="n">
        <v>0</v>
      </c>
      <c r="F490" s="16" t="n">
        <v>0</v>
      </c>
    </row>
    <row r="491">
      <c r="A491" t="inlineStr">
        <is>
          <t>CARMEN DE LA LEGUA REYNOSO</t>
        </is>
      </c>
      <c r="B491" t="inlineStr">
        <is>
          <t>070103</t>
        </is>
      </c>
      <c r="C491" t="inlineStr">
        <is>
          <t>Créditos</t>
        </is>
      </c>
      <c r="D491" t="inlineStr">
        <is>
          <t>Miles S/</t>
        </is>
      </c>
      <c r="E491" s="11" t="n">
        <v>0</v>
      </c>
      <c r="F491" s="16" t="n">
        <v>0</v>
      </c>
    </row>
    <row r="492">
      <c r="A492" t="inlineStr">
        <is>
          <t>TORATA</t>
        </is>
      </c>
      <c r="B492" t="inlineStr">
        <is>
          <t>180106</t>
        </is>
      </c>
      <c r="C492" t="inlineStr">
        <is>
          <t>Créditos</t>
        </is>
      </c>
      <c r="D492" t="inlineStr">
        <is>
          <t>Miles S/</t>
        </is>
      </c>
      <c r="E492" s="11" t="n">
        <v>0</v>
      </c>
      <c r="F492" s="16" t="n">
        <v>0</v>
      </c>
    </row>
    <row r="493">
      <c r="A493" t="inlineStr">
        <is>
          <t>SAN JUAN BAUTISTA</t>
        </is>
      </c>
      <c r="B493" t="inlineStr">
        <is>
          <t>160113</t>
        </is>
      </c>
      <c r="C493" t="inlineStr">
        <is>
          <t>Créditos</t>
        </is>
      </c>
      <c r="D493" t="inlineStr">
        <is>
          <t>Miles S/</t>
        </is>
      </c>
      <c r="E493" s="11" t="n">
        <v>0</v>
      </c>
      <c r="F493" s="1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Santander Perú — Créditos colocados por distrito y exposición asignada</t>
        </is>
      </c>
    </row>
    <row r="2">
      <c r="A2" s="2" t="inlineStr">
        <is>
          <t>Créditos colocados total: 5,883,552.44 Miles S/   ·   Exposición en cartera: S/ 51,901,086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 ISIDRO</t>
        </is>
      </c>
      <c r="D5" t="inlineStr">
        <is>
          <t>150131</t>
        </is>
      </c>
      <c r="E5" t="inlineStr">
        <is>
          <t>—</t>
        </is>
      </c>
      <c r="F5" s="11" t="n">
        <v>5883552.4435</v>
      </c>
      <c r="G5" s="6">
        <f>IF($F$6=0,0,F5/$F$6)</f>
        <v/>
      </c>
      <c r="H5" s="5" t="n">
        <v>51901086.23</v>
      </c>
      <c r="I5" t="n">
        <v>1</v>
      </c>
      <c r="J5" t="n">
        <v>4</v>
      </c>
      <c r="L5" s="5" t="n">
        <v>129752715.58</v>
      </c>
    </row>
    <row r="6">
      <c r="A6" s="12" t="inlineStr">
        <is>
          <t>TOTAL</t>
        </is>
      </c>
      <c r="B6" t="inlineStr"/>
      <c r="C6" t="inlineStr"/>
      <c r="D6" t="inlineStr"/>
      <c r="E6" t="inlineStr"/>
      <c r="F6" s="13">
        <f>SUM(F5:F5)</f>
        <v/>
      </c>
      <c r="G6" t="inlineStr"/>
      <c r="H6" s="14">
        <f>SUM(H5:H5)</f>
        <v/>
      </c>
      <c r="I6" t="inlineStr"/>
      <c r="J6" t="inlineStr"/>
      <c r="K6" t="inlineStr"/>
      <c r="L6" s="14">
        <f>SUM(L5:L5)</f>
        <v/>
      </c>
    </row>
    <row r="9">
      <c r="A9" s="15" t="inlineStr">
        <is>
          <t>Detalle por colocaciones (Miles S/)</t>
        </is>
      </c>
    </row>
    <row r="10">
      <c r="A10" s="3" t="inlineStr">
        <is>
          <t>Distrito</t>
        </is>
      </c>
      <c r="B10" s="3" t="inlineStr">
        <is>
          <t>Ubigeo</t>
        </is>
      </c>
      <c r="C10" s="3" t="inlineStr">
        <is>
          <t>Mineral</t>
        </is>
      </c>
      <c r="D10" s="3" t="inlineStr">
        <is>
          <t>Unidad</t>
        </is>
      </c>
      <c r="E10" s="3" t="inlineStr">
        <is>
          <t>Cantidad (orig.)</t>
        </is>
      </c>
      <c r="F10" s="3" t="inlineStr">
        <is>
          <t>TMF equiv.</t>
        </is>
      </c>
    </row>
    <row r="11">
      <c r="A11" t="inlineStr">
        <is>
          <t>SAN ISIDRO</t>
        </is>
      </c>
      <c r="B11" t="inlineStr">
        <is>
          <t>150131</t>
        </is>
      </c>
      <c r="C11" t="inlineStr">
        <is>
          <t>Créditos</t>
        </is>
      </c>
      <c r="D11" t="inlineStr">
        <is>
          <t>Miles S/</t>
        </is>
      </c>
      <c r="E11" s="11" t="n">
        <v>5883552.4435</v>
      </c>
      <c r="F11" s="16" t="n">
        <v>5883552.44346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9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Banbif — Créditos colocados por distrito y exposición asignada</t>
        </is>
      </c>
    </row>
    <row r="2">
      <c r="A2" s="2" t="inlineStr">
        <is>
          <t>Créditos colocados total: 14,597,495.57 Miles S/   ·   Exposición en cartera: S/ 118,585,600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 ISIDRO</t>
        </is>
      </c>
      <c r="D5" t="inlineStr">
        <is>
          <t>150131</t>
        </is>
      </c>
      <c r="E5" t="inlineStr">
        <is>
          <t>—</t>
        </is>
      </c>
      <c r="F5" s="11" t="n">
        <v>13263686.2017</v>
      </c>
      <c r="G5" s="6">
        <f>IF($F$46=0,0,F5/$F$46)</f>
        <v/>
      </c>
      <c r="H5" s="5" t="n">
        <v>107750139.56</v>
      </c>
      <c r="I5" t="n">
        <v>1</v>
      </c>
      <c r="J5" t="n">
        <v>4</v>
      </c>
      <c r="L5" s="5" t="n">
        <v>269375348.9</v>
      </c>
    </row>
    <row r="6">
      <c r="A6" t="inlineStr">
        <is>
          <t>LIMA</t>
        </is>
      </c>
      <c r="B6" t="inlineStr">
        <is>
          <t>LIMA</t>
        </is>
      </c>
      <c r="C6" t="inlineStr">
        <is>
          <t>LINCE</t>
        </is>
      </c>
      <c r="D6" t="inlineStr">
        <is>
          <t>150116</t>
        </is>
      </c>
      <c r="E6" t="inlineStr">
        <is>
          <t>—</t>
        </is>
      </c>
      <c r="F6" s="11" t="n">
        <v>401146.2063</v>
      </c>
      <c r="G6" s="6">
        <f>IF($F$46=0,0,F6/$F$46)</f>
        <v/>
      </c>
      <c r="H6" s="5" t="n">
        <v>3258789.38</v>
      </c>
      <c r="I6" t="n">
        <v>1</v>
      </c>
      <c r="J6" t="n">
        <v>4</v>
      </c>
      <c r="L6" s="5" t="n">
        <v>8146973.45</v>
      </c>
    </row>
    <row r="7">
      <c r="A7" t="inlineStr">
        <is>
          <t>LAMBAYEQUE</t>
        </is>
      </c>
      <c r="B7" t="inlineStr">
        <is>
          <t>CHICLAYO</t>
        </is>
      </c>
      <c r="C7" t="inlineStr">
        <is>
          <t>CHICLAYO</t>
        </is>
      </c>
      <c r="D7" t="inlineStr">
        <is>
          <t>140101</t>
        </is>
      </c>
      <c r="E7" t="inlineStr">
        <is>
          <t>—</t>
        </is>
      </c>
      <c r="F7" s="11" t="n">
        <v>85233.96369999999</v>
      </c>
      <c r="G7" s="6">
        <f>IF($F$46=0,0,F7/$F$46)</f>
        <v/>
      </c>
      <c r="H7" s="5" t="n">
        <v>692414.71</v>
      </c>
      <c r="I7" t="n">
        <v>1</v>
      </c>
      <c r="J7" t="n">
        <v>4</v>
      </c>
      <c r="L7" s="5" t="n">
        <v>1731036.79</v>
      </c>
    </row>
    <row r="8">
      <c r="A8" t="inlineStr">
        <is>
          <t>CAJAMARCA</t>
        </is>
      </c>
      <c r="B8" t="inlineStr">
        <is>
          <t>CAJAMARCA</t>
        </is>
      </c>
      <c r="C8" t="inlineStr">
        <is>
          <t>CAJAMARCA</t>
        </is>
      </c>
      <c r="D8" t="inlineStr">
        <is>
          <t>060101</t>
        </is>
      </c>
      <c r="E8" t="inlineStr">
        <is>
          <t>—</t>
        </is>
      </c>
      <c r="F8" s="11" t="n">
        <v>79030.06140000001</v>
      </c>
      <c r="G8" s="6">
        <f>IF($F$46=0,0,F8/$F$46)</f>
        <v/>
      </c>
      <c r="H8" s="5" t="n">
        <v>642016.1</v>
      </c>
      <c r="I8" t="n">
        <v>4</v>
      </c>
      <c r="J8" t="n">
        <v>4</v>
      </c>
      <c r="K8" t="n">
        <v>3</v>
      </c>
      <c r="L8" s="5" t="n">
        <v>2354059.05</v>
      </c>
    </row>
    <row r="9">
      <c r="A9" t="inlineStr">
        <is>
          <t>LIMA</t>
        </is>
      </c>
      <c r="B9" t="inlineStr">
        <is>
          <t>LIMA</t>
        </is>
      </c>
      <c r="C9" t="inlineStr">
        <is>
          <t>BARRANCO</t>
        </is>
      </c>
      <c r="D9" t="inlineStr">
        <is>
          <t>150104</t>
        </is>
      </c>
      <c r="E9" t="inlineStr">
        <is>
          <t>—</t>
        </is>
      </c>
      <c r="F9" s="11" t="n">
        <v>76779.1216</v>
      </c>
      <c r="G9" s="6">
        <f>IF($F$46=0,0,F9/$F$46)</f>
        <v/>
      </c>
      <c r="H9" s="5" t="n">
        <v>623730.16</v>
      </c>
      <c r="I9" t="n">
        <v>1</v>
      </c>
      <c r="J9" t="n">
        <v>4</v>
      </c>
      <c r="L9" s="5" t="n">
        <v>1559325.39</v>
      </c>
    </row>
    <row r="10">
      <c r="A10" t="inlineStr">
        <is>
          <t>PIURA</t>
        </is>
      </c>
      <c r="B10" t="inlineStr">
        <is>
          <t>PIURA</t>
        </is>
      </c>
      <c r="C10" t="inlineStr">
        <is>
          <t>PIURA</t>
        </is>
      </c>
      <c r="D10" t="inlineStr">
        <is>
          <t>200101</t>
        </is>
      </c>
      <c r="E10" t="inlineStr">
        <is>
          <t>—</t>
        </is>
      </c>
      <c r="F10" s="11" t="n">
        <v>71830.7513</v>
      </c>
      <c r="G10" s="6">
        <f>IF($F$46=0,0,F10/$F$46)</f>
        <v/>
      </c>
      <c r="H10" s="5" t="n">
        <v>583531.11</v>
      </c>
      <c r="I10" t="n">
        <v>1</v>
      </c>
      <c r="J10" t="n">
        <v>5</v>
      </c>
      <c r="L10" s="5" t="n">
        <v>1750593.32</v>
      </c>
    </row>
    <row r="11">
      <c r="A11" t="inlineStr">
        <is>
          <t>LIMA</t>
        </is>
      </c>
      <c r="B11" t="inlineStr">
        <is>
          <t>LIMA</t>
        </is>
      </c>
      <c r="C11" t="inlineStr">
        <is>
          <t>SANTA ANITA</t>
        </is>
      </c>
      <c r="D11" t="inlineStr">
        <is>
          <t>150137</t>
        </is>
      </c>
      <c r="E11" t="inlineStr">
        <is>
          <t>—</t>
        </is>
      </c>
      <c r="F11" s="11" t="n">
        <v>63221.0295</v>
      </c>
      <c r="G11" s="6">
        <f>IF($F$46=0,0,F11/$F$46)</f>
        <v/>
      </c>
      <c r="H11" s="5" t="n">
        <v>513588.35</v>
      </c>
      <c r="I11" t="n">
        <v>2</v>
      </c>
      <c r="J11" t="n">
        <v>4</v>
      </c>
      <c r="L11" s="5" t="n">
        <v>1540765.06</v>
      </c>
    </row>
    <row r="12">
      <c r="A12" t="inlineStr">
        <is>
          <t>LA LIBERTAD</t>
        </is>
      </c>
      <c r="B12" t="inlineStr">
        <is>
          <t>TRUJILLO</t>
        </is>
      </c>
      <c r="C12" t="inlineStr">
        <is>
          <t>TRUJILLO</t>
        </is>
      </c>
      <c r="D12" t="inlineStr">
        <is>
          <t>130101</t>
        </is>
      </c>
      <c r="E12" t="inlineStr">
        <is>
          <t>—</t>
        </is>
      </c>
      <c r="F12" s="11" t="n">
        <v>62562.0269</v>
      </c>
      <c r="G12" s="6">
        <f>IF($F$46=0,0,F12/$F$46)</f>
        <v/>
      </c>
      <c r="H12" s="5" t="n">
        <v>508234.82</v>
      </c>
      <c r="I12" t="n">
        <v>1</v>
      </c>
      <c r="J12" t="n">
        <v>5</v>
      </c>
      <c r="L12" s="5" t="n">
        <v>1524704.45</v>
      </c>
    </row>
    <row r="13">
      <c r="A13" t="inlineStr">
        <is>
          <t>CALLAO</t>
        </is>
      </c>
      <c r="B13" t="inlineStr">
        <is>
          <t>CALLAO</t>
        </is>
      </c>
      <c r="C13" t="inlineStr">
        <is>
          <t>CARMEN DE LA LEGUA REYNOSO</t>
        </is>
      </c>
      <c r="D13" t="inlineStr">
        <is>
          <t>070103</t>
        </is>
      </c>
      <c r="E13" t="inlineStr">
        <is>
          <t>—</t>
        </is>
      </c>
      <c r="F13" s="11" t="n">
        <v>55627.394</v>
      </c>
      <c r="G13" s="6">
        <f>IF($F$46=0,0,F13/$F$46)</f>
        <v/>
      </c>
      <c r="H13" s="5" t="n">
        <v>451899.98</v>
      </c>
      <c r="I13" t="n">
        <v>1</v>
      </c>
      <c r="J13" t="n">
        <v>4</v>
      </c>
      <c r="L13" s="5" t="n">
        <v>1129749.94</v>
      </c>
    </row>
    <row r="14">
      <c r="A14" t="inlineStr">
        <is>
          <t>LIMA</t>
        </is>
      </c>
      <c r="B14" t="inlineStr">
        <is>
          <t>LIMA</t>
        </is>
      </c>
      <c r="C14" t="inlineStr">
        <is>
          <t>LIMA</t>
        </is>
      </c>
      <c r="D14" t="inlineStr">
        <is>
          <t>150101</t>
        </is>
      </c>
      <c r="E14" t="inlineStr">
        <is>
          <t>—</t>
        </is>
      </c>
      <c r="F14" s="11" t="n">
        <v>54711.2863</v>
      </c>
      <c r="G14" s="6">
        <f>IF($F$46=0,0,F14/$F$46)</f>
        <v/>
      </c>
      <c r="H14" s="5" t="n">
        <v>444457.8</v>
      </c>
      <c r="I14" t="n">
        <v>2</v>
      </c>
      <c r="J14" t="n">
        <v>4</v>
      </c>
      <c r="L14" s="5" t="n">
        <v>1333373.39</v>
      </c>
    </row>
    <row r="15">
      <c r="A15" t="inlineStr">
        <is>
          <t>LIMA</t>
        </is>
      </c>
      <c r="B15" t="inlineStr">
        <is>
          <t>LIMA</t>
        </is>
      </c>
      <c r="C15" t="inlineStr">
        <is>
          <t>LOS OLIVOS</t>
        </is>
      </c>
      <c r="D15" t="inlineStr">
        <is>
          <t>150117</t>
        </is>
      </c>
      <c r="E15" t="inlineStr">
        <is>
          <t>—</t>
        </is>
      </c>
      <c r="F15" s="11" t="n">
        <v>45464.7155</v>
      </c>
      <c r="G15" s="6">
        <f>IF($F$46=0,0,F15/$F$46)</f>
        <v/>
      </c>
      <c r="H15" s="5" t="n">
        <v>369341.48</v>
      </c>
      <c r="I15" t="n">
        <v>1</v>
      </c>
      <c r="J15" t="n">
        <v>4</v>
      </c>
      <c r="L15" s="5" t="n">
        <v>923353.6899999999</v>
      </c>
    </row>
    <row r="16">
      <c r="A16" t="inlineStr">
        <is>
          <t>PIURA</t>
        </is>
      </c>
      <c r="B16" t="inlineStr">
        <is>
          <t>SULLANA</t>
        </is>
      </c>
      <c r="C16" t="inlineStr">
        <is>
          <t>SULLANA</t>
        </is>
      </c>
      <c r="D16" t="inlineStr">
        <is>
          <t>200601</t>
        </is>
      </c>
      <c r="E16" t="inlineStr">
        <is>
          <t>—</t>
        </is>
      </c>
      <c r="F16" s="11" t="n">
        <v>37247.5816</v>
      </c>
      <c r="G16" s="6">
        <f>IF($F$46=0,0,F16/$F$46)</f>
        <v/>
      </c>
      <c r="H16" s="5" t="n">
        <v>302587.99</v>
      </c>
      <c r="I16" t="n">
        <v>2</v>
      </c>
      <c r="J16" t="n">
        <v>5</v>
      </c>
      <c r="K16" t="n">
        <v>2</v>
      </c>
      <c r="L16" s="5" t="n">
        <v>907763.96</v>
      </c>
    </row>
    <row r="17">
      <c r="A17" t="inlineStr">
        <is>
          <t>LIMA</t>
        </is>
      </c>
      <c r="B17" t="inlineStr">
        <is>
          <t>LIMA</t>
        </is>
      </c>
      <c r="C17" t="inlineStr">
        <is>
          <t>SAN MARTIN DE PORRES</t>
        </is>
      </c>
      <c r="D17" t="inlineStr">
        <is>
          <t>150135</t>
        </is>
      </c>
      <c r="E17" t="inlineStr">
        <is>
          <t>—</t>
        </is>
      </c>
      <c r="F17" s="11" t="n">
        <v>22558.9516</v>
      </c>
      <c r="G17" s="6">
        <f>IF($F$46=0,0,F17/$F$46)</f>
        <v/>
      </c>
      <c r="H17" s="5" t="n">
        <v>183262.04</v>
      </c>
      <c r="I17" t="n">
        <v>2</v>
      </c>
      <c r="J17" t="n">
        <v>5</v>
      </c>
      <c r="L17" s="5" t="n">
        <v>641417.14</v>
      </c>
    </row>
    <row r="18">
      <c r="A18" t="inlineStr">
        <is>
          <t>LIMA</t>
        </is>
      </c>
      <c r="B18" t="inlineStr">
        <is>
          <t>LIMA</t>
        </is>
      </c>
      <c r="C18" t="inlineStr">
        <is>
          <t>SANTIAGO DE SURCO</t>
        </is>
      </c>
      <c r="D18" t="inlineStr">
        <is>
          <t>150140</t>
        </is>
      </c>
      <c r="E18" t="inlineStr">
        <is>
          <t>—</t>
        </is>
      </c>
      <c r="F18" s="11" t="n">
        <v>20366.5144</v>
      </c>
      <c r="G18" s="6">
        <f>IF($F$46=0,0,F18/$F$46)</f>
        <v/>
      </c>
      <c r="H18" s="5" t="n">
        <v>165451.35</v>
      </c>
      <c r="I18" t="n">
        <v>1</v>
      </c>
      <c r="J18" t="n">
        <v>3</v>
      </c>
      <c r="L18" s="5" t="n">
        <v>330902.7</v>
      </c>
    </row>
    <row r="19">
      <c r="A19" t="inlineStr">
        <is>
          <t>LIMA</t>
        </is>
      </c>
      <c r="B19" t="inlineStr">
        <is>
          <t>LIMA</t>
        </is>
      </c>
      <c r="C19" t="inlineStr">
        <is>
          <t>JESUS MARIA</t>
        </is>
      </c>
      <c r="D19" t="inlineStr">
        <is>
          <t>150113</t>
        </is>
      </c>
      <c r="E19" t="inlineStr">
        <is>
          <t>—</t>
        </is>
      </c>
      <c r="F19" s="11" t="n">
        <v>18338.822</v>
      </c>
      <c r="G19" s="6">
        <f>IF($F$46=0,0,F19/$F$46)</f>
        <v/>
      </c>
      <c r="H19" s="5" t="n">
        <v>148978.99</v>
      </c>
      <c r="I19" t="n">
        <v>1</v>
      </c>
      <c r="J19" t="n">
        <v>4</v>
      </c>
      <c r="L19" s="5" t="n">
        <v>372447.49</v>
      </c>
    </row>
    <row r="20">
      <c r="A20" t="inlineStr">
        <is>
          <t>UCAYALI</t>
        </is>
      </c>
      <c r="B20" t="inlineStr">
        <is>
          <t>CORONEL PORTILLO</t>
        </is>
      </c>
      <c r="C20" t="inlineStr">
        <is>
          <t>CALLERIA</t>
        </is>
      </c>
      <c r="D20" t="inlineStr">
        <is>
          <t>250101</t>
        </is>
      </c>
      <c r="E20" t="inlineStr">
        <is>
          <t>—</t>
        </is>
      </c>
      <c r="F20" s="11" t="n">
        <v>17267.2694</v>
      </c>
      <c r="G20" s="6">
        <f>IF($F$46=0,0,F20/$F$46)</f>
        <v/>
      </c>
      <c r="H20" s="5" t="n">
        <v>140274.03</v>
      </c>
      <c r="I20" t="n">
        <v>4</v>
      </c>
      <c r="J20" t="n">
        <v>4</v>
      </c>
      <c r="K20" t="n">
        <v>2</v>
      </c>
      <c r="L20" s="5" t="n">
        <v>467580.09</v>
      </c>
    </row>
    <row r="21">
      <c r="A21" t="inlineStr">
        <is>
          <t>AREQUIPA</t>
        </is>
      </c>
      <c r="B21" t="inlineStr">
        <is>
          <t>AREQUIPA</t>
        </is>
      </c>
      <c r="C21" t="inlineStr">
        <is>
          <t>CAYMA</t>
        </is>
      </c>
      <c r="D21" t="inlineStr">
        <is>
          <t>040103</t>
        </is>
      </c>
      <c r="E21" t="inlineStr">
        <is>
          <t>—</t>
        </is>
      </c>
      <c r="F21" s="11" t="n">
        <v>17175.377</v>
      </c>
      <c r="G21" s="6">
        <f>IF($F$46=0,0,F21/$F$46)</f>
        <v/>
      </c>
      <c r="H21" s="5" t="n">
        <v>139527.52</v>
      </c>
      <c r="I21" t="n">
        <v>4</v>
      </c>
      <c r="J21" t="n">
        <v>3</v>
      </c>
      <c r="K21" t="n">
        <v>4</v>
      </c>
      <c r="L21" s="5" t="n">
        <v>511600.92</v>
      </c>
    </row>
    <row r="22">
      <c r="A22" t="inlineStr">
        <is>
          <t>CUSCO</t>
        </is>
      </c>
      <c r="B22" t="inlineStr">
        <is>
          <t>CUSCO</t>
        </is>
      </c>
      <c r="C22" t="inlineStr">
        <is>
          <t>WANCHAQ</t>
        </is>
      </c>
      <c r="D22" t="inlineStr">
        <is>
          <t>080108</t>
        </is>
      </c>
      <c r="E22" t="inlineStr">
        <is>
          <t>—</t>
        </is>
      </c>
      <c r="F22" s="11" t="n">
        <v>16975.6065</v>
      </c>
      <c r="G22" s="6">
        <f>IF($F$46=0,0,F22/$F$46)</f>
        <v/>
      </c>
      <c r="H22" s="5" t="n">
        <v>137904.65</v>
      </c>
      <c r="I22" t="n">
        <v>3</v>
      </c>
      <c r="J22" t="n">
        <v>4</v>
      </c>
      <c r="K22" t="n">
        <v>4</v>
      </c>
      <c r="L22" s="5" t="n">
        <v>505650.37</v>
      </c>
    </row>
    <row r="23">
      <c r="A23" t="inlineStr">
        <is>
          <t>LIMA</t>
        </is>
      </c>
      <c r="B23" t="inlineStr">
        <is>
          <t>LIMA</t>
        </is>
      </c>
      <c r="C23" t="inlineStr">
        <is>
          <t>MIRAFLORES</t>
        </is>
      </c>
      <c r="D23" t="inlineStr">
        <is>
          <t>150122</t>
        </is>
      </c>
      <c r="E23" t="inlineStr">
        <is>
          <t>—</t>
        </is>
      </c>
      <c r="F23" s="11" t="n">
        <v>15725.2674</v>
      </c>
      <c r="G23" s="6">
        <f>IF($F$46=0,0,F23/$F$46)</f>
        <v/>
      </c>
      <c r="H23" s="5" t="n">
        <v>127747.27</v>
      </c>
      <c r="I23" t="n">
        <v>2</v>
      </c>
      <c r="J23" t="n">
        <v>4</v>
      </c>
      <c r="L23" s="5" t="n">
        <v>383241.82</v>
      </c>
    </row>
    <row r="24">
      <c r="A24" t="inlineStr">
        <is>
          <t>LIMA</t>
        </is>
      </c>
      <c r="B24" t="inlineStr">
        <is>
          <t>LIMA</t>
        </is>
      </c>
      <c r="C24" t="inlineStr">
        <is>
          <t>SAN MIGUEL</t>
        </is>
      </c>
      <c r="D24" t="inlineStr">
        <is>
          <t>150136</t>
        </is>
      </c>
      <c r="E24" t="inlineStr">
        <is>
          <t>—</t>
        </is>
      </c>
      <c r="F24" s="11" t="n">
        <v>15194.5655</v>
      </c>
      <c r="G24" s="6">
        <f>IF($F$46=0,0,F24/$F$46)</f>
        <v/>
      </c>
      <c r="H24" s="5" t="n">
        <v>123436.01</v>
      </c>
      <c r="I24" t="n">
        <v>1</v>
      </c>
      <c r="J24" t="n">
        <v>4</v>
      </c>
      <c r="L24" s="5" t="n">
        <v>308590.03</v>
      </c>
    </row>
    <row r="25">
      <c r="A25" t="inlineStr">
        <is>
          <t>LORETO</t>
        </is>
      </c>
      <c r="B25" t="inlineStr">
        <is>
          <t>MAYNAS</t>
        </is>
      </c>
      <c r="C25" t="inlineStr">
        <is>
          <t>IQUITOS</t>
        </is>
      </c>
      <c r="D25" t="inlineStr">
        <is>
          <t>160101</t>
        </is>
      </c>
      <c r="E25" t="inlineStr">
        <is>
          <t>—</t>
        </is>
      </c>
      <c r="F25" s="11" t="n">
        <v>14106.8059</v>
      </c>
      <c r="G25" s="6">
        <f>IF($F$46=0,0,F25/$F$46)</f>
        <v/>
      </c>
      <c r="H25" s="5" t="n">
        <v>114599.39</v>
      </c>
      <c r="I25" t="n">
        <v>3</v>
      </c>
      <c r="J25" t="n">
        <v>4</v>
      </c>
      <c r="K25" t="n">
        <v>2</v>
      </c>
      <c r="L25" s="5" t="n">
        <v>343798.16</v>
      </c>
    </row>
    <row r="26">
      <c r="A26" t="inlineStr">
        <is>
          <t>LIMA</t>
        </is>
      </c>
      <c r="B26" t="inlineStr">
        <is>
          <t>LIMA</t>
        </is>
      </c>
      <c r="C26" t="inlineStr">
        <is>
          <t>INDEPENDENCIA</t>
        </is>
      </c>
      <c r="D26" t="inlineStr">
        <is>
          <t>150112</t>
        </is>
      </c>
      <c r="E26" t="inlineStr">
        <is>
          <t>—</t>
        </is>
      </c>
      <c r="F26" s="11" t="n">
        <v>13855.2309</v>
      </c>
      <c r="G26" s="6">
        <f>IF($F$46=0,0,F26/$F$46)</f>
        <v/>
      </c>
      <c r="H26" s="5" t="n">
        <v>112555.67</v>
      </c>
      <c r="I26" t="n">
        <v>5</v>
      </c>
      <c r="J26" t="n">
        <v>2</v>
      </c>
      <c r="L26" s="5" t="n">
        <v>393944.84</v>
      </c>
    </row>
    <row r="27">
      <c r="A27" t="inlineStr">
        <is>
          <t>PIURA</t>
        </is>
      </c>
      <c r="B27" t="inlineStr">
        <is>
          <t>PIURA</t>
        </is>
      </c>
      <c r="C27" t="inlineStr">
        <is>
          <t>CASTILLA</t>
        </is>
      </c>
      <c r="D27" t="inlineStr">
        <is>
          <t>200104</t>
        </is>
      </c>
      <c r="E27" t="inlineStr">
        <is>
          <t>—</t>
        </is>
      </c>
      <c r="F27" s="11" t="n">
        <v>12731.0008</v>
      </c>
      <c r="G27" s="6">
        <f>IF($F$46=0,0,F27/$F$46)</f>
        <v/>
      </c>
      <c r="H27" s="5" t="n">
        <v>103422.77</v>
      </c>
      <c r="I27" t="n">
        <v>2</v>
      </c>
      <c r="J27" t="n">
        <v>5</v>
      </c>
      <c r="L27" s="5" t="n">
        <v>361979.68</v>
      </c>
    </row>
    <row r="28">
      <c r="A28" t="inlineStr">
        <is>
          <t>ANCASH</t>
        </is>
      </c>
      <c r="B28" t="inlineStr">
        <is>
          <t>SANTA</t>
        </is>
      </c>
      <c r="C28" t="inlineStr">
        <is>
          <t>CHIMBOTE</t>
        </is>
      </c>
      <c r="D28" t="inlineStr">
        <is>
          <t>021801</t>
        </is>
      </c>
      <c r="E28" t="inlineStr">
        <is>
          <t>—</t>
        </is>
      </c>
      <c r="F28" s="11" t="n">
        <v>12510.727</v>
      </c>
      <c r="G28" s="6">
        <f>IF($F$46=0,0,F28/$F$46)</f>
        <v/>
      </c>
      <c r="H28" s="5" t="n">
        <v>101633.33</v>
      </c>
      <c r="I28" t="n">
        <v>5</v>
      </c>
      <c r="J28" t="n">
        <v>4</v>
      </c>
      <c r="K28" t="n">
        <v>3</v>
      </c>
      <c r="L28" s="5" t="n">
        <v>406533.31</v>
      </c>
    </row>
    <row r="29">
      <c r="A29" t="inlineStr">
        <is>
          <t>CALLAO</t>
        </is>
      </c>
      <c r="B29" t="inlineStr">
        <is>
          <t>CALLAO</t>
        </is>
      </c>
      <c r="C29" t="inlineStr">
        <is>
          <t>CALLAO</t>
        </is>
      </c>
      <c r="D29" t="inlineStr">
        <is>
          <t>070101</t>
        </is>
      </c>
      <c r="E29" t="inlineStr">
        <is>
          <t>—</t>
        </is>
      </c>
      <c r="F29" s="11" t="n">
        <v>11875.7131</v>
      </c>
      <c r="G29" s="6">
        <f>IF($F$46=0,0,F29/$F$46)</f>
        <v/>
      </c>
      <c r="H29" s="5" t="n">
        <v>96474.67</v>
      </c>
      <c r="I29" t="n">
        <v>1</v>
      </c>
      <c r="J29" t="n">
        <v>5</v>
      </c>
      <c r="L29" s="5" t="n">
        <v>289424.01</v>
      </c>
    </row>
    <row r="30">
      <c r="A30" t="inlineStr">
        <is>
          <t>JUNIN</t>
        </is>
      </c>
      <c r="B30" t="inlineStr">
        <is>
          <t>HUANCAYO</t>
        </is>
      </c>
      <c r="C30" t="inlineStr">
        <is>
          <t>HUANCAYO</t>
        </is>
      </c>
      <c r="D30" t="inlineStr">
        <is>
          <t>120101</t>
        </is>
      </c>
      <c r="E30" t="inlineStr">
        <is>
          <t>—</t>
        </is>
      </c>
      <c r="F30" s="11" t="n">
        <v>11309.1012</v>
      </c>
      <c r="G30" s="6">
        <f>IF($F$46=0,0,F30/$F$46)</f>
        <v/>
      </c>
      <c r="H30" s="5" t="n">
        <v>91871.69</v>
      </c>
      <c r="I30" t="n">
        <v>4</v>
      </c>
      <c r="J30" t="n">
        <v>2</v>
      </c>
      <c r="K30" t="n">
        <v>3</v>
      </c>
      <c r="L30" s="5" t="n">
        <v>275615.06</v>
      </c>
    </row>
    <row r="31">
      <c r="A31" t="inlineStr">
        <is>
          <t>LIMA</t>
        </is>
      </c>
      <c r="B31" t="inlineStr">
        <is>
          <t>LIMA</t>
        </is>
      </c>
      <c r="C31" t="inlineStr">
        <is>
          <t>CHORRILLOS</t>
        </is>
      </c>
      <c r="D31" t="inlineStr">
        <is>
          <t>150108</t>
        </is>
      </c>
      <c r="E31" t="inlineStr">
        <is>
          <t>—</t>
        </is>
      </c>
      <c r="F31" s="11" t="n">
        <v>11217.1951</v>
      </c>
      <c r="G31" s="6">
        <f>IF($F$46=0,0,F31/$F$46)</f>
        <v/>
      </c>
      <c r="H31" s="5" t="n">
        <v>91125.07000000001</v>
      </c>
      <c r="I31" t="n">
        <v>2</v>
      </c>
      <c r="J31" t="n">
        <v>4</v>
      </c>
      <c r="L31" s="5" t="n">
        <v>273375.21</v>
      </c>
    </row>
    <row r="32">
      <c r="A32" t="inlineStr">
        <is>
          <t>SAN MARTIN</t>
        </is>
      </c>
      <c r="B32" t="inlineStr">
        <is>
          <t>SAN MARTIN</t>
        </is>
      </c>
      <c r="C32" t="inlineStr">
        <is>
          <t>TARAPOTO</t>
        </is>
      </c>
      <c r="D32" t="inlineStr">
        <is>
          <t>220901</t>
        </is>
      </c>
      <c r="E32" t="inlineStr">
        <is>
          <t>—</t>
        </is>
      </c>
      <c r="F32" s="11" t="n">
        <v>10888.2798</v>
      </c>
      <c r="G32" s="6">
        <f>IF($F$46=0,0,F32/$F$46)</f>
        <v/>
      </c>
      <c r="H32" s="5" t="n">
        <v>88453.06</v>
      </c>
      <c r="I32" t="n">
        <v>4</v>
      </c>
      <c r="J32" t="n">
        <v>4</v>
      </c>
      <c r="K32" t="n">
        <v>2</v>
      </c>
      <c r="L32" s="5" t="n">
        <v>294843.54</v>
      </c>
    </row>
    <row r="33">
      <c r="A33" t="inlineStr">
        <is>
          <t>ICA</t>
        </is>
      </c>
      <c r="B33" t="inlineStr">
        <is>
          <t>ICA</t>
        </is>
      </c>
      <c r="C33" t="inlineStr">
        <is>
          <t>ICA</t>
        </is>
      </c>
      <c r="D33" t="inlineStr">
        <is>
          <t>110101</t>
        </is>
      </c>
      <c r="E33" t="inlineStr">
        <is>
          <t>—</t>
        </is>
      </c>
      <c r="F33" s="11" t="n">
        <v>9518.3105</v>
      </c>
      <c r="G33" s="6">
        <f>IF($F$46=0,0,F33/$F$46)</f>
        <v/>
      </c>
      <c r="H33" s="5" t="n">
        <v>77323.85000000001</v>
      </c>
      <c r="I33" t="n">
        <v>1</v>
      </c>
      <c r="J33" t="n">
        <v>5</v>
      </c>
      <c r="L33" s="5" t="n">
        <v>231971.55</v>
      </c>
    </row>
    <row r="34">
      <c r="A34" t="inlineStr">
        <is>
          <t>AREQUIPA</t>
        </is>
      </c>
      <c r="B34" t="inlineStr">
        <is>
          <t>AREQUIPA</t>
        </is>
      </c>
      <c r="C34" t="inlineStr">
        <is>
          <t>AREQUIPA</t>
        </is>
      </c>
      <c r="D34" t="inlineStr">
        <is>
          <t>040101</t>
        </is>
      </c>
      <c r="E34" t="inlineStr">
        <is>
          <t>—</t>
        </is>
      </c>
      <c r="F34" s="11" t="n">
        <v>8572.647800000001</v>
      </c>
      <c r="G34" s="6">
        <f>IF($F$46=0,0,F34/$F$46)</f>
        <v/>
      </c>
      <c r="H34" s="5" t="n">
        <v>69641.57000000001</v>
      </c>
      <c r="I34" t="n">
        <v>2</v>
      </c>
      <c r="J34" t="n">
        <v>5</v>
      </c>
      <c r="L34" s="5" t="n">
        <v>243745.51</v>
      </c>
    </row>
    <row r="35">
      <c r="A35" t="inlineStr">
        <is>
          <t>LIMA</t>
        </is>
      </c>
      <c r="B35" t="inlineStr">
        <is>
          <t>LIMA</t>
        </is>
      </c>
      <c r="C35" t="inlineStr">
        <is>
          <t>LA MOLINA</t>
        </is>
      </c>
      <c r="D35" t="inlineStr">
        <is>
          <t>150114</t>
        </is>
      </c>
      <c r="E35" t="inlineStr">
        <is>
          <t>—</t>
        </is>
      </c>
      <c r="F35" s="11" t="n">
        <v>7053.3094</v>
      </c>
      <c r="G35" s="6">
        <f>IF($F$46=0,0,F35/$F$46)</f>
        <v/>
      </c>
      <c r="H35" s="5" t="n">
        <v>57298.93</v>
      </c>
      <c r="I35" t="n">
        <v>4</v>
      </c>
      <c r="J35" t="n">
        <v>3</v>
      </c>
      <c r="L35" s="5" t="n">
        <v>200546.27</v>
      </c>
    </row>
    <row r="36">
      <c r="A36" t="inlineStr">
        <is>
          <t>LIMA</t>
        </is>
      </c>
      <c r="B36" t="inlineStr">
        <is>
          <t>LIMA</t>
        </is>
      </c>
      <c r="C36" t="inlineStr">
        <is>
          <t>SAN JUAN DE LURIGANCHO</t>
        </is>
      </c>
      <c r="D36" t="inlineStr">
        <is>
          <t>150132</t>
        </is>
      </c>
      <c r="E36" t="inlineStr">
        <is>
          <t>—</t>
        </is>
      </c>
      <c r="F36" s="11" t="n">
        <v>6242.9083</v>
      </c>
      <c r="G36" s="6">
        <f>IF($F$46=0,0,F36/$F$46)</f>
        <v/>
      </c>
      <c r="H36" s="5" t="n">
        <v>50715.48</v>
      </c>
      <c r="I36" t="n">
        <v>5</v>
      </c>
      <c r="J36" t="n">
        <v>2</v>
      </c>
      <c r="L36" s="5" t="n">
        <v>177504.19</v>
      </c>
    </row>
    <row r="37">
      <c r="A37" t="inlineStr">
        <is>
          <t>LIMA</t>
        </is>
      </c>
      <c r="B37" t="inlineStr">
        <is>
          <t>LIMA</t>
        </is>
      </c>
      <c r="C37" t="inlineStr">
        <is>
          <t>MAGDALENA VIEJA</t>
        </is>
      </c>
      <c r="D37" t="inlineStr">
        <is>
          <t>150121</t>
        </is>
      </c>
      <c r="E37" t="inlineStr">
        <is>
          <t>—</t>
        </is>
      </c>
      <c r="F37" s="11" t="n">
        <v>5925.4084</v>
      </c>
      <c r="G37" s="6">
        <f>IF($F$46=0,0,F37/$F$46)</f>
        <v/>
      </c>
      <c r="H37" s="5" t="n">
        <v>48136.21</v>
      </c>
      <c r="I37" t="n">
        <v>1</v>
      </c>
      <c r="J37" t="n">
        <v>4</v>
      </c>
      <c r="L37" s="5" t="n">
        <v>120340.52</v>
      </c>
    </row>
    <row r="38">
      <c r="A38" t="inlineStr">
        <is>
          <t>ICA</t>
        </is>
      </c>
      <c r="B38" t="inlineStr">
        <is>
          <t>CHINCHA</t>
        </is>
      </c>
      <c r="C38" t="inlineStr">
        <is>
          <t>CHINCHA ALTA</t>
        </is>
      </c>
      <c r="D38" t="inlineStr">
        <is>
          <t>110201</t>
        </is>
      </c>
      <c r="E38" t="inlineStr">
        <is>
          <t>—</t>
        </is>
      </c>
      <c r="F38" s="11" t="n">
        <v>5576.0931</v>
      </c>
      <c r="G38" s="6">
        <f>IF($F$46=0,0,F38/$F$46)</f>
        <v/>
      </c>
      <c r="H38" s="5" t="n">
        <v>45298.48</v>
      </c>
      <c r="I38" t="n">
        <v>4</v>
      </c>
      <c r="J38" t="n">
        <v>4</v>
      </c>
      <c r="L38" s="5" t="n">
        <v>181193.91</v>
      </c>
    </row>
    <row r="39">
      <c r="A39" t="inlineStr">
        <is>
          <t>PUNO</t>
        </is>
      </c>
      <c r="B39" t="inlineStr">
        <is>
          <t>SAN ROMAN</t>
        </is>
      </c>
      <c r="C39" t="inlineStr">
        <is>
          <t>JULIACA</t>
        </is>
      </c>
      <c r="D39" t="inlineStr">
        <is>
          <t>211101</t>
        </is>
      </c>
      <c r="E39" t="inlineStr">
        <is>
          <t>—</t>
        </is>
      </c>
      <c r="F39" s="11" t="n">
        <v>4849.6986</v>
      </c>
      <c r="G39" s="6">
        <f>IF($F$46=0,0,F39/$F$46)</f>
        <v/>
      </c>
      <c r="H39" s="5" t="n">
        <v>39397.47</v>
      </c>
      <c r="I39" t="n">
        <v>3</v>
      </c>
      <c r="J39" t="n">
        <v>1</v>
      </c>
      <c r="K39" t="n">
        <v>4</v>
      </c>
      <c r="L39" s="5" t="n">
        <v>105059.92</v>
      </c>
    </row>
    <row r="40">
      <c r="A40" t="inlineStr">
        <is>
          <t>LIMA</t>
        </is>
      </c>
      <c r="B40" t="inlineStr">
        <is>
          <t>LIMA</t>
        </is>
      </c>
      <c r="C40" t="inlineStr">
        <is>
          <t>SURQUILLO</t>
        </is>
      </c>
      <c r="D40" t="inlineStr">
        <is>
          <t>150141</t>
        </is>
      </c>
      <c r="E40" t="inlineStr">
        <is>
          <t>—</t>
        </is>
      </c>
      <c r="F40" s="11" t="n">
        <v>4300.1939</v>
      </c>
      <c r="G40" s="6">
        <f>IF($F$46=0,0,F40/$F$46)</f>
        <v/>
      </c>
      <c r="H40" s="5" t="n">
        <v>34933.46</v>
      </c>
      <c r="I40" t="n">
        <v>1</v>
      </c>
      <c r="J40" t="n">
        <v>4</v>
      </c>
      <c r="L40" s="5" t="n">
        <v>87333.66</v>
      </c>
    </row>
    <row r="41">
      <c r="A41" t="inlineStr">
        <is>
          <t>LIMA</t>
        </is>
      </c>
      <c r="B41" t="inlineStr">
        <is>
          <t>LIMA</t>
        </is>
      </c>
      <c r="C41" t="inlineStr">
        <is>
          <t>SAN BORJA</t>
        </is>
      </c>
      <c r="D41" t="inlineStr">
        <is>
          <t>150130</t>
        </is>
      </c>
      <c r="E41" t="inlineStr">
        <is>
          <t>—</t>
        </is>
      </c>
      <c r="F41" s="11" t="n">
        <v>2555.1626</v>
      </c>
      <c r="G41" s="6">
        <f>IF($F$46=0,0,F41/$F$46)</f>
        <v/>
      </c>
      <c r="H41" s="5" t="n">
        <v>20757.36</v>
      </c>
      <c r="I41" t="n">
        <v>1</v>
      </c>
      <c r="J41" t="n">
        <v>2</v>
      </c>
      <c r="L41" s="5" t="n">
        <v>31136.04</v>
      </c>
    </row>
    <row r="42">
      <c r="A42" t="inlineStr">
        <is>
          <t>TACNA</t>
        </is>
      </c>
      <c r="B42" t="inlineStr">
        <is>
          <t>TACNA</t>
        </is>
      </c>
      <c r="C42" t="inlineStr">
        <is>
          <t>TACNA</t>
        </is>
      </c>
      <c r="D42" t="inlineStr">
        <is>
          <t>230101</t>
        </is>
      </c>
      <c r="E42" t="inlineStr">
        <is>
          <t>—</t>
        </is>
      </c>
      <c r="F42" s="11" t="n">
        <v>2245.5847</v>
      </c>
      <c r="G42" s="6">
        <f>IF($F$46=0,0,F42/$F$46)</f>
        <v/>
      </c>
      <c r="H42" s="5" t="n">
        <v>18242.44</v>
      </c>
      <c r="I42" t="n">
        <v>3</v>
      </c>
      <c r="J42" t="n">
        <v>3</v>
      </c>
      <c r="L42" s="5" t="n">
        <v>54727.33</v>
      </c>
    </row>
    <row r="43">
      <c r="A43" t="inlineStr">
        <is>
          <t>LIMA</t>
        </is>
      </c>
      <c r="B43" t="inlineStr">
        <is>
          <t>LIMA</t>
        </is>
      </c>
      <c r="C43" t="inlineStr">
        <is>
          <t>BREÑA</t>
        </is>
      </c>
      <c r="D43" t="inlineStr">
        <is>
          <t>150105</t>
        </is>
      </c>
      <c r="E43" t="inlineStr">
        <is>
          <t>—</t>
        </is>
      </c>
      <c r="F43" s="11" t="n">
        <v>1672.8366</v>
      </c>
      <c r="G43" s="6">
        <f>IF($F$46=0,0,F43/$F$46)</f>
        <v/>
      </c>
      <c r="H43" s="5" t="n">
        <v>13589.61</v>
      </c>
      <c r="I43" t="n">
        <v>1</v>
      </c>
      <c r="J43" t="n">
        <v>3</v>
      </c>
      <c r="L43" s="5" t="n">
        <v>27179.23</v>
      </c>
    </row>
    <row r="44">
      <c r="A44" t="inlineStr">
        <is>
          <t>LIMA</t>
        </is>
      </c>
      <c r="B44" t="inlineStr">
        <is>
          <t>LIMA</t>
        </is>
      </c>
      <c r="C44" t="inlineStr">
        <is>
          <t>MAGDALENA DEL MAR</t>
        </is>
      </c>
      <c r="D44" t="inlineStr">
        <is>
          <t>150120</t>
        </is>
      </c>
      <c r="E44" t="inlineStr">
        <is>
          <t>—</t>
        </is>
      </c>
      <c r="F44" s="11" t="n">
        <v>218.2822</v>
      </c>
      <c r="G44" s="6">
        <f>IF($F$46=0,0,F44/$F$46)</f>
        <v/>
      </c>
      <c r="H44" s="5" t="n">
        <v>1773.26</v>
      </c>
      <c r="I44" t="n">
        <v>2</v>
      </c>
      <c r="J44" t="n">
        <v>4</v>
      </c>
      <c r="L44" s="5" t="n">
        <v>5319.77</v>
      </c>
    </row>
    <row r="45">
      <c r="A45" t="inlineStr">
        <is>
          <t>CUSCO</t>
        </is>
      </c>
      <c r="B45" t="inlineStr">
        <is>
          <t>CUSCO</t>
        </is>
      </c>
      <c r="C45" t="inlineStr">
        <is>
          <t>CUSCO</t>
        </is>
      </c>
      <c r="D45" t="inlineStr">
        <is>
          <t>080101</t>
        </is>
      </c>
      <c r="E45" t="inlineStr">
        <is>
          <t>—</t>
        </is>
      </c>
      <c r="F45" s="11" t="n">
        <v>128.3643</v>
      </c>
      <c r="G45" s="6">
        <f>IF($F$46=0,0,F45/$F$46)</f>
        <v/>
      </c>
      <c r="H45" s="5" t="n">
        <v>1042.79</v>
      </c>
      <c r="I45" t="n">
        <v>4</v>
      </c>
      <c r="J45" t="n">
        <v>2</v>
      </c>
      <c r="K45" t="n">
        <v>3</v>
      </c>
      <c r="L45" s="5" t="n">
        <v>3128.38</v>
      </c>
    </row>
    <row r="46">
      <c r="A46" s="12" t="inlineStr">
        <is>
          <t>TOTAL</t>
        </is>
      </c>
      <c r="B46" t="inlineStr"/>
      <c r="C46" t="inlineStr"/>
      <c r="D46" t="inlineStr"/>
      <c r="E46" t="inlineStr"/>
      <c r="F46" s="13">
        <f>SUM(F5:F45)</f>
        <v/>
      </c>
      <c r="G46" t="inlineStr"/>
      <c r="H46" s="14">
        <f>SUM(H5:H45)</f>
        <v/>
      </c>
      <c r="I46" t="inlineStr"/>
      <c r="J46" t="inlineStr"/>
      <c r="K46" t="inlineStr"/>
      <c r="L46" s="14">
        <f>SUM(L5:L45)</f>
        <v/>
      </c>
    </row>
    <row r="49">
      <c r="A49" s="15" t="inlineStr">
        <is>
          <t>Detalle por colocaciones (Miles S/)</t>
        </is>
      </c>
    </row>
    <row r="50">
      <c r="A50" s="3" t="inlineStr">
        <is>
          <t>Distrito</t>
        </is>
      </c>
      <c r="B50" s="3" t="inlineStr">
        <is>
          <t>Ubigeo</t>
        </is>
      </c>
      <c r="C50" s="3" t="inlineStr">
        <is>
          <t>Mineral</t>
        </is>
      </c>
      <c r="D50" s="3" t="inlineStr">
        <is>
          <t>Unidad</t>
        </is>
      </c>
      <c r="E50" s="3" t="inlineStr">
        <is>
          <t>Cantidad (orig.)</t>
        </is>
      </c>
      <c r="F50" s="3" t="inlineStr">
        <is>
          <t>TMF equiv.</t>
        </is>
      </c>
    </row>
    <row r="51">
      <c r="A51" t="inlineStr">
        <is>
          <t>SAN ISIDRO</t>
        </is>
      </c>
      <c r="B51" t="inlineStr">
        <is>
          <t>150131</t>
        </is>
      </c>
      <c r="C51" t="inlineStr">
        <is>
          <t>Créditos</t>
        </is>
      </c>
      <c r="D51" t="inlineStr">
        <is>
          <t>Miles S/</t>
        </is>
      </c>
      <c r="E51" s="11" t="n">
        <v>13263686.2017</v>
      </c>
      <c r="F51" s="16" t="n">
        <v>13263686.20173</v>
      </c>
    </row>
    <row r="52">
      <c r="A52" t="inlineStr">
        <is>
          <t>LINCE</t>
        </is>
      </c>
      <c r="B52" t="inlineStr">
        <is>
          <t>150116</t>
        </is>
      </c>
      <c r="C52" t="inlineStr">
        <is>
          <t>Créditos</t>
        </is>
      </c>
      <c r="D52" t="inlineStr">
        <is>
          <t>Miles S/</t>
        </is>
      </c>
      <c r="E52" s="11" t="n">
        <v>401146.2063</v>
      </c>
      <c r="F52" s="16" t="n">
        <v>401146.20628</v>
      </c>
    </row>
    <row r="53">
      <c r="A53" t="inlineStr">
        <is>
          <t>CHICLAYO</t>
        </is>
      </c>
      <c r="B53" t="inlineStr">
        <is>
          <t>140101</t>
        </is>
      </c>
      <c r="C53" t="inlineStr">
        <is>
          <t>Créditos</t>
        </is>
      </c>
      <c r="D53" t="inlineStr">
        <is>
          <t>Miles S/</t>
        </is>
      </c>
      <c r="E53" s="11" t="n">
        <v>85233.96369999999</v>
      </c>
      <c r="F53" s="16" t="n">
        <v>85233.96374000001</v>
      </c>
    </row>
    <row r="54">
      <c r="A54" t="inlineStr">
        <is>
          <t>CAJAMARCA</t>
        </is>
      </c>
      <c r="B54" t="inlineStr">
        <is>
          <t>060101</t>
        </is>
      </c>
      <c r="C54" t="inlineStr">
        <is>
          <t>Créditos</t>
        </is>
      </c>
      <c r="D54" t="inlineStr">
        <is>
          <t>Miles S/</t>
        </is>
      </c>
      <c r="E54" s="11" t="n">
        <v>79030.06140000001</v>
      </c>
      <c r="F54" s="16" t="n">
        <v>79030.06138</v>
      </c>
    </row>
    <row r="55">
      <c r="A55" t="inlineStr">
        <is>
          <t>BARRANCO</t>
        </is>
      </c>
      <c r="B55" t="inlineStr">
        <is>
          <t>150104</t>
        </is>
      </c>
      <c r="C55" t="inlineStr">
        <is>
          <t>Créditos</t>
        </is>
      </c>
      <c r="D55" t="inlineStr">
        <is>
          <t>Miles S/</t>
        </is>
      </c>
      <c r="E55" s="11" t="n">
        <v>76779.1216</v>
      </c>
      <c r="F55" s="16" t="n">
        <v>76779.12158000001</v>
      </c>
    </row>
    <row r="56">
      <c r="A56" t="inlineStr">
        <is>
          <t>PIURA</t>
        </is>
      </c>
      <c r="B56" t="inlineStr">
        <is>
          <t>200101</t>
        </is>
      </c>
      <c r="C56" t="inlineStr">
        <is>
          <t>Créditos</t>
        </is>
      </c>
      <c r="D56" t="inlineStr">
        <is>
          <t>Miles S/</t>
        </is>
      </c>
      <c r="E56" s="11" t="n">
        <v>71830.7513</v>
      </c>
      <c r="F56" s="16" t="n">
        <v>71830.75134</v>
      </c>
    </row>
    <row r="57">
      <c r="A57" t="inlineStr">
        <is>
          <t>SANTA ANITA</t>
        </is>
      </c>
      <c r="B57" t="inlineStr">
        <is>
          <t>150137</t>
        </is>
      </c>
      <c r="C57" t="inlineStr">
        <is>
          <t>Créditos</t>
        </is>
      </c>
      <c r="D57" t="inlineStr">
        <is>
          <t>Miles S/</t>
        </is>
      </c>
      <c r="E57" s="11" t="n">
        <v>63221.0295</v>
      </c>
      <c r="F57" s="16" t="n">
        <v>63221.02953</v>
      </c>
    </row>
    <row r="58">
      <c r="A58" t="inlineStr">
        <is>
          <t>TRUJILLO</t>
        </is>
      </c>
      <c r="B58" t="inlineStr">
        <is>
          <t>130101</t>
        </is>
      </c>
      <c r="C58" t="inlineStr">
        <is>
          <t>Créditos</t>
        </is>
      </c>
      <c r="D58" t="inlineStr">
        <is>
          <t>Miles S/</t>
        </is>
      </c>
      <c r="E58" s="11" t="n">
        <v>62562.0269</v>
      </c>
      <c r="F58" s="16" t="n">
        <v>62562.02687</v>
      </c>
    </row>
    <row r="59">
      <c r="A59" t="inlineStr">
        <is>
          <t>CARMEN DE LA LEGUA REYNOSO</t>
        </is>
      </c>
      <c r="B59" t="inlineStr">
        <is>
          <t>070103</t>
        </is>
      </c>
      <c r="C59" t="inlineStr">
        <is>
          <t>Créditos</t>
        </is>
      </c>
      <c r="D59" t="inlineStr">
        <is>
          <t>Miles S/</t>
        </is>
      </c>
      <c r="E59" s="11" t="n">
        <v>55627.394</v>
      </c>
      <c r="F59" s="16" t="n">
        <v>55627.39404</v>
      </c>
    </row>
    <row r="60">
      <c r="A60" t="inlineStr">
        <is>
          <t>LIMA</t>
        </is>
      </c>
      <c r="B60" t="inlineStr">
        <is>
          <t>150101</t>
        </is>
      </c>
      <c r="C60" t="inlineStr">
        <is>
          <t>Créditos</t>
        </is>
      </c>
      <c r="D60" t="inlineStr">
        <is>
          <t>Miles S/</t>
        </is>
      </c>
      <c r="E60" s="11" t="n">
        <v>54711.2863</v>
      </c>
      <c r="F60" s="16" t="n">
        <v>54711.28628</v>
      </c>
    </row>
    <row r="61">
      <c r="A61" t="inlineStr">
        <is>
          <t>LOS OLIVOS</t>
        </is>
      </c>
      <c r="B61" t="inlineStr">
        <is>
          <t>150117</t>
        </is>
      </c>
      <c r="C61" t="inlineStr">
        <is>
          <t>Créditos</t>
        </is>
      </c>
      <c r="D61" t="inlineStr">
        <is>
          <t>Miles S/</t>
        </is>
      </c>
      <c r="E61" s="11" t="n">
        <v>45464.7155</v>
      </c>
      <c r="F61" s="16" t="n">
        <v>45464.71545</v>
      </c>
    </row>
    <row r="62">
      <c r="A62" t="inlineStr">
        <is>
          <t>SULLANA</t>
        </is>
      </c>
      <c r="B62" t="inlineStr">
        <is>
          <t>200601</t>
        </is>
      </c>
      <c r="C62" t="inlineStr">
        <is>
          <t>Créditos</t>
        </is>
      </c>
      <c r="D62" t="inlineStr">
        <is>
          <t>Miles S/</t>
        </is>
      </c>
      <c r="E62" s="11" t="n">
        <v>37247.5816</v>
      </c>
      <c r="F62" s="16" t="n">
        <v>37247.58162</v>
      </c>
    </row>
    <row r="63">
      <c r="A63" t="inlineStr">
        <is>
          <t>SAN MARTIN DE PORRES</t>
        </is>
      </c>
      <c r="B63" t="inlineStr">
        <is>
          <t>150135</t>
        </is>
      </c>
      <c r="C63" t="inlineStr">
        <is>
          <t>Créditos</t>
        </is>
      </c>
      <c r="D63" t="inlineStr">
        <is>
          <t>Miles S/</t>
        </is>
      </c>
      <c r="E63" s="11" t="n">
        <v>22558.9516</v>
      </c>
      <c r="F63" s="16" t="n">
        <v>22558.95159</v>
      </c>
    </row>
    <row r="64">
      <c r="A64" t="inlineStr">
        <is>
          <t>SANTIAGO DE SURCO</t>
        </is>
      </c>
      <c r="B64" t="inlineStr">
        <is>
          <t>150140</t>
        </is>
      </c>
      <c r="C64" t="inlineStr">
        <is>
          <t>Créditos</t>
        </is>
      </c>
      <c r="D64" t="inlineStr">
        <is>
          <t>Miles S/</t>
        </is>
      </c>
      <c r="E64" s="11" t="n">
        <v>20366.5144</v>
      </c>
      <c r="F64" s="16" t="n">
        <v>20366.51443</v>
      </c>
    </row>
    <row r="65">
      <c r="A65" t="inlineStr">
        <is>
          <t>JESUS MARIA</t>
        </is>
      </c>
      <c r="B65" t="inlineStr">
        <is>
          <t>150113</t>
        </is>
      </c>
      <c r="C65" t="inlineStr">
        <is>
          <t>Créditos</t>
        </is>
      </c>
      <c r="D65" t="inlineStr">
        <is>
          <t>Miles S/</t>
        </is>
      </c>
      <c r="E65" s="11" t="n">
        <v>18338.822</v>
      </c>
      <c r="F65" s="16" t="n">
        <v>18338.82203</v>
      </c>
    </row>
    <row r="66">
      <c r="A66" t="inlineStr">
        <is>
          <t>CALLERIA</t>
        </is>
      </c>
      <c r="B66" t="inlineStr">
        <is>
          <t>250101</t>
        </is>
      </c>
      <c r="C66" t="inlineStr">
        <is>
          <t>Créditos</t>
        </is>
      </c>
      <c r="D66" t="inlineStr">
        <is>
          <t>Miles S/</t>
        </is>
      </c>
      <c r="E66" s="11" t="n">
        <v>17267.2694</v>
      </c>
      <c r="F66" s="16" t="n">
        <v>17267.26936</v>
      </c>
    </row>
    <row r="67">
      <c r="A67" t="inlineStr">
        <is>
          <t>CAYMA</t>
        </is>
      </c>
      <c r="B67" t="inlineStr">
        <is>
          <t>040103</t>
        </is>
      </c>
      <c r="C67" t="inlineStr">
        <is>
          <t>Créditos</t>
        </is>
      </c>
      <c r="D67" t="inlineStr">
        <is>
          <t>Miles S/</t>
        </is>
      </c>
      <c r="E67" s="11" t="n">
        <v>17175.377</v>
      </c>
      <c r="F67" s="16" t="n">
        <v>17175.37704</v>
      </c>
    </row>
    <row r="68">
      <c r="A68" t="inlineStr">
        <is>
          <t>WANCHAQ</t>
        </is>
      </c>
      <c r="B68" t="inlineStr">
        <is>
          <t>080108</t>
        </is>
      </c>
      <c r="C68" t="inlineStr">
        <is>
          <t>Créditos</t>
        </is>
      </c>
      <c r="D68" t="inlineStr">
        <is>
          <t>Miles S/</t>
        </is>
      </c>
      <c r="E68" s="11" t="n">
        <v>16975.6065</v>
      </c>
      <c r="F68" s="16" t="n">
        <v>16975.60646</v>
      </c>
    </row>
    <row r="69">
      <c r="A69" t="inlineStr">
        <is>
          <t>MIRAFLORES</t>
        </is>
      </c>
      <c r="B69" t="inlineStr">
        <is>
          <t>150122</t>
        </is>
      </c>
      <c r="C69" t="inlineStr">
        <is>
          <t>Créditos</t>
        </is>
      </c>
      <c r="D69" t="inlineStr">
        <is>
          <t>Miles S/</t>
        </is>
      </c>
      <c r="E69" s="11" t="n">
        <v>15725.2674</v>
      </c>
      <c r="F69" s="16" t="n">
        <v>15725.2674</v>
      </c>
    </row>
    <row r="70">
      <c r="A70" t="inlineStr">
        <is>
          <t>SAN MIGUEL</t>
        </is>
      </c>
      <c r="B70" t="inlineStr">
        <is>
          <t>150136</t>
        </is>
      </c>
      <c r="C70" t="inlineStr">
        <is>
          <t>Créditos</t>
        </is>
      </c>
      <c r="D70" t="inlineStr">
        <is>
          <t>Miles S/</t>
        </is>
      </c>
      <c r="E70" s="11" t="n">
        <v>15194.5655</v>
      </c>
      <c r="F70" s="16" t="n">
        <v>15194.56548</v>
      </c>
    </row>
    <row r="71">
      <c r="A71" t="inlineStr">
        <is>
          <t>IQUITOS</t>
        </is>
      </c>
      <c r="B71" t="inlineStr">
        <is>
          <t>160101</t>
        </is>
      </c>
      <c r="C71" t="inlineStr">
        <is>
          <t>Créditos</t>
        </is>
      </c>
      <c r="D71" t="inlineStr">
        <is>
          <t>Miles S/</t>
        </is>
      </c>
      <c r="E71" s="11" t="n">
        <v>14106.8059</v>
      </c>
      <c r="F71" s="16" t="n">
        <v>14106.80591</v>
      </c>
    </row>
    <row r="72">
      <c r="A72" t="inlineStr">
        <is>
          <t>INDEPENDENCIA</t>
        </is>
      </c>
      <c r="B72" t="inlineStr">
        <is>
          <t>150112</t>
        </is>
      </c>
      <c r="C72" t="inlineStr">
        <is>
          <t>Créditos</t>
        </is>
      </c>
      <c r="D72" t="inlineStr">
        <is>
          <t>Miles S/</t>
        </is>
      </c>
      <c r="E72" s="11" t="n">
        <v>13855.2309</v>
      </c>
      <c r="F72" s="16" t="n">
        <v>13855.23087</v>
      </c>
    </row>
    <row r="73">
      <c r="A73" t="inlineStr">
        <is>
          <t>CASTILLA</t>
        </is>
      </c>
      <c r="B73" t="inlineStr">
        <is>
          <t>200104</t>
        </is>
      </c>
      <c r="C73" t="inlineStr">
        <is>
          <t>Créditos</t>
        </is>
      </c>
      <c r="D73" t="inlineStr">
        <is>
          <t>Miles S/</t>
        </is>
      </c>
      <c r="E73" s="11" t="n">
        <v>12731.0008</v>
      </c>
      <c r="F73" s="16" t="n">
        <v>12731.00079</v>
      </c>
    </row>
    <row r="74">
      <c r="A74" t="inlineStr">
        <is>
          <t>CHIMBOTE</t>
        </is>
      </c>
      <c r="B74" t="inlineStr">
        <is>
          <t>021801</t>
        </is>
      </c>
      <c r="C74" t="inlineStr">
        <is>
          <t>Créditos</t>
        </is>
      </c>
      <c r="D74" t="inlineStr">
        <is>
          <t>Miles S/</t>
        </is>
      </c>
      <c r="E74" s="11" t="n">
        <v>12510.727</v>
      </c>
      <c r="F74" s="16" t="n">
        <v>12510.72698</v>
      </c>
    </row>
    <row r="75">
      <c r="A75" t="inlineStr">
        <is>
          <t>CALLAO</t>
        </is>
      </c>
      <c r="B75" t="inlineStr">
        <is>
          <t>070101</t>
        </is>
      </c>
      <c r="C75" t="inlineStr">
        <is>
          <t>Créditos</t>
        </is>
      </c>
      <c r="D75" t="inlineStr">
        <is>
          <t>Miles S/</t>
        </is>
      </c>
      <c r="E75" s="11" t="n">
        <v>11875.7131</v>
      </c>
      <c r="F75" s="16" t="n">
        <v>11875.71306</v>
      </c>
    </row>
    <row r="76">
      <c r="A76" t="inlineStr">
        <is>
          <t>HUANCAYO</t>
        </is>
      </c>
      <c r="B76" t="inlineStr">
        <is>
          <t>120101</t>
        </is>
      </c>
      <c r="C76" t="inlineStr">
        <is>
          <t>Créditos</t>
        </is>
      </c>
      <c r="D76" t="inlineStr">
        <is>
          <t>Miles S/</t>
        </is>
      </c>
      <c r="E76" s="11" t="n">
        <v>11309.1012</v>
      </c>
      <c r="F76" s="16" t="n">
        <v>11309.10122</v>
      </c>
    </row>
    <row r="77">
      <c r="A77" t="inlineStr">
        <is>
          <t>CHORRILLOS</t>
        </is>
      </c>
      <c r="B77" t="inlineStr">
        <is>
          <t>150108</t>
        </is>
      </c>
      <c r="C77" t="inlineStr">
        <is>
          <t>Créditos</t>
        </is>
      </c>
      <c r="D77" t="inlineStr">
        <is>
          <t>Miles S/</t>
        </is>
      </c>
      <c r="E77" s="11" t="n">
        <v>11217.1951</v>
      </c>
      <c r="F77" s="16" t="n">
        <v>11217.19513</v>
      </c>
    </row>
    <row r="78">
      <c r="A78" t="inlineStr">
        <is>
          <t>TARAPOTO</t>
        </is>
      </c>
      <c r="B78" t="inlineStr">
        <is>
          <t>220901</t>
        </is>
      </c>
      <c r="C78" t="inlineStr">
        <is>
          <t>Créditos</t>
        </is>
      </c>
      <c r="D78" t="inlineStr">
        <is>
          <t>Miles S/</t>
        </is>
      </c>
      <c r="E78" s="11" t="n">
        <v>10888.2798</v>
      </c>
      <c r="F78" s="16" t="n">
        <v>10888.27978</v>
      </c>
    </row>
    <row r="79">
      <c r="A79" t="inlineStr">
        <is>
          <t>ICA</t>
        </is>
      </c>
      <c r="B79" t="inlineStr">
        <is>
          <t>110101</t>
        </is>
      </c>
      <c r="C79" t="inlineStr">
        <is>
          <t>Créditos</t>
        </is>
      </c>
      <c r="D79" t="inlineStr">
        <is>
          <t>Miles S/</t>
        </is>
      </c>
      <c r="E79" s="11" t="n">
        <v>9518.3105</v>
      </c>
      <c r="F79" s="16" t="n">
        <v>9518.310509999999</v>
      </c>
    </row>
    <row r="80">
      <c r="A80" t="inlineStr">
        <is>
          <t>AREQUIPA</t>
        </is>
      </c>
      <c r="B80" t="inlineStr">
        <is>
          <t>040101</t>
        </is>
      </c>
      <c r="C80" t="inlineStr">
        <is>
          <t>Créditos</t>
        </is>
      </c>
      <c r="D80" t="inlineStr">
        <is>
          <t>Miles S/</t>
        </is>
      </c>
      <c r="E80" s="11" t="n">
        <v>8572.647800000001</v>
      </c>
      <c r="F80" s="16" t="n">
        <v>8572.647790000001</v>
      </c>
    </row>
    <row r="81">
      <c r="A81" t="inlineStr">
        <is>
          <t>LA MOLINA</t>
        </is>
      </c>
      <c r="B81" t="inlineStr">
        <is>
          <t>150114</t>
        </is>
      </c>
      <c r="C81" t="inlineStr">
        <is>
          <t>Créditos</t>
        </is>
      </c>
      <c r="D81" t="inlineStr">
        <is>
          <t>Miles S/</t>
        </is>
      </c>
      <c r="E81" s="11" t="n">
        <v>7053.3094</v>
      </c>
      <c r="F81" s="16" t="n">
        <v>7053.3094</v>
      </c>
    </row>
    <row r="82">
      <c r="A82" t="inlineStr">
        <is>
          <t>SAN JUAN DE LURIGANCHO</t>
        </is>
      </c>
      <c r="B82" t="inlineStr">
        <is>
          <t>150132</t>
        </is>
      </c>
      <c r="C82" t="inlineStr">
        <is>
          <t>Créditos</t>
        </is>
      </c>
      <c r="D82" t="inlineStr">
        <is>
          <t>Miles S/</t>
        </is>
      </c>
      <c r="E82" s="11" t="n">
        <v>6242.9083</v>
      </c>
      <c r="F82" s="16" t="n">
        <v>6242.90832</v>
      </c>
    </row>
    <row r="83">
      <c r="A83" t="inlineStr">
        <is>
          <t>MAGDALENA VIEJA</t>
        </is>
      </c>
      <c r="B83" t="inlineStr">
        <is>
          <t>150121</t>
        </is>
      </c>
      <c r="C83" t="inlineStr">
        <is>
          <t>Créditos</t>
        </is>
      </c>
      <c r="D83" t="inlineStr">
        <is>
          <t>Miles S/</t>
        </is>
      </c>
      <c r="E83" s="11" t="n">
        <v>5925.4084</v>
      </c>
      <c r="F83" s="16" t="n">
        <v>5925.4084</v>
      </c>
    </row>
    <row r="84">
      <c r="A84" t="inlineStr">
        <is>
          <t>CHINCHA ALTA</t>
        </is>
      </c>
      <c r="B84" t="inlineStr">
        <is>
          <t>110201</t>
        </is>
      </c>
      <c r="C84" t="inlineStr">
        <is>
          <t>Créditos</t>
        </is>
      </c>
      <c r="D84" t="inlineStr">
        <is>
          <t>Miles S/</t>
        </is>
      </c>
      <c r="E84" s="11" t="n">
        <v>5576.0931</v>
      </c>
      <c r="F84" s="16" t="n">
        <v>5576.09306</v>
      </c>
    </row>
    <row r="85">
      <c r="A85" t="inlineStr">
        <is>
          <t>JULIACA</t>
        </is>
      </c>
      <c r="B85" t="inlineStr">
        <is>
          <t>211101</t>
        </is>
      </c>
      <c r="C85" t="inlineStr">
        <is>
          <t>Créditos</t>
        </is>
      </c>
      <c r="D85" t="inlineStr">
        <is>
          <t>Miles S/</t>
        </is>
      </c>
      <c r="E85" s="11" t="n">
        <v>4849.6986</v>
      </c>
      <c r="F85" s="16" t="n">
        <v>4849.69858</v>
      </c>
    </row>
    <row r="86">
      <c r="A86" t="inlineStr">
        <is>
          <t>SURQUILLO</t>
        </is>
      </c>
      <c r="B86" t="inlineStr">
        <is>
          <t>150141</t>
        </is>
      </c>
      <c r="C86" t="inlineStr">
        <is>
          <t>Créditos</t>
        </is>
      </c>
      <c r="D86" t="inlineStr">
        <is>
          <t>Miles S/</t>
        </is>
      </c>
      <c r="E86" s="11" t="n">
        <v>4300.1939</v>
      </c>
      <c r="F86" s="16" t="n">
        <v>4300.19394</v>
      </c>
    </row>
    <row r="87">
      <c r="A87" t="inlineStr">
        <is>
          <t>SAN BORJA</t>
        </is>
      </c>
      <c r="B87" t="inlineStr">
        <is>
          <t>150130</t>
        </is>
      </c>
      <c r="C87" t="inlineStr">
        <is>
          <t>Créditos</t>
        </is>
      </c>
      <c r="D87" t="inlineStr">
        <is>
          <t>Miles S/</t>
        </is>
      </c>
      <c r="E87" s="11" t="n">
        <v>2555.1626</v>
      </c>
      <c r="F87" s="16" t="n">
        <v>2555.16261</v>
      </c>
    </row>
    <row r="88">
      <c r="A88" t="inlineStr">
        <is>
          <t>TACNA</t>
        </is>
      </c>
      <c r="B88" t="inlineStr">
        <is>
          <t>230101</t>
        </is>
      </c>
      <c r="C88" t="inlineStr">
        <is>
          <t>Créditos</t>
        </is>
      </c>
      <c r="D88" t="inlineStr">
        <is>
          <t>Miles S/</t>
        </is>
      </c>
      <c r="E88" s="11" t="n">
        <v>2245.5847</v>
      </c>
      <c r="F88" s="16" t="n">
        <v>2245.58467</v>
      </c>
    </row>
    <row r="89">
      <c r="A89" t="inlineStr">
        <is>
          <t>BREÑA</t>
        </is>
      </c>
      <c r="B89" t="inlineStr">
        <is>
          <t>150105</t>
        </is>
      </c>
      <c r="C89" t="inlineStr">
        <is>
          <t>Créditos</t>
        </is>
      </c>
      <c r="D89" t="inlineStr">
        <is>
          <t>Miles S/</t>
        </is>
      </c>
      <c r="E89" s="11" t="n">
        <v>1672.8366</v>
      </c>
      <c r="F89" s="16" t="n">
        <v>1672.83658</v>
      </c>
    </row>
    <row r="90">
      <c r="A90" t="inlineStr">
        <is>
          <t>MAGDALENA DEL MAR</t>
        </is>
      </c>
      <c r="B90" t="inlineStr">
        <is>
          <t>150120</t>
        </is>
      </c>
      <c r="C90" t="inlineStr">
        <is>
          <t>Créditos</t>
        </is>
      </c>
      <c r="D90" t="inlineStr">
        <is>
          <t>Miles S/</t>
        </is>
      </c>
      <c r="E90" s="11" t="n">
        <v>218.2822</v>
      </c>
      <c r="F90" s="16" t="n">
        <v>218.28222</v>
      </c>
    </row>
    <row r="91">
      <c r="A91" t="inlineStr">
        <is>
          <t>CUSCO</t>
        </is>
      </c>
      <c r="B91" t="inlineStr">
        <is>
          <t>080101</t>
        </is>
      </c>
      <c r="C91" t="inlineStr">
        <is>
          <t>Créditos</t>
        </is>
      </c>
      <c r="D91" t="inlineStr">
        <is>
          <t>Miles S/</t>
        </is>
      </c>
      <c r="E91" s="11" t="n">
        <v>128.3643</v>
      </c>
      <c r="F91" s="16" t="n">
        <v>128.36433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15"/>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Compartamos Banco — Créditos colocados por distrito y exposición asignada</t>
        </is>
      </c>
    </row>
    <row r="2">
      <c r="A2" s="2" t="inlineStr">
        <is>
          <t>Créditos colocados total: 4,630,734.23 Miles S/   ·   Exposición en cartera: S/ 32,286,040   ·   Asignación: tmf_share</t>
        </is>
      </c>
    </row>
    <row r="4">
      <c r="A4" s="3" t="inlineStr">
        <is>
          <t>Departamento</t>
        </is>
      </c>
      <c r="B4" s="3" t="inlineStr">
        <is>
          <t>Provincia</t>
        </is>
      </c>
      <c r="C4" s="3" t="inlineStr">
        <is>
          <t>Distrito</t>
        </is>
      </c>
      <c r="D4" s="3" t="inlineStr">
        <is>
          <t>Ubigeo</t>
        </is>
      </c>
      <c r="E4" s="3" t="inlineStr">
        <is>
          <t>Oficinas/Agencias</t>
        </is>
      </c>
      <c r="F4" s="3" t="inlineStr">
        <is>
          <t>Créditos colocados (Miles S/)</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AREQUIPA</t>
        </is>
      </c>
      <c r="B5" t="inlineStr">
        <is>
          <t>AREQUIPA</t>
        </is>
      </c>
      <c r="C5" t="inlineStr">
        <is>
          <t>AREQUIPA</t>
        </is>
      </c>
      <c r="D5" t="inlineStr">
        <is>
          <t>040101</t>
        </is>
      </c>
      <c r="E5" t="inlineStr">
        <is>
          <t>—</t>
        </is>
      </c>
      <c r="F5" s="11" t="n">
        <v>295605.9394</v>
      </c>
      <c r="G5" s="6">
        <f>IF($F$108=0,0,F5/$F$108)</f>
        <v/>
      </c>
      <c r="H5" s="5" t="n">
        <v>2061000.42</v>
      </c>
      <c r="I5" t="n">
        <v>2</v>
      </c>
      <c r="J5" t="n">
        <v>5</v>
      </c>
      <c r="L5" s="5" t="n">
        <v>7213501.47</v>
      </c>
    </row>
    <row r="6">
      <c r="A6" t="inlineStr">
        <is>
          <t>LIMA</t>
        </is>
      </c>
      <c r="B6" t="inlineStr">
        <is>
          <t>LIMA</t>
        </is>
      </c>
      <c r="C6" t="inlineStr">
        <is>
          <t>ATE</t>
        </is>
      </c>
      <c r="D6" t="inlineStr">
        <is>
          <t>150103</t>
        </is>
      </c>
      <c r="E6" t="inlineStr">
        <is>
          <t>—</t>
        </is>
      </c>
      <c r="F6" s="11" t="n">
        <v>165530.8901</v>
      </c>
      <c r="G6" s="6">
        <f>IF($F$108=0,0,F6/$F$108)</f>
        <v/>
      </c>
      <c r="H6" s="5" t="n">
        <v>1154101.42</v>
      </c>
      <c r="I6" t="n">
        <v>4</v>
      </c>
      <c r="J6" t="n">
        <v>3</v>
      </c>
      <c r="L6" s="5" t="n">
        <v>4039354.96</v>
      </c>
    </row>
    <row r="7">
      <c r="A7" t="inlineStr">
        <is>
          <t>LIMA</t>
        </is>
      </c>
      <c r="B7" t="inlineStr">
        <is>
          <t>LIMA</t>
        </is>
      </c>
      <c r="C7" t="inlineStr">
        <is>
          <t>COMAS</t>
        </is>
      </c>
      <c r="D7" t="inlineStr">
        <is>
          <t>150110</t>
        </is>
      </c>
      <c r="E7" t="inlineStr">
        <is>
          <t>—</t>
        </is>
      </c>
      <c r="F7" s="11" t="n">
        <v>161256.6264</v>
      </c>
      <c r="G7" s="6">
        <f>IF($F$108=0,0,F7/$F$108)</f>
        <v/>
      </c>
      <c r="H7" s="5" t="n">
        <v>1124300.73</v>
      </c>
      <c r="I7" t="n">
        <v>3</v>
      </c>
      <c r="J7" t="n">
        <v>3</v>
      </c>
      <c r="L7" s="5" t="n">
        <v>3372902.2</v>
      </c>
    </row>
    <row r="8">
      <c r="A8" t="inlineStr">
        <is>
          <t>LIMA</t>
        </is>
      </c>
      <c r="B8" t="inlineStr">
        <is>
          <t>LIMA</t>
        </is>
      </c>
      <c r="C8" t="inlineStr">
        <is>
          <t>SAN JUAN DE LURIGANCHO</t>
        </is>
      </c>
      <c r="D8" t="inlineStr">
        <is>
          <t>150132</t>
        </is>
      </c>
      <c r="E8" t="inlineStr">
        <is>
          <t>—</t>
        </is>
      </c>
      <c r="F8" s="11" t="n">
        <v>151683.0624</v>
      </c>
      <c r="G8" s="6">
        <f>IF($F$108=0,0,F8/$F$108)</f>
        <v/>
      </c>
      <c r="H8" s="5" t="n">
        <v>1057552.69</v>
      </c>
      <c r="I8" t="n">
        <v>5</v>
      </c>
      <c r="J8" t="n">
        <v>2</v>
      </c>
      <c r="L8" s="5" t="n">
        <v>3701434.4</v>
      </c>
    </row>
    <row r="9">
      <c r="A9" t="inlineStr">
        <is>
          <t>LIMA</t>
        </is>
      </c>
      <c r="B9" t="inlineStr">
        <is>
          <t>LIMA</t>
        </is>
      </c>
      <c r="C9" t="inlineStr">
        <is>
          <t>LOS OLIVOS</t>
        </is>
      </c>
      <c r="D9" t="inlineStr">
        <is>
          <t>150117</t>
        </is>
      </c>
      <c r="E9" t="inlineStr">
        <is>
          <t>—</t>
        </is>
      </c>
      <c r="F9" s="11" t="n">
        <v>146496.977</v>
      </c>
      <c r="G9" s="6">
        <f>IF($F$108=0,0,F9/$F$108)</f>
        <v/>
      </c>
      <c r="H9" s="5" t="n">
        <v>1021394.67</v>
      </c>
      <c r="I9" t="n">
        <v>1</v>
      </c>
      <c r="J9" t="n">
        <v>4</v>
      </c>
      <c r="L9" s="5" t="n">
        <v>2553486.68</v>
      </c>
    </row>
    <row r="10">
      <c r="A10" t="inlineStr">
        <is>
          <t>AREQUIPA</t>
        </is>
      </c>
      <c r="B10" t="inlineStr">
        <is>
          <t>AREQUIPA</t>
        </is>
      </c>
      <c r="C10" t="inlineStr">
        <is>
          <t>CERRO COLORADO</t>
        </is>
      </c>
      <c r="D10" t="inlineStr">
        <is>
          <t>040104</t>
        </is>
      </c>
      <c r="E10" t="inlineStr">
        <is>
          <t>—</t>
        </is>
      </c>
      <c r="F10" s="11" t="n">
        <v>130961.9597</v>
      </c>
      <c r="G10" s="6">
        <f>IF($F$108=0,0,F10/$F$108)</f>
        <v/>
      </c>
      <c r="H10" s="5" t="n">
        <v>913082.65</v>
      </c>
      <c r="I10" t="n">
        <v>4</v>
      </c>
      <c r="J10" t="n">
        <v>4</v>
      </c>
      <c r="K10" t="n">
        <v>2</v>
      </c>
      <c r="L10" s="5" t="n">
        <v>3043608.82</v>
      </c>
    </row>
    <row r="11">
      <c r="A11" t="inlineStr">
        <is>
          <t>LIMA</t>
        </is>
      </c>
      <c r="B11" t="inlineStr">
        <is>
          <t>LIMA</t>
        </is>
      </c>
      <c r="C11" t="inlineStr">
        <is>
          <t>PUENTE PIEDRA</t>
        </is>
      </c>
      <c r="D11" t="inlineStr">
        <is>
          <t>150125</t>
        </is>
      </c>
      <c r="E11" t="inlineStr">
        <is>
          <t>—</t>
        </is>
      </c>
      <c r="F11" s="11" t="n">
        <v>119290.8894</v>
      </c>
      <c r="G11" s="6">
        <f>IF($F$108=0,0,F11/$F$108)</f>
        <v/>
      </c>
      <c r="H11" s="5" t="n">
        <v>831710.53</v>
      </c>
      <c r="I11" t="n">
        <v>2</v>
      </c>
      <c r="J11" t="n">
        <v>3</v>
      </c>
      <c r="L11" s="5" t="n">
        <v>2079276.33</v>
      </c>
    </row>
    <row r="12">
      <c r="A12" t="inlineStr">
        <is>
          <t>CALLAO</t>
        </is>
      </c>
      <c r="B12" t="inlineStr">
        <is>
          <t>CALLAO</t>
        </is>
      </c>
      <c r="C12" t="inlineStr">
        <is>
          <t>VENTANILLA</t>
        </is>
      </c>
      <c r="D12" t="inlineStr">
        <is>
          <t>070106</t>
        </is>
      </c>
      <c r="E12" t="inlineStr">
        <is>
          <t>—</t>
        </is>
      </c>
      <c r="F12" s="11" t="n">
        <v>111470.763</v>
      </c>
      <c r="G12" s="6">
        <f>IF($F$108=0,0,F12/$F$108)</f>
        <v/>
      </c>
      <c r="H12" s="5" t="n">
        <v>777187.66</v>
      </c>
      <c r="I12" t="n">
        <v>3</v>
      </c>
      <c r="J12" t="n">
        <v>3</v>
      </c>
      <c r="L12" s="5" t="n">
        <v>2331562.99</v>
      </c>
    </row>
    <row r="13">
      <c r="A13" t="inlineStr">
        <is>
          <t>LAMBAYEQUE</t>
        </is>
      </c>
      <c r="B13" t="inlineStr">
        <is>
          <t>CHICLAYO</t>
        </is>
      </c>
      <c r="C13" t="inlineStr">
        <is>
          <t>CHICLAYO</t>
        </is>
      </c>
      <c r="D13" t="inlineStr">
        <is>
          <t>140101</t>
        </is>
      </c>
      <c r="E13" t="inlineStr">
        <is>
          <t>—</t>
        </is>
      </c>
      <c r="F13" s="11" t="n">
        <v>87613.8542</v>
      </c>
      <c r="G13" s="6">
        <f>IF($F$108=0,0,F13/$F$108)</f>
        <v/>
      </c>
      <c r="H13" s="5" t="n">
        <v>610854.4</v>
      </c>
      <c r="I13" t="n">
        <v>1</v>
      </c>
      <c r="J13" t="n">
        <v>4</v>
      </c>
      <c r="L13" s="5" t="n">
        <v>1527136.01</v>
      </c>
    </row>
    <row r="14">
      <c r="A14" t="inlineStr">
        <is>
          <t>LIMA</t>
        </is>
      </c>
      <c r="B14" t="inlineStr">
        <is>
          <t>LIMA</t>
        </is>
      </c>
      <c r="C14" t="inlineStr">
        <is>
          <t>VILLA MARIA DEL TRIUNFO</t>
        </is>
      </c>
      <c r="D14" t="inlineStr">
        <is>
          <t>150143</t>
        </is>
      </c>
      <c r="E14" t="inlineStr">
        <is>
          <t>—</t>
        </is>
      </c>
      <c r="F14" s="11" t="n">
        <v>85388.8314</v>
      </c>
      <c r="G14" s="6">
        <f>IF($F$108=0,0,F14/$F$108)</f>
        <v/>
      </c>
      <c r="H14" s="5" t="n">
        <v>595341.28</v>
      </c>
      <c r="I14" t="n">
        <v>4</v>
      </c>
      <c r="J14" t="n">
        <v>1</v>
      </c>
      <c r="L14" s="5" t="n">
        <v>1488353.19</v>
      </c>
    </row>
    <row r="15">
      <c r="A15" t="inlineStr">
        <is>
          <t>AREQUIPA</t>
        </is>
      </c>
      <c r="B15" t="inlineStr">
        <is>
          <t>AREQUIPA</t>
        </is>
      </c>
      <c r="C15" t="inlineStr">
        <is>
          <t>PAUCARPATA</t>
        </is>
      </c>
      <c r="D15" t="inlineStr">
        <is>
          <t>040112</t>
        </is>
      </c>
      <c r="E15" t="inlineStr">
        <is>
          <t>—</t>
        </is>
      </c>
      <c r="F15" s="11" t="n">
        <v>84672.5352</v>
      </c>
      <c r="G15" s="6">
        <f>IF($F$108=0,0,F15/$F$108)</f>
        <v/>
      </c>
      <c r="H15" s="5" t="n">
        <v>590347.17</v>
      </c>
      <c r="I15" t="n">
        <v>5</v>
      </c>
      <c r="J15" t="n">
        <v>4</v>
      </c>
      <c r="K15" t="n">
        <v>2</v>
      </c>
      <c r="L15" s="5" t="n">
        <v>2164606.3</v>
      </c>
    </row>
    <row r="16">
      <c r="A16" t="inlineStr">
        <is>
          <t>PIURA</t>
        </is>
      </c>
      <c r="B16" t="inlineStr">
        <is>
          <t>SULLANA</t>
        </is>
      </c>
      <c r="C16" t="inlineStr">
        <is>
          <t>SULLANA</t>
        </is>
      </c>
      <c r="D16" t="inlineStr">
        <is>
          <t>200601</t>
        </is>
      </c>
      <c r="E16" t="inlineStr">
        <is>
          <t>—</t>
        </is>
      </c>
      <c r="F16" s="11" t="n">
        <v>83910.895</v>
      </c>
      <c r="G16" s="6">
        <f>IF($F$108=0,0,F16/$F$108)</f>
        <v/>
      </c>
      <c r="H16" s="5" t="n">
        <v>585036.92</v>
      </c>
      <c r="I16" t="n">
        <v>2</v>
      </c>
      <c r="J16" t="n">
        <v>5</v>
      </c>
      <c r="K16" t="n">
        <v>2</v>
      </c>
      <c r="L16" s="5" t="n">
        <v>1755110.77</v>
      </c>
    </row>
    <row r="17">
      <c r="A17" t="inlineStr">
        <is>
          <t>AREQUIPA</t>
        </is>
      </c>
      <c r="B17" t="inlineStr">
        <is>
          <t>AREQUIPA</t>
        </is>
      </c>
      <c r="C17" t="inlineStr">
        <is>
          <t>JOSE LUIS BUSTAMANTE Y RIVERO</t>
        </is>
      </c>
      <c r="D17" t="inlineStr">
        <is>
          <t>040129</t>
        </is>
      </c>
      <c r="E17" t="inlineStr">
        <is>
          <t>—</t>
        </is>
      </c>
      <c r="F17" s="11" t="n">
        <v>77545.88</v>
      </c>
      <c r="G17" s="6">
        <f>IF($F$108=0,0,F17/$F$108)</f>
        <v/>
      </c>
      <c r="H17" s="5" t="n">
        <v>540659.27</v>
      </c>
      <c r="I17" t="n">
        <v>2</v>
      </c>
      <c r="J17" t="n">
        <v>5</v>
      </c>
      <c r="L17" s="5" t="n">
        <v>1892307.44</v>
      </c>
    </row>
    <row r="18">
      <c r="A18" t="inlineStr">
        <is>
          <t>AREQUIPA</t>
        </is>
      </c>
      <c r="B18" t="inlineStr">
        <is>
          <t>AREQUIPA</t>
        </is>
      </c>
      <c r="C18" t="inlineStr">
        <is>
          <t>MIRAFLORES</t>
        </is>
      </c>
      <c r="D18" t="inlineStr">
        <is>
          <t>040110</t>
        </is>
      </c>
      <c r="E18" t="inlineStr">
        <is>
          <t>—</t>
        </is>
      </c>
      <c r="F18" s="11" t="n">
        <v>76440.6845</v>
      </c>
      <c r="G18" s="6">
        <f>IF($F$108=0,0,F18/$F$108)</f>
        <v/>
      </c>
      <c r="H18" s="5" t="n">
        <v>532953.71</v>
      </c>
      <c r="I18" t="n">
        <v>5</v>
      </c>
      <c r="J18" t="n">
        <v>3</v>
      </c>
      <c r="K18" t="n">
        <v>2</v>
      </c>
      <c r="L18" s="5" t="n">
        <v>1776512.37</v>
      </c>
    </row>
    <row r="19">
      <c r="A19" t="inlineStr">
        <is>
          <t>ANCASH</t>
        </is>
      </c>
      <c r="B19" t="inlineStr">
        <is>
          <t>SANTA</t>
        </is>
      </c>
      <c r="C19" t="inlineStr">
        <is>
          <t>CHIMBOTE</t>
        </is>
      </c>
      <c r="D19" t="inlineStr">
        <is>
          <t>021801</t>
        </is>
      </c>
      <c r="E19" t="inlineStr">
        <is>
          <t>—</t>
        </is>
      </c>
      <c r="F19" s="11" t="n">
        <v>74435.5184</v>
      </c>
      <c r="G19" s="6">
        <f>IF($F$108=0,0,F19/$F$108)</f>
        <v/>
      </c>
      <c r="H19" s="5" t="n">
        <v>518973.45</v>
      </c>
      <c r="I19" t="n">
        <v>5</v>
      </c>
      <c r="J19" t="n">
        <v>4</v>
      </c>
      <c r="K19" t="n">
        <v>3</v>
      </c>
      <c r="L19" s="5" t="n">
        <v>2075893.8</v>
      </c>
    </row>
    <row r="20">
      <c r="A20" t="inlineStr">
        <is>
          <t>LIMA</t>
        </is>
      </c>
      <c r="B20" t="inlineStr">
        <is>
          <t>LIMA</t>
        </is>
      </c>
      <c r="C20" t="inlineStr">
        <is>
          <t>LIMA</t>
        </is>
      </c>
      <c r="D20" t="inlineStr">
        <is>
          <t>150101</t>
        </is>
      </c>
      <c r="E20" t="inlineStr">
        <is>
          <t>—</t>
        </is>
      </c>
      <c r="F20" s="11" t="n">
        <v>73904.20819999999</v>
      </c>
      <c r="G20" s="6">
        <f>IF($F$108=0,0,F20/$F$108)</f>
        <v/>
      </c>
      <c r="H20" s="5" t="n">
        <v>515269.09</v>
      </c>
      <c r="I20" t="n">
        <v>2</v>
      </c>
      <c r="J20" t="n">
        <v>4</v>
      </c>
      <c r="L20" s="5" t="n">
        <v>1545807.28</v>
      </c>
    </row>
    <row r="21">
      <c r="A21" t="inlineStr">
        <is>
          <t>LAMBAYEQUE</t>
        </is>
      </c>
      <c r="B21" t="inlineStr">
        <is>
          <t>CHICLAYO</t>
        </is>
      </c>
      <c r="C21" t="inlineStr">
        <is>
          <t>JOSE LEONARDO ORTIZ</t>
        </is>
      </c>
      <c r="D21" t="inlineStr">
        <is>
          <t>140105</t>
        </is>
      </c>
      <c r="E21" t="inlineStr">
        <is>
          <t>—</t>
        </is>
      </c>
      <c r="F21" s="11" t="n">
        <v>72285.4837</v>
      </c>
      <c r="G21" s="6">
        <f>IF($F$108=0,0,F21/$F$108)</f>
        <v/>
      </c>
      <c r="H21" s="5" t="n">
        <v>503983.15</v>
      </c>
      <c r="I21" t="n">
        <v>1</v>
      </c>
      <c r="J21" t="n">
        <v>4</v>
      </c>
      <c r="L21" s="5" t="n">
        <v>1259957.87</v>
      </c>
    </row>
    <row r="22">
      <c r="A22" t="inlineStr">
        <is>
          <t>LA LIBERTAD</t>
        </is>
      </c>
      <c r="B22" t="inlineStr">
        <is>
          <t>TRUJILLO</t>
        </is>
      </c>
      <c r="C22" t="inlineStr">
        <is>
          <t>TRUJILLO</t>
        </is>
      </c>
      <c r="D22" t="inlineStr">
        <is>
          <t>130101</t>
        </is>
      </c>
      <c r="E22" t="inlineStr">
        <is>
          <t>—</t>
        </is>
      </c>
      <c r="F22" s="11" t="n">
        <v>71327.2985</v>
      </c>
      <c r="G22" s="6">
        <f>IF($F$108=0,0,F22/$F$108)</f>
        <v/>
      </c>
      <c r="H22" s="5" t="n">
        <v>497302.57</v>
      </c>
      <c r="I22" t="n">
        <v>1</v>
      </c>
      <c r="J22" t="n">
        <v>5</v>
      </c>
      <c r="L22" s="5" t="n">
        <v>1491907.7</v>
      </c>
    </row>
    <row r="23">
      <c r="A23" t="inlineStr">
        <is>
          <t>LIMA</t>
        </is>
      </c>
      <c r="B23" t="inlineStr">
        <is>
          <t>LIMA</t>
        </is>
      </c>
      <c r="C23" t="inlineStr">
        <is>
          <t>VILLA EL SALVADOR</t>
        </is>
      </c>
      <c r="D23" t="inlineStr">
        <is>
          <t>150142</t>
        </is>
      </c>
      <c r="E23" t="inlineStr">
        <is>
          <t>—</t>
        </is>
      </c>
      <c r="F23" s="11" t="n">
        <v>69783.59639999999</v>
      </c>
      <c r="G23" s="6">
        <f>IF($F$108=0,0,F23/$F$108)</f>
        <v/>
      </c>
      <c r="H23" s="5" t="n">
        <v>486539.69</v>
      </c>
      <c r="I23" t="n">
        <v>1</v>
      </c>
      <c r="J23" t="n">
        <v>3</v>
      </c>
      <c r="L23" s="5" t="n">
        <v>973079.37</v>
      </c>
    </row>
    <row r="24">
      <c r="A24" t="inlineStr">
        <is>
          <t>LIMA</t>
        </is>
      </c>
      <c r="B24" t="inlineStr">
        <is>
          <t>LIMA</t>
        </is>
      </c>
      <c r="C24" t="inlineStr">
        <is>
          <t>SAN MARTIN DE PORRES</t>
        </is>
      </c>
      <c r="D24" t="inlineStr">
        <is>
          <t>150135</t>
        </is>
      </c>
      <c r="E24" t="inlineStr">
        <is>
          <t>—</t>
        </is>
      </c>
      <c r="F24" s="11" t="n">
        <v>65761.12669999999</v>
      </c>
      <c r="G24" s="6">
        <f>IF($F$108=0,0,F24/$F$108)</f>
        <v/>
      </c>
      <c r="H24" s="5" t="n">
        <v>458494.54</v>
      </c>
      <c r="I24" t="n">
        <v>2</v>
      </c>
      <c r="J24" t="n">
        <v>5</v>
      </c>
      <c r="L24" s="5" t="n">
        <v>1604730.9</v>
      </c>
    </row>
    <row r="25">
      <c r="A25" t="inlineStr">
        <is>
          <t>UCAYALI</t>
        </is>
      </c>
      <c r="B25" t="inlineStr">
        <is>
          <t>CORONEL PORTILLO</t>
        </is>
      </c>
      <c r="C25" t="inlineStr">
        <is>
          <t>CALLERIA</t>
        </is>
      </c>
      <c r="D25" t="inlineStr">
        <is>
          <t>250101</t>
        </is>
      </c>
      <c r="E25" t="inlineStr">
        <is>
          <t>—</t>
        </is>
      </c>
      <c r="F25" s="11" t="n">
        <v>61411.8235</v>
      </c>
      <c r="G25" s="6">
        <f>IF($F$108=0,0,F25/$F$108)</f>
        <v/>
      </c>
      <c r="H25" s="5" t="n">
        <v>428170.67</v>
      </c>
      <c r="I25" t="n">
        <v>4</v>
      </c>
      <c r="J25" t="n">
        <v>4</v>
      </c>
      <c r="K25" t="n">
        <v>2</v>
      </c>
      <c r="L25" s="5" t="n">
        <v>1427235.58</v>
      </c>
    </row>
    <row r="26">
      <c r="A26" t="inlineStr">
        <is>
          <t>ICA</t>
        </is>
      </c>
      <c r="B26" t="inlineStr">
        <is>
          <t>ICA</t>
        </is>
      </c>
      <c r="C26" t="inlineStr">
        <is>
          <t>ICA</t>
        </is>
      </c>
      <c r="D26" t="inlineStr">
        <is>
          <t>110101</t>
        </is>
      </c>
      <c r="E26" t="inlineStr">
        <is>
          <t>—</t>
        </is>
      </c>
      <c r="F26" s="11" t="n">
        <v>61255.2018</v>
      </c>
      <c r="G26" s="6">
        <f>IF($F$108=0,0,F26/$F$108)</f>
        <v/>
      </c>
      <c r="H26" s="5" t="n">
        <v>427078.69</v>
      </c>
      <c r="I26" t="n">
        <v>1</v>
      </c>
      <c r="J26" t="n">
        <v>5</v>
      </c>
      <c r="L26" s="5" t="n">
        <v>1281236.06</v>
      </c>
    </row>
    <row r="27">
      <c r="A27" t="inlineStr">
        <is>
          <t>LIMA</t>
        </is>
      </c>
      <c r="B27" t="inlineStr">
        <is>
          <t>LIMA</t>
        </is>
      </c>
      <c r="C27" t="inlineStr">
        <is>
          <t>CARABAYLLO</t>
        </is>
      </c>
      <c r="D27" t="inlineStr">
        <is>
          <t>150106</t>
        </is>
      </c>
      <c r="E27" t="inlineStr">
        <is>
          <t>—</t>
        </is>
      </c>
      <c r="F27" s="11" t="n">
        <v>60363.5075</v>
      </c>
      <c r="G27" s="6">
        <f>IF($F$108=0,0,F27/$F$108)</f>
        <v/>
      </c>
      <c r="H27" s="5" t="n">
        <v>420861.69</v>
      </c>
      <c r="I27" t="n">
        <v>5</v>
      </c>
      <c r="J27" t="n">
        <v>3</v>
      </c>
      <c r="L27" s="5" t="n">
        <v>1683446.75</v>
      </c>
    </row>
    <row r="28">
      <c r="A28" t="inlineStr">
        <is>
          <t>AREQUIPA</t>
        </is>
      </c>
      <c r="B28" t="inlineStr">
        <is>
          <t>AREQUIPA</t>
        </is>
      </c>
      <c r="C28" t="inlineStr">
        <is>
          <t>JACOBO HUNTER</t>
        </is>
      </c>
      <c r="D28" t="inlineStr">
        <is>
          <t>040107</t>
        </is>
      </c>
      <c r="E28" t="inlineStr">
        <is>
          <t>—</t>
        </is>
      </c>
      <c r="F28" s="11" t="n">
        <v>60153.4149</v>
      </c>
      <c r="G28" s="6">
        <f>IF($F$108=0,0,F28/$F$108)</f>
        <v/>
      </c>
      <c r="H28" s="5" t="n">
        <v>419396.9</v>
      </c>
      <c r="I28" t="n">
        <v>4</v>
      </c>
      <c r="J28" t="n">
        <v>4</v>
      </c>
      <c r="L28" s="5" t="n">
        <v>1677587.58</v>
      </c>
    </row>
    <row r="29">
      <c r="A29" t="inlineStr">
        <is>
          <t>PUNO</t>
        </is>
      </c>
      <c r="B29" t="inlineStr">
        <is>
          <t>SAN ROMAN</t>
        </is>
      </c>
      <c r="C29" t="inlineStr">
        <is>
          <t>JULIACA</t>
        </is>
      </c>
      <c r="D29" t="inlineStr">
        <is>
          <t>211101</t>
        </is>
      </c>
      <c r="E29" t="inlineStr">
        <is>
          <t>—</t>
        </is>
      </c>
      <c r="F29" s="11" t="n">
        <v>59348.4746</v>
      </c>
      <c r="G29" s="6">
        <f>IF($F$108=0,0,F29/$F$108)</f>
        <v/>
      </c>
      <c r="H29" s="5" t="n">
        <v>413784.75</v>
      </c>
      <c r="I29" t="n">
        <v>3</v>
      </c>
      <c r="J29" t="n">
        <v>1</v>
      </c>
      <c r="K29" t="n">
        <v>4</v>
      </c>
      <c r="L29" s="5" t="n">
        <v>1103426.01</v>
      </c>
    </row>
    <row r="30">
      <c r="A30" t="inlineStr">
        <is>
          <t>AREQUIPA</t>
        </is>
      </c>
      <c r="B30" t="inlineStr">
        <is>
          <t>AREQUIPA</t>
        </is>
      </c>
      <c r="C30" t="inlineStr">
        <is>
          <t>ALTO SELVA ALEGRE</t>
        </is>
      </c>
      <c r="D30" t="inlineStr">
        <is>
          <t>040102</t>
        </is>
      </c>
      <c r="E30" t="inlineStr">
        <is>
          <t>—</t>
        </is>
      </c>
      <c r="F30" s="11" t="n">
        <v>58814.9872</v>
      </c>
      <c r="G30" s="6">
        <f>IF($F$108=0,0,F30/$F$108)</f>
        <v/>
      </c>
      <c r="H30" s="5" t="n">
        <v>410065.22</v>
      </c>
      <c r="I30" t="n">
        <v>5</v>
      </c>
      <c r="J30" t="n">
        <v>3</v>
      </c>
      <c r="K30" t="n">
        <v>4</v>
      </c>
      <c r="L30" s="5" t="n">
        <v>1640260.86</v>
      </c>
    </row>
    <row r="31">
      <c r="A31" t="inlineStr">
        <is>
          <t>LA LIBERTAD</t>
        </is>
      </c>
      <c r="B31" t="inlineStr">
        <is>
          <t>SANCHEZ CARRION</t>
        </is>
      </c>
      <c r="C31" t="inlineStr">
        <is>
          <t>HUAMACHUCO</t>
        </is>
      </c>
      <c r="D31" t="inlineStr">
        <is>
          <t>130901</t>
        </is>
      </c>
      <c r="E31" t="inlineStr">
        <is>
          <t>—</t>
        </is>
      </c>
      <c r="F31" s="11" t="n">
        <v>56634.6653</v>
      </c>
      <c r="G31" s="6">
        <f>IF($F$108=0,0,F31/$F$108)</f>
        <v/>
      </c>
      <c r="H31" s="5" t="n">
        <v>394863.75</v>
      </c>
      <c r="I31" t="n">
        <v>4</v>
      </c>
      <c r="J31" t="n">
        <v>4</v>
      </c>
      <c r="K31" t="n">
        <v>3</v>
      </c>
      <c r="L31" s="5" t="n">
        <v>1447833.74</v>
      </c>
    </row>
    <row r="32">
      <c r="A32" t="inlineStr">
        <is>
          <t>LIMA</t>
        </is>
      </c>
      <c r="B32" t="inlineStr">
        <is>
          <t>LIMA</t>
        </is>
      </c>
      <c r="C32" t="inlineStr">
        <is>
          <t>CHORRILLOS</t>
        </is>
      </c>
      <c r="D32" t="inlineStr">
        <is>
          <t>150108</t>
        </is>
      </c>
      <c r="E32" t="inlineStr">
        <is>
          <t>—</t>
        </is>
      </c>
      <c r="F32" s="11" t="n">
        <v>56170.3761</v>
      </c>
      <c r="G32" s="6">
        <f>IF($F$108=0,0,F32/$F$108)</f>
        <v/>
      </c>
      <c r="H32" s="5" t="n">
        <v>391626.67</v>
      </c>
      <c r="I32" t="n">
        <v>2</v>
      </c>
      <c r="J32" t="n">
        <v>4</v>
      </c>
      <c r="L32" s="5" t="n">
        <v>1174880</v>
      </c>
    </row>
    <row r="33">
      <c r="A33" t="inlineStr">
        <is>
          <t>LIMA</t>
        </is>
      </c>
      <c r="B33" t="inlineStr">
        <is>
          <t>LIMA</t>
        </is>
      </c>
      <c r="C33" t="inlineStr">
        <is>
          <t>SAN JUAN DE MIRAFLORES</t>
        </is>
      </c>
      <c r="D33" t="inlineStr">
        <is>
          <t>150133</t>
        </is>
      </c>
      <c r="E33" t="inlineStr">
        <is>
          <t>—</t>
        </is>
      </c>
      <c r="F33" s="11" t="n">
        <v>54380.1317</v>
      </c>
      <c r="G33" s="6">
        <f>IF($F$108=0,0,F33/$F$108)</f>
        <v/>
      </c>
      <c r="H33" s="5" t="n">
        <v>379144.87</v>
      </c>
      <c r="I33" t="n">
        <v>2</v>
      </c>
      <c r="J33" t="n">
        <v>3</v>
      </c>
      <c r="L33" s="5" t="n">
        <v>947862.16</v>
      </c>
    </row>
    <row r="34">
      <c r="A34" t="inlineStr">
        <is>
          <t>LIMA</t>
        </is>
      </c>
      <c r="B34" t="inlineStr">
        <is>
          <t>LIMA</t>
        </is>
      </c>
      <c r="C34" t="inlineStr">
        <is>
          <t>INDEPENDENCIA</t>
        </is>
      </c>
      <c r="D34" t="inlineStr">
        <is>
          <t>150112</t>
        </is>
      </c>
      <c r="E34" t="inlineStr">
        <is>
          <t>—</t>
        </is>
      </c>
      <c r="F34" s="11" t="n">
        <v>52949.1999</v>
      </c>
      <c r="G34" s="6">
        <f>IF($F$108=0,0,F34/$F$108)</f>
        <v/>
      </c>
      <c r="H34" s="5" t="n">
        <v>369168.24</v>
      </c>
      <c r="I34" t="n">
        <v>5</v>
      </c>
      <c r="J34" t="n">
        <v>2</v>
      </c>
      <c r="L34" s="5" t="n">
        <v>1292088.83</v>
      </c>
    </row>
    <row r="35">
      <c r="A35" t="inlineStr">
        <is>
          <t>SAN MARTIN</t>
        </is>
      </c>
      <c r="B35" t="inlineStr">
        <is>
          <t>SAN MARTIN</t>
        </is>
      </c>
      <c r="C35" t="inlineStr">
        <is>
          <t>TARAPOTO</t>
        </is>
      </c>
      <c r="D35" t="inlineStr">
        <is>
          <t>220901</t>
        </is>
      </c>
      <c r="E35" t="inlineStr">
        <is>
          <t>—</t>
        </is>
      </c>
      <c r="F35" s="11" t="n">
        <v>51479.7423</v>
      </c>
      <c r="G35" s="6">
        <f>IF($F$108=0,0,F35/$F$108)</f>
        <v/>
      </c>
      <c r="H35" s="5" t="n">
        <v>358923</v>
      </c>
      <c r="I35" t="n">
        <v>4</v>
      </c>
      <c r="J35" t="n">
        <v>4</v>
      </c>
      <c r="K35" t="n">
        <v>2</v>
      </c>
      <c r="L35" s="5" t="n">
        <v>1196410</v>
      </c>
    </row>
    <row r="36">
      <c r="A36" t="inlineStr">
        <is>
          <t>LIMA</t>
        </is>
      </c>
      <c r="B36" t="inlineStr">
        <is>
          <t>LIMA</t>
        </is>
      </c>
      <c r="C36" t="inlineStr">
        <is>
          <t>EL AGUSTINO</t>
        </is>
      </c>
      <c r="D36" t="inlineStr">
        <is>
          <t>150111</t>
        </is>
      </c>
      <c r="E36" t="inlineStr">
        <is>
          <t>—</t>
        </is>
      </c>
      <c r="F36" s="11" t="n">
        <v>51338.8905</v>
      </c>
      <c r="G36" s="6">
        <f>IF($F$108=0,0,F36/$F$108)</f>
        <v/>
      </c>
      <c r="H36" s="5" t="n">
        <v>357940.96</v>
      </c>
      <c r="I36" t="n">
        <v>2</v>
      </c>
      <c r="J36" t="n">
        <v>4</v>
      </c>
      <c r="L36" s="5" t="n">
        <v>1073822.89</v>
      </c>
    </row>
    <row r="37">
      <c r="A37" t="inlineStr">
        <is>
          <t>LIMA</t>
        </is>
      </c>
      <c r="B37" t="inlineStr">
        <is>
          <t>LIMA</t>
        </is>
      </c>
      <c r="C37" t="inlineStr">
        <is>
          <t>SANTA ANITA</t>
        </is>
      </c>
      <c r="D37" t="inlineStr">
        <is>
          <t>150137</t>
        </is>
      </c>
      <c r="E37" t="inlineStr">
        <is>
          <t>—</t>
        </is>
      </c>
      <c r="F37" s="11" t="n">
        <v>51176.7998</v>
      </c>
      <c r="G37" s="6">
        <f>IF($F$108=0,0,F37/$F$108)</f>
        <v/>
      </c>
      <c r="H37" s="5" t="n">
        <v>356810.85</v>
      </c>
      <c r="I37" t="n">
        <v>2</v>
      </c>
      <c r="J37" t="n">
        <v>4</v>
      </c>
      <c r="L37" s="5" t="n">
        <v>1070432.54</v>
      </c>
    </row>
    <row r="38">
      <c r="A38" t="inlineStr">
        <is>
          <t>ICA</t>
        </is>
      </c>
      <c r="B38" t="inlineStr">
        <is>
          <t>PISCO</t>
        </is>
      </c>
      <c r="C38" t="inlineStr">
        <is>
          <t>PISCO</t>
        </is>
      </c>
      <c r="D38" t="inlineStr">
        <is>
          <t>110501</t>
        </is>
      </c>
      <c r="E38" t="inlineStr">
        <is>
          <t>—</t>
        </is>
      </c>
      <c r="F38" s="11" t="n">
        <v>50581.3826</v>
      </c>
      <c r="G38" s="6">
        <f>IF($F$108=0,0,F38/$F$108)</f>
        <v/>
      </c>
      <c r="H38" s="5" t="n">
        <v>352659.53</v>
      </c>
      <c r="I38" t="n">
        <v>3</v>
      </c>
      <c r="J38" t="n">
        <v>5</v>
      </c>
      <c r="L38" s="5" t="n">
        <v>1410638.11</v>
      </c>
    </row>
    <row r="39">
      <c r="A39" t="inlineStr">
        <is>
          <t>CAJAMARCA</t>
        </is>
      </c>
      <c r="B39" t="inlineStr">
        <is>
          <t>CHOTA</t>
        </is>
      </c>
      <c r="C39" t="inlineStr">
        <is>
          <t>CHOTA</t>
        </is>
      </c>
      <c r="D39" t="inlineStr">
        <is>
          <t>060401</t>
        </is>
      </c>
      <c r="E39" t="inlineStr">
        <is>
          <t>—</t>
        </is>
      </c>
      <c r="F39" s="11" t="n">
        <v>49054.0042</v>
      </c>
      <c r="G39" s="6">
        <f>IF($F$108=0,0,F39/$F$108)</f>
        <v/>
      </c>
      <c r="H39" s="5" t="n">
        <v>342010.46</v>
      </c>
      <c r="I39" t="n">
        <v>4</v>
      </c>
      <c r="J39" t="n">
        <v>3</v>
      </c>
      <c r="K39" t="n">
        <v>3</v>
      </c>
      <c r="L39" s="5" t="n">
        <v>1140034.87</v>
      </c>
    </row>
    <row r="40">
      <c r="A40" t="inlineStr">
        <is>
          <t>LIMA</t>
        </is>
      </c>
      <c r="B40" t="inlineStr">
        <is>
          <t>LIMA</t>
        </is>
      </c>
      <c r="C40" t="inlineStr">
        <is>
          <t>PACHACAMAC</t>
        </is>
      </c>
      <c r="D40" t="inlineStr">
        <is>
          <t>150123</t>
        </is>
      </c>
      <c r="E40" t="inlineStr">
        <is>
          <t>—</t>
        </is>
      </c>
      <c r="F40" s="11" t="n">
        <v>47665.0667</v>
      </c>
      <c r="G40" s="6">
        <f>IF($F$108=0,0,F40/$F$108)</f>
        <v/>
      </c>
      <c r="H40" s="5" t="n">
        <v>332326.62</v>
      </c>
      <c r="I40" t="n">
        <v>4</v>
      </c>
      <c r="J40" t="n">
        <v>2</v>
      </c>
      <c r="L40" s="5" t="n">
        <v>996979.86</v>
      </c>
    </row>
    <row r="41">
      <c r="A41" t="inlineStr">
        <is>
          <t>CALLAO</t>
        </is>
      </c>
      <c r="B41" t="inlineStr">
        <is>
          <t>CALLAO</t>
        </is>
      </c>
      <c r="C41" t="inlineStr">
        <is>
          <t>BELLAVISTA</t>
        </is>
      </c>
      <c r="D41" t="inlineStr">
        <is>
          <t>070102</t>
        </is>
      </c>
      <c r="E41" t="inlineStr">
        <is>
          <t>—</t>
        </is>
      </c>
      <c r="F41" s="11" t="n">
        <v>47443.383</v>
      </c>
      <c r="G41" s="6">
        <f>IF($F$108=0,0,F41/$F$108)</f>
        <v/>
      </c>
      <c r="H41" s="5" t="n">
        <v>330781.01</v>
      </c>
      <c r="I41" t="n">
        <v>1</v>
      </c>
      <c r="J41" t="n">
        <v>4</v>
      </c>
      <c r="L41" s="5" t="n">
        <v>826952.53</v>
      </c>
    </row>
    <row r="42">
      <c r="A42" t="inlineStr">
        <is>
          <t>LIMA</t>
        </is>
      </c>
      <c r="B42" t="inlineStr">
        <is>
          <t>LIMA</t>
        </is>
      </c>
      <c r="C42" t="inlineStr">
        <is>
          <t>LURIN</t>
        </is>
      </c>
      <c r="D42" t="inlineStr">
        <is>
          <t>150119</t>
        </is>
      </c>
      <c r="E42" t="inlineStr">
        <is>
          <t>—</t>
        </is>
      </c>
      <c r="F42" s="11" t="n">
        <v>45824.896</v>
      </c>
      <c r="G42" s="6">
        <f>IF($F$108=0,0,F42/$F$108)</f>
        <v/>
      </c>
      <c r="H42" s="5" t="n">
        <v>319496.73</v>
      </c>
      <c r="I42" t="n">
        <v>3</v>
      </c>
      <c r="J42" t="n">
        <v>3</v>
      </c>
      <c r="L42" s="5" t="n">
        <v>958490.1800000001</v>
      </c>
    </row>
    <row r="43">
      <c r="A43" t="inlineStr">
        <is>
          <t>LAMBAYEQUE</t>
        </is>
      </c>
      <c r="B43" t="inlineStr">
        <is>
          <t>LAMBAYEQUE</t>
        </is>
      </c>
      <c r="C43" t="inlineStr">
        <is>
          <t>LAMBAYEQUE</t>
        </is>
      </c>
      <c r="D43" t="inlineStr">
        <is>
          <t>140301</t>
        </is>
      </c>
      <c r="E43" t="inlineStr">
        <is>
          <t>—</t>
        </is>
      </c>
      <c r="F43" s="11" t="n">
        <v>45642.71</v>
      </c>
      <c r="G43" s="6">
        <f>IF($F$108=0,0,F43/$F$108)</f>
        <v/>
      </c>
      <c r="H43" s="5" t="n">
        <v>318226.5</v>
      </c>
      <c r="I43" t="n">
        <v>1</v>
      </c>
      <c r="J43" t="n">
        <v>4</v>
      </c>
      <c r="L43" s="5" t="n">
        <v>795566.26</v>
      </c>
    </row>
    <row r="44">
      <c r="A44" t="inlineStr">
        <is>
          <t>JUNIN</t>
        </is>
      </c>
      <c r="B44" t="inlineStr">
        <is>
          <t>HUANCAYO</t>
        </is>
      </c>
      <c r="C44" t="inlineStr">
        <is>
          <t>HUANCAYO</t>
        </is>
      </c>
      <c r="D44" t="inlineStr">
        <is>
          <t>120101</t>
        </is>
      </c>
      <c r="E44" t="inlineStr">
        <is>
          <t>—</t>
        </is>
      </c>
      <c r="F44" s="11" t="n">
        <v>45147.3638</v>
      </c>
      <c r="G44" s="6">
        <f>IF($F$108=0,0,F44/$F$108)</f>
        <v/>
      </c>
      <c r="H44" s="5" t="n">
        <v>314772.89</v>
      </c>
      <c r="I44" t="n">
        <v>4</v>
      </c>
      <c r="J44" t="n">
        <v>2</v>
      </c>
      <c r="K44" t="n">
        <v>3</v>
      </c>
      <c r="L44" s="5" t="n">
        <v>944318.67</v>
      </c>
    </row>
    <row r="45">
      <c r="A45" t="inlineStr">
        <is>
          <t>PIURA</t>
        </is>
      </c>
      <c r="B45" t="inlineStr">
        <is>
          <t>PIURA</t>
        </is>
      </c>
      <c r="C45" t="inlineStr">
        <is>
          <t>PIURA</t>
        </is>
      </c>
      <c r="D45" t="inlineStr">
        <is>
          <t>200101</t>
        </is>
      </c>
      <c r="E45" t="inlineStr">
        <is>
          <t>—</t>
        </is>
      </c>
      <c r="F45" s="11" t="n">
        <v>44900.2881</v>
      </c>
      <c r="G45" s="6">
        <f>IF($F$108=0,0,F45/$F$108)</f>
        <v/>
      </c>
      <c r="H45" s="5" t="n">
        <v>313050.25</v>
      </c>
      <c r="I45" t="n">
        <v>1</v>
      </c>
      <c r="J45" t="n">
        <v>5</v>
      </c>
      <c r="L45" s="5" t="n">
        <v>939150.74</v>
      </c>
    </row>
    <row r="46">
      <c r="A46" t="inlineStr">
        <is>
          <t>AREQUIPA</t>
        </is>
      </c>
      <c r="B46" t="inlineStr">
        <is>
          <t>CAMANA</t>
        </is>
      </c>
      <c r="C46" t="inlineStr">
        <is>
          <t>CAMANA</t>
        </is>
      </c>
      <c r="D46" t="inlineStr">
        <is>
          <t>040201</t>
        </is>
      </c>
      <c r="E46" t="inlineStr">
        <is>
          <t>—</t>
        </is>
      </c>
      <c r="F46" s="11" t="n">
        <v>44494.1572</v>
      </c>
      <c r="G46" s="6">
        <f>IF($F$108=0,0,F46/$F$108)</f>
        <v/>
      </c>
      <c r="H46" s="5" t="n">
        <v>310218.65</v>
      </c>
      <c r="I46" t="n">
        <v>4</v>
      </c>
      <c r="J46" t="n">
        <v>4</v>
      </c>
      <c r="L46" s="5" t="n">
        <v>1240874.62</v>
      </c>
    </row>
    <row r="47">
      <c r="A47" t="inlineStr">
        <is>
          <t>CAJAMARCA</t>
        </is>
      </c>
      <c r="B47" t="inlineStr">
        <is>
          <t>CAJAMARCA</t>
        </is>
      </c>
      <c r="C47" t="inlineStr">
        <is>
          <t>CAJAMARCA</t>
        </is>
      </c>
      <c r="D47" t="inlineStr">
        <is>
          <t>060101</t>
        </is>
      </c>
      <c r="E47" t="inlineStr">
        <is>
          <t>—</t>
        </is>
      </c>
      <c r="F47" s="11" t="n">
        <v>43839.6983</v>
      </c>
      <c r="G47" s="6">
        <f>IF($F$108=0,0,F47/$F$108)</f>
        <v/>
      </c>
      <c r="H47" s="5" t="n">
        <v>305655.69</v>
      </c>
      <c r="I47" t="n">
        <v>4</v>
      </c>
      <c r="J47" t="n">
        <v>4</v>
      </c>
      <c r="K47" t="n">
        <v>3</v>
      </c>
      <c r="L47" s="5" t="n">
        <v>1120737.52</v>
      </c>
    </row>
    <row r="48">
      <c r="A48" t="inlineStr">
        <is>
          <t>PIURA</t>
        </is>
      </c>
      <c r="B48" t="inlineStr">
        <is>
          <t>PIURA</t>
        </is>
      </c>
      <c r="C48" t="inlineStr">
        <is>
          <t>CASTILLA</t>
        </is>
      </c>
      <c r="D48" t="inlineStr">
        <is>
          <t>200104</t>
        </is>
      </c>
      <c r="E48" t="inlineStr">
        <is>
          <t>—</t>
        </is>
      </c>
      <c r="F48" s="11" t="n">
        <v>41939.6126</v>
      </c>
      <c r="G48" s="6">
        <f>IF($F$108=0,0,F48/$F$108)</f>
        <v/>
      </c>
      <c r="H48" s="5" t="n">
        <v>292408.06</v>
      </c>
      <c r="I48" t="n">
        <v>2</v>
      </c>
      <c r="J48" t="n">
        <v>5</v>
      </c>
      <c r="L48" s="5" t="n">
        <v>1023428.21</v>
      </c>
    </row>
    <row r="49">
      <c r="A49" t="inlineStr">
        <is>
          <t>PUNO</t>
        </is>
      </c>
      <c r="B49" t="inlineStr">
        <is>
          <t>PUNO</t>
        </is>
      </c>
      <c r="C49" t="inlineStr">
        <is>
          <t>PUNO</t>
        </is>
      </c>
      <c r="D49" t="inlineStr">
        <is>
          <t>210101</t>
        </is>
      </c>
      <c r="E49" t="inlineStr">
        <is>
          <t>—</t>
        </is>
      </c>
      <c r="F49" s="11" t="n">
        <v>41353.6833</v>
      </c>
      <c r="G49" s="6">
        <f>IF($F$108=0,0,F49/$F$108)</f>
        <v/>
      </c>
      <c r="H49" s="5" t="n">
        <v>288322.89</v>
      </c>
      <c r="I49" t="n">
        <v>4</v>
      </c>
      <c r="J49" t="n">
        <v>3</v>
      </c>
      <c r="K49" t="n">
        <v>3</v>
      </c>
      <c r="L49" s="5" t="n">
        <v>961076.3</v>
      </c>
    </row>
    <row r="50">
      <c r="A50" t="inlineStr">
        <is>
          <t>LA LIBERTAD</t>
        </is>
      </c>
      <c r="B50" t="inlineStr">
        <is>
          <t>TRUJILLO</t>
        </is>
      </c>
      <c r="C50" t="inlineStr">
        <is>
          <t>LA ESPERANZA</t>
        </is>
      </c>
      <c r="D50" t="inlineStr">
        <is>
          <t>130105</t>
        </is>
      </c>
      <c r="E50" t="inlineStr">
        <is>
          <t>—</t>
        </is>
      </c>
      <c r="F50" s="11" t="n">
        <v>40157.3343</v>
      </c>
      <c r="G50" s="6">
        <f>IF($F$108=0,0,F50/$F$108)</f>
        <v/>
      </c>
      <c r="H50" s="5" t="n">
        <v>279981.8</v>
      </c>
      <c r="I50" t="n">
        <v>1</v>
      </c>
      <c r="J50" t="n">
        <v>4</v>
      </c>
      <c r="L50" s="5" t="n">
        <v>699954.5</v>
      </c>
    </row>
    <row r="51">
      <c r="A51" t="inlineStr">
        <is>
          <t>TACNA</t>
        </is>
      </c>
      <c r="B51" t="inlineStr">
        <is>
          <t>TACNA</t>
        </is>
      </c>
      <c r="C51" t="inlineStr">
        <is>
          <t>TACNA</t>
        </is>
      </c>
      <c r="D51" t="inlineStr">
        <is>
          <t>230101</t>
        </is>
      </c>
      <c r="E51" t="inlineStr">
        <is>
          <t>—</t>
        </is>
      </c>
      <c r="F51" s="11" t="n">
        <v>39661.9622</v>
      </c>
      <c r="G51" s="6">
        <f>IF($F$108=0,0,F51/$F$108)</f>
        <v/>
      </c>
      <c r="H51" s="5" t="n">
        <v>276528.01</v>
      </c>
      <c r="I51" t="n">
        <v>3</v>
      </c>
      <c r="J51" t="n">
        <v>3</v>
      </c>
      <c r="L51" s="5" t="n">
        <v>829584.02</v>
      </c>
    </row>
    <row r="52">
      <c r="A52" t="inlineStr">
        <is>
          <t>LORETO</t>
        </is>
      </c>
      <c r="B52" t="inlineStr">
        <is>
          <t>MAYNAS</t>
        </is>
      </c>
      <c r="C52" t="inlineStr">
        <is>
          <t>IQUITOS</t>
        </is>
      </c>
      <c r="D52" t="inlineStr">
        <is>
          <t>160101</t>
        </is>
      </c>
      <c r="E52" t="inlineStr">
        <is>
          <t>—</t>
        </is>
      </c>
      <c r="F52" s="11" t="n">
        <v>39056.0698</v>
      </c>
      <c r="G52" s="6">
        <f>IF($F$108=0,0,F52/$F$108)</f>
        <v/>
      </c>
      <c r="H52" s="5" t="n">
        <v>272303.65</v>
      </c>
      <c r="I52" t="n">
        <v>3</v>
      </c>
      <c r="J52" t="n">
        <v>4</v>
      </c>
      <c r="K52" t="n">
        <v>2</v>
      </c>
      <c r="L52" s="5" t="n">
        <v>816910.95</v>
      </c>
    </row>
    <row r="53">
      <c r="A53" t="inlineStr">
        <is>
          <t>LA LIBERTAD</t>
        </is>
      </c>
      <c r="B53" t="inlineStr">
        <is>
          <t>CHEPEN</t>
        </is>
      </c>
      <c r="C53" t="inlineStr">
        <is>
          <t>CHEPEN</t>
        </is>
      </c>
      <c r="D53" t="inlineStr">
        <is>
          <t>130401</t>
        </is>
      </c>
      <c r="E53" t="inlineStr">
        <is>
          <t>—</t>
        </is>
      </c>
      <c r="F53" s="11" t="n">
        <v>38972.5214</v>
      </c>
      <c r="G53" s="6">
        <f>IF($F$108=0,0,F53/$F$108)</f>
        <v/>
      </c>
      <c r="H53" s="5" t="n">
        <v>271721.14</v>
      </c>
      <c r="I53" t="n">
        <v>5</v>
      </c>
      <c r="J53" t="n">
        <v>4</v>
      </c>
      <c r="L53" s="5" t="n">
        <v>1222745.13</v>
      </c>
    </row>
    <row r="54">
      <c r="A54" t="inlineStr">
        <is>
          <t>AYACUCHO</t>
        </is>
      </c>
      <c r="B54" t="inlineStr">
        <is>
          <t>HUAMANGA</t>
        </is>
      </c>
      <c r="C54" t="inlineStr">
        <is>
          <t>AYACUCHO</t>
        </is>
      </c>
      <c r="D54" t="inlineStr">
        <is>
          <t>050101</t>
        </is>
      </c>
      <c r="E54" t="inlineStr">
        <is>
          <t>—</t>
        </is>
      </c>
      <c r="F54" s="11" t="n">
        <v>38873.9916</v>
      </c>
      <c r="G54" s="6">
        <f>IF($F$108=0,0,F54/$F$108)</f>
        <v/>
      </c>
      <c r="H54" s="5" t="n">
        <v>271034.18</v>
      </c>
      <c r="I54" t="n">
        <v>4</v>
      </c>
      <c r="J54" t="n">
        <v>3</v>
      </c>
      <c r="K54" t="n">
        <v>4</v>
      </c>
      <c r="L54" s="5" t="n">
        <v>993791.99</v>
      </c>
    </row>
    <row r="55">
      <c r="A55" t="inlineStr">
        <is>
          <t>CUSCO</t>
        </is>
      </c>
      <c r="B55" t="inlineStr">
        <is>
          <t>CUSCO</t>
        </is>
      </c>
      <c r="C55" t="inlineStr">
        <is>
          <t>SAN JERONIMO</t>
        </is>
      </c>
      <c r="D55" t="inlineStr">
        <is>
          <t>080104</t>
        </is>
      </c>
      <c r="E55" t="inlineStr">
        <is>
          <t>—</t>
        </is>
      </c>
      <c r="F55" s="11" t="n">
        <v>38836.7075</v>
      </c>
      <c r="G55" s="6">
        <f>IF($F$108=0,0,F55/$F$108)</f>
        <v/>
      </c>
      <c r="H55" s="5" t="n">
        <v>270774.23</v>
      </c>
      <c r="I55" t="n">
        <v>4</v>
      </c>
      <c r="J55" t="n">
        <v>2</v>
      </c>
      <c r="K55" t="n">
        <v>3</v>
      </c>
      <c r="L55" s="5" t="n">
        <v>812322.6899999999</v>
      </c>
    </row>
    <row r="56">
      <c r="A56" t="inlineStr">
        <is>
          <t>AREQUIPA</t>
        </is>
      </c>
      <c r="B56" t="inlineStr">
        <is>
          <t>CAYLLOMA</t>
        </is>
      </c>
      <c r="C56" t="inlineStr">
        <is>
          <t>MAJES</t>
        </is>
      </c>
      <c r="D56" t="inlineStr">
        <is>
          <t>040520</t>
        </is>
      </c>
      <c r="E56" t="inlineStr">
        <is>
          <t>—</t>
        </is>
      </c>
      <c r="F56" s="11" t="n">
        <v>38442.1746</v>
      </c>
      <c r="G56" s="6">
        <f>IF($F$108=0,0,F56/$F$108)</f>
        <v/>
      </c>
      <c r="H56" s="5" t="n">
        <v>268023.5</v>
      </c>
      <c r="I56" t="n">
        <v>4</v>
      </c>
      <c r="J56" t="n">
        <v>4</v>
      </c>
      <c r="L56" s="5" t="n">
        <v>1072093.99</v>
      </c>
    </row>
    <row r="57">
      <c r="A57" t="inlineStr">
        <is>
          <t>HUANUCO</t>
        </is>
      </c>
      <c r="B57" t="inlineStr">
        <is>
          <t>HUANUCO</t>
        </is>
      </c>
      <c r="C57" t="inlineStr">
        <is>
          <t>HUANUCO</t>
        </is>
      </c>
      <c r="D57" t="inlineStr">
        <is>
          <t>100101</t>
        </is>
      </c>
      <c r="E57" t="inlineStr">
        <is>
          <t>—</t>
        </is>
      </c>
      <c r="F57" s="11" t="n">
        <v>37685.2218</v>
      </c>
      <c r="G57" s="6">
        <f>IF($F$108=0,0,F57/$F$108)</f>
        <v/>
      </c>
      <c r="H57" s="5" t="n">
        <v>262745.93</v>
      </c>
      <c r="I57" t="n">
        <v>4</v>
      </c>
      <c r="J57" t="n">
        <v>3</v>
      </c>
      <c r="K57" t="n">
        <v>4</v>
      </c>
      <c r="L57" s="5" t="n">
        <v>963401.75</v>
      </c>
    </row>
    <row r="58">
      <c r="A58" t="inlineStr">
        <is>
          <t>SAN MARTIN</t>
        </is>
      </c>
      <c r="B58" t="inlineStr">
        <is>
          <t>MOYOBAMBA</t>
        </is>
      </c>
      <c r="C58" t="inlineStr">
        <is>
          <t>MOYOBAMBA</t>
        </is>
      </c>
      <c r="D58" t="inlineStr">
        <is>
          <t>220101</t>
        </is>
      </c>
      <c r="E58" t="inlineStr">
        <is>
          <t>—</t>
        </is>
      </c>
      <c r="F58" s="11" t="n">
        <v>37483.5673</v>
      </c>
      <c r="G58" s="6">
        <f>IF($F$108=0,0,F58/$F$108)</f>
        <v/>
      </c>
      <c r="H58" s="5" t="n">
        <v>261339.97</v>
      </c>
      <c r="I58" t="n">
        <v>4</v>
      </c>
      <c r="J58" t="n">
        <v>4</v>
      </c>
      <c r="K58" t="n">
        <v>2</v>
      </c>
      <c r="L58" s="5" t="n">
        <v>871133.24</v>
      </c>
    </row>
    <row r="59">
      <c r="A59" t="inlineStr">
        <is>
          <t>ICA</t>
        </is>
      </c>
      <c r="B59" t="inlineStr">
        <is>
          <t>CHINCHA</t>
        </is>
      </c>
      <c r="C59" t="inlineStr">
        <is>
          <t>CHINCHA ALTA</t>
        </is>
      </c>
      <c r="D59" t="inlineStr">
        <is>
          <t>110201</t>
        </is>
      </c>
      <c r="E59" t="inlineStr">
        <is>
          <t>—</t>
        </is>
      </c>
      <c r="F59" s="11" t="n">
        <v>36820.1408</v>
      </c>
      <c r="G59" s="6">
        <f>IF($F$108=0,0,F59/$F$108)</f>
        <v/>
      </c>
      <c r="H59" s="5" t="n">
        <v>256714.48</v>
      </c>
      <c r="I59" t="n">
        <v>4</v>
      </c>
      <c r="J59" t="n">
        <v>4</v>
      </c>
      <c r="L59" s="5" t="n">
        <v>1026857.93</v>
      </c>
    </row>
    <row r="60">
      <c r="A60" t="inlineStr">
        <is>
          <t>HUANUCO</t>
        </is>
      </c>
      <c r="B60" t="inlineStr">
        <is>
          <t>LEONCIO PRADO</t>
        </is>
      </c>
      <c r="C60" t="inlineStr">
        <is>
          <t>RUPA-RUPA</t>
        </is>
      </c>
      <c r="D60" t="inlineStr">
        <is>
          <t>100601</t>
        </is>
      </c>
      <c r="E60" t="inlineStr">
        <is>
          <t>—</t>
        </is>
      </c>
      <c r="F60" s="11" t="n">
        <v>36175.7055</v>
      </c>
      <c r="G60" s="6">
        <f>IF($F$108=0,0,F60/$F$108)</f>
        <v/>
      </c>
      <c r="H60" s="5" t="n">
        <v>252221.4</v>
      </c>
      <c r="I60" t="n">
        <v>4</v>
      </c>
      <c r="J60" t="n">
        <v>3</v>
      </c>
      <c r="K60" t="n">
        <v>2</v>
      </c>
      <c r="L60" s="5" t="n">
        <v>756664.2</v>
      </c>
    </row>
    <row r="61">
      <c r="A61" t="inlineStr">
        <is>
          <t>CAJAMARCA</t>
        </is>
      </c>
      <c r="B61" t="inlineStr">
        <is>
          <t>JAEN</t>
        </is>
      </c>
      <c r="C61" t="inlineStr">
        <is>
          <t>JAEN</t>
        </is>
      </c>
      <c r="D61" t="inlineStr">
        <is>
          <t>060801</t>
        </is>
      </c>
      <c r="E61" t="inlineStr">
        <is>
          <t>—</t>
        </is>
      </c>
      <c r="F61" s="11" t="n">
        <v>35508.3412</v>
      </c>
      <c r="G61" s="6">
        <f>IF($F$108=0,0,F61/$F$108)</f>
        <v/>
      </c>
      <c r="H61" s="5" t="n">
        <v>247568.46</v>
      </c>
      <c r="I61" t="n">
        <v>4</v>
      </c>
      <c r="J61" t="n">
        <v>3</v>
      </c>
      <c r="K61" t="n">
        <v>2</v>
      </c>
      <c r="L61" s="5" t="n">
        <v>742705.37</v>
      </c>
    </row>
    <row r="62">
      <c r="A62" t="inlineStr">
        <is>
          <t>LIMA</t>
        </is>
      </c>
      <c r="B62" t="inlineStr">
        <is>
          <t>HUAROCHIRI</t>
        </is>
      </c>
      <c r="C62" t="inlineStr">
        <is>
          <t>SAN ANTONIO</t>
        </is>
      </c>
      <c r="D62" t="inlineStr">
        <is>
          <t>150716</t>
        </is>
      </c>
      <c r="E62" t="inlineStr">
        <is>
          <t>—</t>
        </is>
      </c>
      <c r="F62" s="11" t="n">
        <v>35487.4943</v>
      </c>
      <c r="G62" s="6">
        <f>IF($F$108=0,0,F62/$F$108)</f>
        <v/>
      </c>
      <c r="H62" s="5" t="n">
        <v>247423.11</v>
      </c>
      <c r="I62" t="n">
        <v>4</v>
      </c>
      <c r="J62" t="n">
        <v>1</v>
      </c>
      <c r="K62" t="n">
        <v>4</v>
      </c>
      <c r="L62" s="5" t="n">
        <v>742269.33</v>
      </c>
    </row>
    <row r="63">
      <c r="A63" t="inlineStr">
        <is>
          <t>LA LIBERTAD</t>
        </is>
      </c>
      <c r="B63" t="inlineStr">
        <is>
          <t>TRUJILLO</t>
        </is>
      </c>
      <c r="C63" t="inlineStr">
        <is>
          <t>EL PORVENIR</t>
        </is>
      </c>
      <c r="D63" t="inlineStr">
        <is>
          <t>130102</t>
        </is>
      </c>
      <c r="E63" t="inlineStr">
        <is>
          <t>—</t>
        </is>
      </c>
      <c r="F63" s="11" t="n">
        <v>34190.8223</v>
      </c>
      <c r="G63" s="6">
        <f>IF($F$108=0,0,F63/$F$108)</f>
        <v/>
      </c>
      <c r="H63" s="5" t="n">
        <v>238382.55</v>
      </c>
      <c r="I63" t="n">
        <v>5</v>
      </c>
      <c r="J63" t="n">
        <v>4</v>
      </c>
      <c r="L63" s="5" t="n">
        <v>1072721.5</v>
      </c>
    </row>
    <row r="64">
      <c r="A64" t="inlineStr">
        <is>
          <t>CUSCO</t>
        </is>
      </c>
      <c r="B64" t="inlineStr">
        <is>
          <t>CUSCO</t>
        </is>
      </c>
      <c r="C64" t="inlineStr">
        <is>
          <t>CUSCO</t>
        </is>
      </c>
      <c r="D64" t="inlineStr">
        <is>
          <t>080101</t>
        </is>
      </c>
      <c r="E64" t="inlineStr">
        <is>
          <t>—</t>
        </is>
      </c>
      <c r="F64" s="11" t="n">
        <v>31470.5253</v>
      </c>
      <c r="G64" s="6">
        <f>IF($F$108=0,0,F64/$F$108)</f>
        <v/>
      </c>
      <c r="H64" s="5" t="n">
        <v>219416.31</v>
      </c>
      <c r="I64" t="n">
        <v>4</v>
      </c>
      <c r="J64" t="n">
        <v>2</v>
      </c>
      <c r="K64" t="n">
        <v>3</v>
      </c>
      <c r="L64" s="5" t="n">
        <v>658248.9399999999</v>
      </c>
    </row>
    <row r="65">
      <c r="A65" t="inlineStr">
        <is>
          <t>LA LIBERTAD</t>
        </is>
      </c>
      <c r="B65" t="inlineStr">
        <is>
          <t>ASCOPE</t>
        </is>
      </c>
      <c r="C65" t="inlineStr">
        <is>
          <t>CHOCOPE</t>
        </is>
      </c>
      <c r="D65" t="inlineStr">
        <is>
          <t>130203</t>
        </is>
      </c>
      <c r="E65" t="inlineStr">
        <is>
          <t>—</t>
        </is>
      </c>
      <c r="F65" s="11" t="n">
        <v>29769.0666</v>
      </c>
      <c r="G65" s="6">
        <f>IF($F$108=0,0,F65/$F$108)</f>
        <v/>
      </c>
      <c r="H65" s="5" t="n">
        <v>207553.54</v>
      </c>
      <c r="I65" t="n">
        <v>1</v>
      </c>
      <c r="J65" t="n">
        <v>5</v>
      </c>
      <c r="L65" s="5" t="n">
        <v>622660.62</v>
      </c>
    </row>
    <row r="66">
      <c r="A66" t="inlineStr">
        <is>
          <t>TUMBES</t>
        </is>
      </c>
      <c r="B66" t="inlineStr">
        <is>
          <t>TUMBES</t>
        </is>
      </c>
      <c r="C66" t="inlineStr">
        <is>
          <t>TUMBES</t>
        </is>
      </c>
      <c r="D66" t="inlineStr">
        <is>
          <t>240101</t>
        </is>
      </c>
      <c r="E66" t="inlineStr">
        <is>
          <t>—</t>
        </is>
      </c>
      <c r="F66" s="11" t="n">
        <v>28521.7569</v>
      </c>
      <c r="G66" s="6">
        <f>IF($F$108=0,0,F66/$F$108)</f>
        <v/>
      </c>
      <c r="H66" s="5" t="n">
        <v>198857.14</v>
      </c>
      <c r="I66" t="n">
        <v>3</v>
      </c>
      <c r="J66" t="n">
        <v>5</v>
      </c>
      <c r="K66" t="n">
        <v>4</v>
      </c>
      <c r="L66" s="5" t="n">
        <v>795428.58</v>
      </c>
    </row>
    <row r="67">
      <c r="A67" t="inlineStr">
        <is>
          <t>ANCASH</t>
        </is>
      </c>
      <c r="B67" t="inlineStr">
        <is>
          <t>SANTA</t>
        </is>
      </c>
      <c r="C67" t="inlineStr">
        <is>
          <t>NUEVO CHIMBOTE</t>
        </is>
      </c>
      <c r="D67" t="inlineStr">
        <is>
          <t>021809</t>
        </is>
      </c>
      <c r="E67" t="inlineStr">
        <is>
          <t>—</t>
        </is>
      </c>
      <c r="F67" s="11" t="n">
        <v>25472.9121</v>
      </c>
      <c r="G67" s="6">
        <f>IF($F$108=0,0,F67/$F$108)</f>
        <v/>
      </c>
      <c r="H67" s="5" t="n">
        <v>177600.23</v>
      </c>
      <c r="I67" t="n">
        <v>2</v>
      </c>
      <c r="J67" t="n">
        <v>3</v>
      </c>
      <c r="L67" s="5" t="n">
        <v>444000.57</v>
      </c>
    </row>
    <row r="68">
      <c r="A68" t="inlineStr">
        <is>
          <t>ANCASH</t>
        </is>
      </c>
      <c r="B68" t="inlineStr">
        <is>
          <t>HUARAZ</t>
        </is>
      </c>
      <c r="C68" t="inlineStr">
        <is>
          <t>HUARAZ</t>
        </is>
      </c>
      <c r="D68" t="inlineStr">
        <is>
          <t>020101</t>
        </is>
      </c>
      <c r="E68" t="inlineStr">
        <is>
          <t>—</t>
        </is>
      </c>
      <c r="F68" s="11" t="n">
        <v>25378.7635</v>
      </c>
      <c r="G68" s="6">
        <f>IF($F$108=0,0,F68/$F$108)</f>
        <v/>
      </c>
      <c r="H68" s="5" t="n">
        <v>176943.81</v>
      </c>
      <c r="I68" t="n">
        <v>4</v>
      </c>
      <c r="J68" t="n">
        <v>3</v>
      </c>
      <c r="K68" t="n">
        <v>4</v>
      </c>
      <c r="L68" s="5" t="n">
        <v>648793.98</v>
      </c>
    </row>
    <row r="69">
      <c r="A69" t="inlineStr">
        <is>
          <t>MADRE DE DIOS</t>
        </is>
      </c>
      <c r="B69" t="inlineStr">
        <is>
          <t>TAMBOPATA</t>
        </is>
      </c>
      <c r="C69" t="inlineStr">
        <is>
          <t>TAMBOPATA</t>
        </is>
      </c>
      <c r="D69" t="inlineStr">
        <is>
          <t>170101</t>
        </is>
      </c>
      <c r="E69" t="inlineStr">
        <is>
          <t>—</t>
        </is>
      </c>
      <c r="F69" s="11" t="n">
        <v>24275.6966</v>
      </c>
      <c r="G69" s="6">
        <f>IF($F$108=0,0,F69/$F$108)</f>
        <v/>
      </c>
      <c r="H69" s="5" t="n">
        <v>169253.1</v>
      </c>
      <c r="I69" t="n">
        <v>3</v>
      </c>
      <c r="J69" t="n">
        <v>2</v>
      </c>
      <c r="K69" t="n">
        <v>2</v>
      </c>
      <c r="L69" s="5" t="n">
        <v>394923.89</v>
      </c>
    </row>
    <row r="70">
      <c r="A70" t="inlineStr">
        <is>
          <t>LORETO</t>
        </is>
      </c>
      <c r="B70" t="inlineStr">
        <is>
          <t>MAYNAS</t>
        </is>
      </c>
      <c r="C70" t="inlineStr">
        <is>
          <t>SAN JUAN BAUTISTA</t>
        </is>
      </c>
      <c r="D70" t="inlineStr">
        <is>
          <t>160113</t>
        </is>
      </c>
      <c r="E70" t="inlineStr">
        <is>
          <t>—</t>
        </is>
      </c>
      <c r="F70" s="11" t="n">
        <v>22456.016</v>
      </c>
      <c r="G70" s="6">
        <f>IF($F$108=0,0,F70/$F$108)</f>
        <v/>
      </c>
      <c r="H70" s="5" t="n">
        <v>156566.06</v>
      </c>
      <c r="I70" t="n">
        <v>3</v>
      </c>
      <c r="J70" t="n">
        <v>4</v>
      </c>
      <c r="K70" t="n">
        <v>2</v>
      </c>
      <c r="L70" s="5" t="n">
        <v>469698.19</v>
      </c>
    </row>
    <row r="71">
      <c r="A71" t="inlineStr">
        <is>
          <t>JUNIN</t>
        </is>
      </c>
      <c r="B71" t="inlineStr">
        <is>
          <t>CHANCHAMAYO</t>
        </is>
      </c>
      <c r="C71" t="inlineStr">
        <is>
          <t>CHANCHAMAYO</t>
        </is>
      </c>
      <c r="D71" t="inlineStr">
        <is>
          <t>120301</t>
        </is>
      </c>
      <c r="E71" t="inlineStr">
        <is>
          <t>—</t>
        </is>
      </c>
      <c r="F71" s="11" t="n">
        <v>21469.5849</v>
      </c>
      <c r="G71" s="6">
        <f>IF($F$108=0,0,F71/$F$108)</f>
        <v/>
      </c>
      <c r="H71" s="5" t="n">
        <v>149688.55</v>
      </c>
      <c r="I71" t="n">
        <v>5</v>
      </c>
      <c r="J71" t="n">
        <v>2</v>
      </c>
      <c r="K71" t="n">
        <v>3</v>
      </c>
      <c r="L71" s="5" t="n">
        <v>498961.82</v>
      </c>
    </row>
    <row r="72">
      <c r="A72" t="inlineStr">
        <is>
          <t>PIURA</t>
        </is>
      </c>
      <c r="B72" t="inlineStr">
        <is>
          <t>SECHURA</t>
        </is>
      </c>
      <c r="C72" t="inlineStr">
        <is>
          <t>SECHURA</t>
        </is>
      </c>
      <c r="D72" t="inlineStr">
        <is>
          <t>200801</t>
        </is>
      </c>
      <c r="E72" t="inlineStr">
        <is>
          <t>—</t>
        </is>
      </c>
      <c r="F72" s="11" t="n">
        <v>21348.8107</v>
      </c>
      <c r="G72" s="6">
        <f>IF($F$108=0,0,F72/$F$108)</f>
        <v/>
      </c>
      <c r="H72" s="5" t="n">
        <v>148846.49</v>
      </c>
      <c r="I72" t="n">
        <v>2</v>
      </c>
      <c r="J72" t="n">
        <v>5</v>
      </c>
      <c r="L72" s="5" t="n">
        <v>520962.73</v>
      </c>
    </row>
    <row r="73">
      <c r="A73" t="inlineStr">
        <is>
          <t>MOQUEGUA</t>
        </is>
      </c>
      <c r="B73" t="inlineStr">
        <is>
          <t>MARISCAL NIETO</t>
        </is>
      </c>
      <c r="C73" t="inlineStr">
        <is>
          <t>MOQUEGUA</t>
        </is>
      </c>
      <c r="D73" t="inlineStr">
        <is>
          <t>180101</t>
        </is>
      </c>
      <c r="E73" t="inlineStr">
        <is>
          <t>—</t>
        </is>
      </c>
      <c r="F73" s="11" t="n">
        <v>20635.7279</v>
      </c>
      <c r="G73" s="6">
        <f>IF($F$108=0,0,F73/$F$108)</f>
        <v/>
      </c>
      <c r="H73" s="5" t="n">
        <v>143874.79</v>
      </c>
      <c r="I73" t="n">
        <v>4</v>
      </c>
      <c r="J73" t="n">
        <v>4</v>
      </c>
      <c r="L73" s="5" t="n">
        <v>575499.1800000001</v>
      </c>
    </row>
    <row r="74">
      <c r="A74" t="inlineStr">
        <is>
          <t>LIMA</t>
        </is>
      </c>
      <c r="B74" t="inlineStr">
        <is>
          <t>HUARAL</t>
        </is>
      </c>
      <c r="C74" t="inlineStr">
        <is>
          <t>HUARAL</t>
        </is>
      </c>
      <c r="D74" t="inlineStr">
        <is>
          <t>150601</t>
        </is>
      </c>
      <c r="E74" t="inlineStr">
        <is>
          <t>—</t>
        </is>
      </c>
      <c r="F74" s="11" t="n">
        <v>19577.4209</v>
      </c>
      <c r="G74" s="6">
        <f>IF($F$108=0,0,F74/$F$108)</f>
        <v/>
      </c>
      <c r="H74" s="5" t="n">
        <v>136496.15</v>
      </c>
      <c r="I74" t="n">
        <v>4</v>
      </c>
      <c r="J74" t="n">
        <v>4</v>
      </c>
      <c r="L74" s="5" t="n">
        <v>545984.6</v>
      </c>
    </row>
    <row r="75">
      <c r="A75" t="inlineStr">
        <is>
          <t>CAJAMARCA</t>
        </is>
      </c>
      <c r="B75" t="inlineStr">
        <is>
          <t>CAJABAMBA</t>
        </is>
      </c>
      <c r="C75" t="inlineStr">
        <is>
          <t>CAJABAMBA</t>
        </is>
      </c>
      <c r="D75" t="inlineStr">
        <is>
          <t>060201</t>
        </is>
      </c>
      <c r="E75" t="inlineStr">
        <is>
          <t>—</t>
        </is>
      </c>
      <c r="F75" s="11" t="n">
        <v>18089.1576</v>
      </c>
      <c r="G75" s="6">
        <f>IF($F$108=0,0,F75/$F$108)</f>
        <v/>
      </c>
      <c r="H75" s="5" t="n">
        <v>126119.8</v>
      </c>
      <c r="I75" t="n">
        <v>4</v>
      </c>
      <c r="J75" t="n">
        <v>3</v>
      </c>
      <c r="K75" t="n">
        <v>2</v>
      </c>
      <c r="L75" s="5" t="n">
        <v>378359.39</v>
      </c>
    </row>
    <row r="76">
      <c r="A76" t="inlineStr">
        <is>
          <t>AMAZONAS</t>
        </is>
      </c>
      <c r="B76" t="inlineStr">
        <is>
          <t>UTCUBAMBA</t>
        </is>
      </c>
      <c r="C76" t="inlineStr">
        <is>
          <t>BAGUA GRANDE</t>
        </is>
      </c>
      <c r="D76" t="inlineStr">
        <is>
          <t>010701</t>
        </is>
      </c>
      <c r="E76" t="inlineStr">
        <is>
          <t>—</t>
        </is>
      </c>
      <c r="F76" s="11" t="n">
        <v>17036.5713</v>
      </c>
      <c r="G76" s="6">
        <f>IF($F$108=0,0,F76/$F$108)</f>
        <v/>
      </c>
      <c r="H76" s="5" t="n">
        <v>118781.04</v>
      </c>
      <c r="I76" t="n">
        <v>5</v>
      </c>
      <c r="J76" t="n">
        <v>3</v>
      </c>
      <c r="K76" t="n">
        <v>3</v>
      </c>
      <c r="L76" s="5" t="n">
        <v>435530.48</v>
      </c>
    </row>
    <row r="77">
      <c r="A77" t="inlineStr">
        <is>
          <t>CAJAMARCA</t>
        </is>
      </c>
      <c r="B77" t="inlineStr">
        <is>
          <t>CUTERVO</t>
        </is>
      </c>
      <c r="C77" t="inlineStr">
        <is>
          <t>CUTERVO</t>
        </is>
      </c>
      <c r="D77" t="inlineStr">
        <is>
          <t>060601</t>
        </is>
      </c>
      <c r="E77" t="inlineStr">
        <is>
          <t>—</t>
        </is>
      </c>
      <c r="F77" s="11" t="n">
        <v>16712.8416</v>
      </c>
      <c r="G77" s="6">
        <f>IF($F$108=0,0,F77/$F$108)</f>
        <v/>
      </c>
      <c r="H77" s="5" t="n">
        <v>116523.96</v>
      </c>
      <c r="I77" t="n">
        <v>4</v>
      </c>
      <c r="J77" t="n">
        <v>2</v>
      </c>
      <c r="K77" t="n">
        <v>3</v>
      </c>
      <c r="L77" s="5" t="n">
        <v>349571.87</v>
      </c>
    </row>
    <row r="78">
      <c r="A78" t="inlineStr">
        <is>
          <t>MOQUEGUA</t>
        </is>
      </c>
      <c r="B78" t="inlineStr">
        <is>
          <t>ILO</t>
        </is>
      </c>
      <c r="C78" t="inlineStr">
        <is>
          <t>ILO</t>
        </is>
      </c>
      <c r="D78" t="inlineStr">
        <is>
          <t>180301</t>
        </is>
      </c>
      <c r="E78" t="inlineStr">
        <is>
          <t>—</t>
        </is>
      </c>
      <c r="F78" s="11" t="n">
        <v>16360.3763</v>
      </c>
      <c r="G78" s="6">
        <f>IF($F$108=0,0,F78/$F$108)</f>
        <v/>
      </c>
      <c r="H78" s="5" t="n">
        <v>114066.53</v>
      </c>
      <c r="I78" t="n">
        <v>4</v>
      </c>
      <c r="J78" t="n">
        <v>2</v>
      </c>
      <c r="L78" s="5" t="n">
        <v>342199.58</v>
      </c>
    </row>
    <row r="79">
      <c r="A79" t="inlineStr">
        <is>
          <t>CAJAMARCA</t>
        </is>
      </c>
      <c r="B79" t="inlineStr">
        <is>
          <t>HUALGAYOC</t>
        </is>
      </c>
      <c r="C79" t="inlineStr">
        <is>
          <t>BAMBAMARCA</t>
        </is>
      </c>
      <c r="D79" t="inlineStr">
        <is>
          <t>060701</t>
        </is>
      </c>
      <c r="E79" t="inlineStr">
        <is>
          <t>—</t>
        </is>
      </c>
      <c r="F79" s="11" t="n">
        <v>14902.0314</v>
      </c>
      <c r="G79" s="6">
        <f>IF($F$108=0,0,F79/$F$108)</f>
        <v/>
      </c>
      <c r="H79" s="5" t="n">
        <v>103898.77</v>
      </c>
      <c r="I79" t="n">
        <v>4</v>
      </c>
      <c r="J79" t="n">
        <v>2</v>
      </c>
      <c r="K79" t="n">
        <v>3</v>
      </c>
      <c r="L79" s="5" t="n">
        <v>311696.3</v>
      </c>
    </row>
    <row r="80">
      <c r="A80" t="inlineStr">
        <is>
          <t>LIMA</t>
        </is>
      </c>
      <c r="B80" t="inlineStr">
        <is>
          <t>HUAURA</t>
        </is>
      </c>
      <c r="C80" t="inlineStr">
        <is>
          <t>HUACHO</t>
        </is>
      </c>
      <c r="D80" t="inlineStr">
        <is>
          <t>150801</t>
        </is>
      </c>
      <c r="E80" t="inlineStr">
        <is>
          <t>—</t>
        </is>
      </c>
      <c r="F80" s="11" t="n">
        <v>14857.9349</v>
      </c>
      <c r="G80" s="6">
        <f>IF($F$108=0,0,F80/$F$108)</f>
        <v/>
      </c>
      <c r="H80" s="5" t="n">
        <v>103591.32</v>
      </c>
      <c r="I80" t="n">
        <v>3</v>
      </c>
      <c r="J80" t="n">
        <v>3</v>
      </c>
      <c r="L80" s="5" t="n">
        <v>310773.97</v>
      </c>
    </row>
    <row r="81">
      <c r="A81" t="inlineStr">
        <is>
          <t>PIURA</t>
        </is>
      </c>
      <c r="B81" t="inlineStr">
        <is>
          <t>TALARA</t>
        </is>
      </c>
      <c r="C81" t="inlineStr">
        <is>
          <t>PARIÑAS</t>
        </is>
      </c>
      <c r="D81" t="inlineStr">
        <is>
          <t>200701</t>
        </is>
      </c>
      <c r="E81" t="inlineStr">
        <is>
          <t>—</t>
        </is>
      </c>
      <c r="F81" s="11" t="n">
        <v>14736.1622</v>
      </c>
      <c r="G81" s="6">
        <f>IF($F$108=0,0,F81/$F$108)</f>
        <v/>
      </c>
      <c r="H81" s="5" t="n">
        <v>102742.31</v>
      </c>
      <c r="I81" t="n">
        <v>3</v>
      </c>
      <c r="J81" t="n">
        <v>4</v>
      </c>
      <c r="K81" t="n">
        <v>3</v>
      </c>
      <c r="L81" s="5" t="n">
        <v>342474.36</v>
      </c>
    </row>
    <row r="82">
      <c r="A82" t="inlineStr">
        <is>
          <t>AREQUIPA</t>
        </is>
      </c>
      <c r="B82" t="inlineStr">
        <is>
          <t>ISLAY</t>
        </is>
      </c>
      <c r="C82" t="inlineStr">
        <is>
          <t>COCACHACRA</t>
        </is>
      </c>
      <c r="D82" t="inlineStr">
        <is>
          <t>040702</t>
        </is>
      </c>
      <c r="E82" t="inlineStr">
        <is>
          <t>—</t>
        </is>
      </c>
      <c r="F82" s="11" t="n">
        <v>14144.6971</v>
      </c>
      <c r="G82" s="6">
        <f>IF($F$108=0,0,F82/$F$108)</f>
        <v/>
      </c>
      <c r="H82" s="5" t="n">
        <v>98618.53999999999</v>
      </c>
      <c r="I82" t="n">
        <v>4</v>
      </c>
      <c r="J82" t="n">
        <v>4</v>
      </c>
      <c r="L82" s="5" t="n">
        <v>394474.17</v>
      </c>
    </row>
    <row r="83">
      <c r="A83" t="inlineStr">
        <is>
          <t>LAMBAYEQUE</t>
        </is>
      </c>
      <c r="B83" t="inlineStr">
        <is>
          <t>CHICLAYO</t>
        </is>
      </c>
      <c r="C83" t="inlineStr">
        <is>
          <t>LA VICTORIA</t>
        </is>
      </c>
      <c r="D83" t="inlineStr">
        <is>
          <t>140106</t>
        </is>
      </c>
      <c r="E83" t="inlineStr">
        <is>
          <t>—</t>
        </is>
      </c>
      <c r="F83" s="11" t="n">
        <v>13048.3488</v>
      </c>
      <c r="G83" s="6">
        <f>IF($F$108=0,0,F83/$F$108)</f>
        <v/>
      </c>
      <c r="H83" s="5" t="n">
        <v>90974.67</v>
      </c>
      <c r="I83" t="n">
        <v>1</v>
      </c>
      <c r="J83" t="n">
        <v>4</v>
      </c>
      <c r="L83" s="5" t="n">
        <v>227436.67</v>
      </c>
    </row>
    <row r="84">
      <c r="A84" t="inlineStr">
        <is>
          <t>LAMBAYEQUE</t>
        </is>
      </c>
      <c r="B84" t="inlineStr">
        <is>
          <t>FERREÑAFE</t>
        </is>
      </c>
      <c r="C84" t="inlineStr">
        <is>
          <t>FERREÑAFE</t>
        </is>
      </c>
      <c r="D84" t="inlineStr">
        <is>
          <t>140201</t>
        </is>
      </c>
      <c r="E84" t="inlineStr">
        <is>
          <t>—</t>
        </is>
      </c>
      <c r="F84" s="11" t="n">
        <v>12754.182</v>
      </c>
      <c r="G84" s="6">
        <f>IF($F$108=0,0,F84/$F$108)</f>
        <v/>
      </c>
      <c r="H84" s="5" t="n">
        <v>88923.7</v>
      </c>
      <c r="I84" t="n">
        <v>1</v>
      </c>
      <c r="J84" t="n">
        <v>4</v>
      </c>
      <c r="L84" s="5" t="n">
        <v>222309.26</v>
      </c>
    </row>
    <row r="85">
      <c r="A85" t="inlineStr">
        <is>
          <t>LIMA</t>
        </is>
      </c>
      <c r="B85" t="inlineStr">
        <is>
          <t>BARRANCA</t>
        </is>
      </c>
      <c r="C85" t="inlineStr">
        <is>
          <t>BARRANCA</t>
        </is>
      </c>
      <c r="D85" t="inlineStr">
        <is>
          <t>150201</t>
        </is>
      </c>
      <c r="E85" t="inlineStr">
        <is>
          <t>—</t>
        </is>
      </c>
      <c r="F85" s="11" t="n">
        <v>12613.6562</v>
      </c>
      <c r="G85" s="6">
        <f>IF($F$108=0,0,F85/$F$108)</f>
        <v/>
      </c>
      <c r="H85" s="5" t="n">
        <v>87943.94</v>
      </c>
      <c r="I85" t="n">
        <v>3</v>
      </c>
      <c r="J85" t="n">
        <v>4</v>
      </c>
      <c r="L85" s="5" t="n">
        <v>307803.79</v>
      </c>
    </row>
    <row r="86">
      <c r="A86" t="inlineStr">
        <is>
          <t>TUMBES</t>
        </is>
      </c>
      <c r="B86" t="inlineStr">
        <is>
          <t>ZARUMILLA</t>
        </is>
      </c>
      <c r="C86" t="inlineStr">
        <is>
          <t>ZARUMILLA</t>
        </is>
      </c>
      <c r="D86" t="inlineStr">
        <is>
          <t>240301</t>
        </is>
      </c>
      <c r="E86" t="inlineStr">
        <is>
          <t>—</t>
        </is>
      </c>
      <c r="F86" s="11" t="n">
        <v>10663.5165</v>
      </c>
      <c r="G86" s="6">
        <f>IF($F$108=0,0,F86/$F$108)</f>
        <v/>
      </c>
      <c r="H86" s="5" t="n">
        <v>74347.33</v>
      </c>
      <c r="L86" s="5" t="n">
        <v>0</v>
      </c>
    </row>
    <row r="87">
      <c r="A87" t="inlineStr">
        <is>
          <t>ANCASH</t>
        </is>
      </c>
      <c r="B87" t="inlineStr">
        <is>
          <t>CASMA</t>
        </is>
      </c>
      <c r="C87" t="inlineStr">
        <is>
          <t>CASMA</t>
        </is>
      </c>
      <c r="D87" t="inlineStr">
        <is>
          <t>020801</t>
        </is>
      </c>
      <c r="E87" t="inlineStr">
        <is>
          <t>—</t>
        </is>
      </c>
      <c r="F87" s="11" t="n">
        <v>10554.6353</v>
      </c>
      <c r="G87" s="6">
        <f>IF($F$108=0,0,F87/$F$108)</f>
        <v/>
      </c>
      <c r="H87" s="5" t="n">
        <v>73588.2</v>
      </c>
      <c r="I87" t="n">
        <v>3</v>
      </c>
      <c r="J87" t="n">
        <v>4</v>
      </c>
      <c r="L87" s="5" t="n">
        <v>257558.69</v>
      </c>
    </row>
    <row r="88">
      <c r="A88" t="inlineStr">
        <is>
          <t>APURIMAC</t>
        </is>
      </c>
      <c r="B88" t="inlineStr">
        <is>
          <t>ABANCAY</t>
        </is>
      </c>
      <c r="C88" t="inlineStr">
        <is>
          <t>ABANCAY</t>
        </is>
      </c>
      <c r="D88" t="inlineStr">
        <is>
          <t>030101</t>
        </is>
      </c>
      <c r="E88" t="inlineStr">
        <is>
          <t>—</t>
        </is>
      </c>
      <c r="F88" s="11" t="n">
        <v>10238.8152</v>
      </c>
      <c r="G88" s="6">
        <f>IF($F$108=0,0,F88/$F$108)</f>
        <v/>
      </c>
      <c r="H88" s="5" t="n">
        <v>71386.25999999999</v>
      </c>
      <c r="I88" t="n">
        <v>4</v>
      </c>
      <c r="J88" t="n">
        <v>2</v>
      </c>
      <c r="K88" t="n">
        <v>3</v>
      </c>
      <c r="L88" s="5" t="n">
        <v>214158.78</v>
      </c>
    </row>
    <row r="89">
      <c r="A89" t="inlineStr">
        <is>
          <t>PIURA</t>
        </is>
      </c>
      <c r="B89" t="inlineStr">
        <is>
          <t>PIURA</t>
        </is>
      </c>
      <c r="C89" t="inlineStr">
        <is>
          <t>VEINTISEIS DE OCTUBRE</t>
        </is>
      </c>
      <c r="D89" t="inlineStr">
        <is>
          <t>200115</t>
        </is>
      </c>
      <c r="E89" t="inlineStr">
        <is>
          <t>—</t>
        </is>
      </c>
      <c r="F89" s="11" t="n">
        <v>10124.5197</v>
      </c>
      <c r="G89" s="6">
        <f>IF($F$108=0,0,F89/$F$108)</f>
        <v/>
      </c>
      <c r="H89" s="5" t="n">
        <v>70589.38</v>
      </c>
      <c r="I89" t="n">
        <v>1</v>
      </c>
      <c r="J89" t="n">
        <v>4</v>
      </c>
      <c r="L89" s="5" t="n">
        <v>176473.44</v>
      </c>
    </row>
    <row r="90">
      <c r="A90" t="inlineStr">
        <is>
          <t>LA LIBERTAD</t>
        </is>
      </c>
      <c r="B90" t="inlineStr">
        <is>
          <t>VIRU</t>
        </is>
      </c>
      <c r="C90" t="inlineStr">
        <is>
          <t>VIRU</t>
        </is>
      </c>
      <c r="D90" t="inlineStr">
        <is>
          <t>131201</t>
        </is>
      </c>
      <c r="E90" t="inlineStr">
        <is>
          <t>—</t>
        </is>
      </c>
      <c r="F90" s="11" t="n">
        <v>9945.309300000001</v>
      </c>
      <c r="G90" s="6">
        <f>IF($F$108=0,0,F90/$F$108)</f>
        <v/>
      </c>
      <c r="H90" s="5" t="n">
        <v>69339.89999999999</v>
      </c>
      <c r="I90" t="n">
        <v>5</v>
      </c>
      <c r="J90" t="n">
        <v>4</v>
      </c>
      <c r="K90" t="n">
        <v>3</v>
      </c>
      <c r="L90" s="5" t="n">
        <v>277359.6</v>
      </c>
    </row>
    <row r="91">
      <c r="A91" t="inlineStr">
        <is>
          <t>PIURA</t>
        </is>
      </c>
      <c r="B91" t="inlineStr">
        <is>
          <t>MORROPON</t>
        </is>
      </c>
      <c r="C91" t="inlineStr">
        <is>
          <t>CHULUCANAS</t>
        </is>
      </c>
      <c r="D91" t="inlineStr">
        <is>
          <t>200401</t>
        </is>
      </c>
      <c r="E91" t="inlineStr">
        <is>
          <t>—</t>
        </is>
      </c>
      <c r="F91" s="11" t="n">
        <v>9726.902899999999</v>
      </c>
      <c r="G91" s="6">
        <f>IF($F$108=0,0,F91/$F$108)</f>
        <v/>
      </c>
      <c r="H91" s="5" t="n">
        <v>67817.14999999999</v>
      </c>
      <c r="I91" t="n">
        <v>2</v>
      </c>
      <c r="J91" t="n">
        <v>5</v>
      </c>
      <c r="K91" t="n">
        <v>2</v>
      </c>
      <c r="L91" s="5" t="n">
        <v>203451.44</v>
      </c>
    </row>
    <row r="92">
      <c r="A92" t="inlineStr">
        <is>
          <t>AMAZONAS</t>
        </is>
      </c>
      <c r="B92" t="inlineStr">
        <is>
          <t>CHACHAPOYAS</t>
        </is>
      </c>
      <c r="C92" t="inlineStr">
        <is>
          <t>CHACHAPOYAS</t>
        </is>
      </c>
      <c r="D92" t="inlineStr">
        <is>
          <t>010101</t>
        </is>
      </c>
      <c r="E92" t="inlineStr">
        <is>
          <t>—</t>
        </is>
      </c>
      <c r="F92" s="11" t="n">
        <v>9712.0375</v>
      </c>
      <c r="G92" s="6">
        <f>IF($F$108=0,0,F92/$F$108)</f>
        <v/>
      </c>
      <c r="H92" s="5" t="n">
        <v>67713.5</v>
      </c>
      <c r="I92" t="n">
        <v>4</v>
      </c>
      <c r="J92" t="n">
        <v>1</v>
      </c>
      <c r="K92" t="n">
        <v>2</v>
      </c>
      <c r="L92" s="5" t="n">
        <v>157998.17</v>
      </c>
    </row>
    <row r="93">
      <c r="A93" t="inlineStr">
        <is>
          <t>ICA</t>
        </is>
      </c>
      <c r="B93" t="inlineStr">
        <is>
          <t>CHINCHA</t>
        </is>
      </c>
      <c r="C93" t="inlineStr">
        <is>
          <t>PUEBLO NUEVO</t>
        </is>
      </c>
      <c r="D93" t="inlineStr">
        <is>
          <t>110207</t>
        </is>
      </c>
      <c r="E93" t="inlineStr">
        <is>
          <t>—</t>
        </is>
      </c>
      <c r="F93" s="11" t="n">
        <v>9701.965899999999</v>
      </c>
      <c r="G93" s="6">
        <f>IF($F$108=0,0,F93/$F$108)</f>
        <v/>
      </c>
      <c r="H93" s="5" t="n">
        <v>67643.28</v>
      </c>
      <c r="L93" s="5" t="n">
        <v>0</v>
      </c>
    </row>
    <row r="94">
      <c r="A94" t="inlineStr">
        <is>
          <t>LIMA</t>
        </is>
      </c>
      <c r="B94" t="inlineStr">
        <is>
          <t>CAÑETE</t>
        </is>
      </c>
      <c r="C94" t="inlineStr">
        <is>
          <t>SAN VICENTE DE CAÑETE</t>
        </is>
      </c>
      <c r="D94" t="inlineStr">
        <is>
          <t>150501</t>
        </is>
      </c>
      <c r="E94" t="inlineStr">
        <is>
          <t>—</t>
        </is>
      </c>
      <c r="F94" s="11" t="n">
        <v>9113.096</v>
      </c>
      <c r="G94" s="6">
        <f>IF($F$108=0,0,F94/$F$108)</f>
        <v/>
      </c>
      <c r="H94" s="5" t="n">
        <v>63537.61</v>
      </c>
      <c r="I94" t="n">
        <v>3</v>
      </c>
      <c r="J94" t="n">
        <v>5</v>
      </c>
      <c r="L94" s="5" t="n">
        <v>254150.44</v>
      </c>
    </row>
    <row r="95">
      <c r="A95" t="inlineStr">
        <is>
          <t>PIURA</t>
        </is>
      </c>
      <c r="B95" t="inlineStr">
        <is>
          <t>TALARA</t>
        </is>
      </c>
      <c r="C95" t="inlineStr">
        <is>
          <t>MANCORA</t>
        </is>
      </c>
      <c r="D95" t="inlineStr">
        <is>
          <t>200706</t>
        </is>
      </c>
      <c r="E95" t="inlineStr">
        <is>
          <t>—</t>
        </is>
      </c>
      <c r="F95" s="11" t="n">
        <v>8693.726000000001</v>
      </c>
      <c r="G95" s="6">
        <f>IF($F$108=0,0,F95/$F$108)</f>
        <v/>
      </c>
      <c r="H95" s="5" t="n">
        <v>60613.71</v>
      </c>
      <c r="L95" s="5" t="n">
        <v>0</v>
      </c>
    </row>
    <row r="96">
      <c r="A96" t="inlineStr">
        <is>
          <t>LIMA</t>
        </is>
      </c>
      <c r="B96" t="inlineStr">
        <is>
          <t>LIMA</t>
        </is>
      </c>
      <c r="C96" t="inlineStr">
        <is>
          <t>LURIGANCHO</t>
        </is>
      </c>
      <c r="D96" t="inlineStr">
        <is>
          <t>150118</t>
        </is>
      </c>
      <c r="E96" t="inlineStr">
        <is>
          <t>—</t>
        </is>
      </c>
      <c r="F96" s="11" t="n">
        <v>8671.5785</v>
      </c>
      <c r="G96" s="6">
        <f>IF($F$108=0,0,F96/$F$108)</f>
        <v/>
      </c>
      <c r="H96" s="5" t="n">
        <v>60459.3</v>
      </c>
      <c r="I96" t="n">
        <v>5</v>
      </c>
      <c r="J96" t="n">
        <v>4</v>
      </c>
      <c r="L96" s="5" t="n">
        <v>272066.83</v>
      </c>
    </row>
    <row r="97">
      <c r="A97" t="inlineStr">
        <is>
          <t>ICA</t>
        </is>
      </c>
      <c r="B97" t="inlineStr">
        <is>
          <t>NAZCA</t>
        </is>
      </c>
      <c r="C97" t="inlineStr">
        <is>
          <t>NAZCA</t>
        </is>
      </c>
      <c r="D97" t="inlineStr">
        <is>
          <t>110301</t>
        </is>
      </c>
      <c r="E97" t="inlineStr">
        <is>
          <t>—</t>
        </is>
      </c>
      <c r="F97" s="11" t="n">
        <v>8333.008400000001</v>
      </c>
      <c r="G97" s="6">
        <f>IF($F$108=0,0,F97/$F$108)</f>
        <v/>
      </c>
      <c r="H97" s="5" t="n">
        <v>58098.74</v>
      </c>
      <c r="I97" t="n">
        <v>3</v>
      </c>
      <c r="J97" t="n">
        <v>5</v>
      </c>
      <c r="L97" s="5" t="n">
        <v>232394.98</v>
      </c>
    </row>
    <row r="98">
      <c r="A98" t="inlineStr">
        <is>
          <t>PIURA</t>
        </is>
      </c>
      <c r="B98" t="inlineStr">
        <is>
          <t>PIURA</t>
        </is>
      </c>
      <c r="C98" t="inlineStr">
        <is>
          <t>TAMBO GRANDE</t>
        </is>
      </c>
      <c r="D98" t="inlineStr">
        <is>
          <t>200114</t>
        </is>
      </c>
      <c r="E98" t="inlineStr">
        <is>
          <t>—</t>
        </is>
      </c>
      <c r="F98" s="11" t="n">
        <v>8294.0252</v>
      </c>
      <c r="G98" s="6">
        <f>IF($F$108=0,0,F98/$F$108)</f>
        <v/>
      </c>
      <c r="H98" s="5" t="n">
        <v>57826.95</v>
      </c>
      <c r="I98" t="n">
        <v>4</v>
      </c>
      <c r="J98" t="n">
        <v>4</v>
      </c>
      <c r="K98" t="n">
        <v>2</v>
      </c>
      <c r="L98" s="5" t="n">
        <v>192756.5</v>
      </c>
    </row>
    <row r="99">
      <c r="A99" t="inlineStr">
        <is>
          <t>LA LIBERTAD</t>
        </is>
      </c>
      <c r="B99" t="inlineStr">
        <is>
          <t>TRUJILLO</t>
        </is>
      </c>
      <c r="C99" t="inlineStr">
        <is>
          <t>MOCHE</t>
        </is>
      </c>
      <c r="D99" t="inlineStr">
        <is>
          <t>130107</t>
        </is>
      </c>
      <c r="E99" t="inlineStr">
        <is>
          <t>—</t>
        </is>
      </c>
      <c r="F99" s="11" t="n">
        <v>8277.841399999999</v>
      </c>
      <c r="G99" s="6">
        <f>IF($F$108=0,0,F99/$F$108)</f>
        <v/>
      </c>
      <c r="H99" s="5" t="n">
        <v>57714.11</v>
      </c>
      <c r="I99" t="n">
        <v>1</v>
      </c>
      <c r="J99" t="n">
        <v>4</v>
      </c>
      <c r="L99" s="5" t="n">
        <v>144285.28</v>
      </c>
    </row>
    <row r="100">
      <c r="A100" t="inlineStr">
        <is>
          <t>LAMBAYEQUE</t>
        </is>
      </c>
      <c r="B100" t="inlineStr">
        <is>
          <t>LAMBAYEQUE</t>
        </is>
      </c>
      <c r="C100" t="inlineStr">
        <is>
          <t>OLMOS</t>
        </is>
      </c>
      <c r="D100" t="inlineStr">
        <is>
          <t>140308</t>
        </is>
      </c>
      <c r="E100" t="inlineStr">
        <is>
          <t>—</t>
        </is>
      </c>
      <c r="F100" s="11" t="n">
        <v>8169.7367</v>
      </c>
      <c r="G100" s="6">
        <f>IF($F$108=0,0,F100/$F$108)</f>
        <v/>
      </c>
      <c r="H100" s="5" t="n">
        <v>56960.39</v>
      </c>
      <c r="I100" t="n">
        <v>3</v>
      </c>
      <c r="J100" t="n">
        <v>5</v>
      </c>
      <c r="K100" t="n">
        <v>3</v>
      </c>
      <c r="L100" s="5" t="n">
        <v>208854.78</v>
      </c>
    </row>
    <row r="101">
      <c r="A101" t="inlineStr">
        <is>
          <t>PIURA</t>
        </is>
      </c>
      <c r="B101" t="inlineStr">
        <is>
          <t>PUIRA</t>
        </is>
      </c>
      <c r="C101" t="inlineStr">
        <is>
          <t>LA UNION</t>
        </is>
      </c>
      <c r="D101" t="inlineStr">
        <is>
          <t>200110</t>
        </is>
      </c>
      <c r="E101" t="inlineStr">
        <is>
          <t>—</t>
        </is>
      </c>
      <c r="F101" s="11" t="n">
        <v>7867.6351</v>
      </c>
      <c r="G101" s="6">
        <f>IF($F$108=0,0,F101/$F$108)</f>
        <v/>
      </c>
      <c r="H101" s="5" t="n">
        <v>54854.1</v>
      </c>
      <c r="I101" t="n">
        <v>2</v>
      </c>
      <c r="J101" t="n">
        <v>5</v>
      </c>
      <c r="L101" s="5" t="n">
        <v>191989.37</v>
      </c>
    </row>
    <row r="102">
      <c r="A102" t="inlineStr">
        <is>
          <t>PIURA</t>
        </is>
      </c>
      <c r="B102" t="inlineStr">
        <is>
          <t>SULLANA</t>
        </is>
      </c>
      <c r="C102" t="inlineStr">
        <is>
          <t>MARCAVELICA</t>
        </is>
      </c>
      <c r="D102" t="inlineStr">
        <is>
          <t>200605</t>
        </is>
      </c>
      <c r="E102" t="inlineStr">
        <is>
          <t>—</t>
        </is>
      </c>
      <c r="F102" s="11" t="n">
        <v>7418.8229</v>
      </c>
      <c r="G102" s="6">
        <f>IF($F$108=0,0,F102/$F$108)</f>
        <v/>
      </c>
      <c r="H102" s="5" t="n">
        <v>51724.93</v>
      </c>
      <c r="L102" s="5" t="n">
        <v>0</v>
      </c>
    </row>
    <row r="103">
      <c r="A103" t="inlineStr">
        <is>
          <t>PIURA</t>
        </is>
      </c>
      <c r="B103" t="inlineStr">
        <is>
          <t>PAITA</t>
        </is>
      </c>
      <c r="C103" t="inlineStr">
        <is>
          <t>PAITA</t>
        </is>
      </c>
      <c r="D103" t="inlineStr">
        <is>
          <t>200501</t>
        </is>
      </c>
      <c r="E103" t="inlineStr">
        <is>
          <t>—</t>
        </is>
      </c>
      <c r="F103" s="11" t="n">
        <v>7398.6217</v>
      </c>
      <c r="G103" s="6">
        <f>IF($F$108=0,0,F103/$F$108)</f>
        <v/>
      </c>
      <c r="H103" s="5" t="n">
        <v>51584.09</v>
      </c>
      <c r="I103" t="n">
        <v>2</v>
      </c>
      <c r="J103" t="n">
        <v>4</v>
      </c>
      <c r="L103" s="5" t="n">
        <v>154752.26</v>
      </c>
    </row>
    <row r="104">
      <c r="A104" t="inlineStr">
        <is>
          <t>LIMA</t>
        </is>
      </c>
      <c r="B104" t="inlineStr">
        <is>
          <t>LIMA</t>
        </is>
      </c>
      <c r="C104" t="inlineStr">
        <is>
          <t>MIRAFLORES</t>
        </is>
      </c>
      <c r="D104" t="inlineStr">
        <is>
          <t>150122</t>
        </is>
      </c>
      <c r="E104" t="inlineStr">
        <is>
          <t>—</t>
        </is>
      </c>
      <c r="F104" s="11" t="n">
        <v>6414.2408</v>
      </c>
      <c r="G104" s="6">
        <f>IF($F$108=0,0,F104/$F$108)</f>
        <v/>
      </c>
      <c r="H104" s="5" t="n">
        <v>44720.86</v>
      </c>
      <c r="I104" t="n">
        <v>2</v>
      </c>
      <c r="J104" t="n">
        <v>4</v>
      </c>
      <c r="L104" s="5" t="n">
        <v>134162.59</v>
      </c>
    </row>
    <row r="105">
      <c r="A105" t="inlineStr">
        <is>
          <t>LIMA</t>
        </is>
      </c>
      <c r="B105" t="inlineStr">
        <is>
          <t>CAÑETE</t>
        </is>
      </c>
      <c r="C105" t="inlineStr">
        <is>
          <t>MALA</t>
        </is>
      </c>
      <c r="D105" t="inlineStr">
        <is>
          <t>150509</t>
        </is>
      </c>
      <c r="E105" t="inlineStr">
        <is>
          <t>—</t>
        </is>
      </c>
      <c r="F105" s="11" t="n">
        <v>6099.3601</v>
      </c>
      <c r="G105" s="6">
        <f>IF($F$108=0,0,F105/$F$108)</f>
        <v/>
      </c>
      <c r="H105" s="5" t="n">
        <v>42525.48</v>
      </c>
      <c r="I105" t="n">
        <v>3</v>
      </c>
      <c r="J105" t="n">
        <v>3</v>
      </c>
      <c r="L105" s="5" t="n">
        <v>127576.43</v>
      </c>
    </row>
    <row r="106">
      <c r="A106" t="inlineStr">
        <is>
          <t>JUNIN</t>
        </is>
      </c>
      <c r="B106" t="inlineStr">
        <is>
          <t>CHANCHAMAYO</t>
        </is>
      </c>
      <c r="C106" t="inlineStr">
        <is>
          <t>PICHANAQUI</t>
        </is>
      </c>
      <c r="D106" t="inlineStr">
        <is>
          <t>120303</t>
        </is>
      </c>
      <c r="E106" t="inlineStr">
        <is>
          <t>—</t>
        </is>
      </c>
      <c r="F106" s="11" t="n">
        <v>3600.0558</v>
      </c>
      <c r="G106" s="6">
        <f>IF($F$108=0,0,F106/$F$108)</f>
        <v/>
      </c>
      <c r="H106" s="5" t="n">
        <v>25100.03</v>
      </c>
      <c r="I106" t="n">
        <v>4</v>
      </c>
      <c r="J106" t="n">
        <v>2</v>
      </c>
      <c r="K106" t="n">
        <v>2</v>
      </c>
      <c r="L106" s="5" t="n">
        <v>66933.39999999999</v>
      </c>
    </row>
    <row r="107">
      <c r="A107" t="inlineStr">
        <is>
          <t>LIMA</t>
        </is>
      </c>
      <c r="B107" t="inlineStr">
        <is>
          <t>LIMA</t>
        </is>
      </c>
      <c r="C107" t="inlineStr">
        <is>
          <t>SANTIAGO DE SURCO</t>
        </is>
      </c>
      <c r="D107" t="inlineStr">
        <is>
          <t>150140</t>
        </is>
      </c>
      <c r="E107" t="inlineStr">
        <is>
          <t>—</t>
        </is>
      </c>
      <c r="F107" s="11" t="n">
        <v>0</v>
      </c>
      <c r="G107" s="6">
        <f>IF($F$108=0,0,F107/$F$108)</f>
        <v/>
      </c>
      <c r="H107" s="5" t="n">
        <v>0</v>
      </c>
      <c r="I107" t="n">
        <v>1</v>
      </c>
      <c r="J107" t="n">
        <v>3</v>
      </c>
      <c r="L107" s="5" t="n">
        <v>0</v>
      </c>
    </row>
    <row r="108">
      <c r="A108" s="12" t="inlineStr">
        <is>
          <t>TOTAL</t>
        </is>
      </c>
      <c r="B108" t="inlineStr"/>
      <c r="C108" t="inlineStr"/>
      <c r="D108" t="inlineStr"/>
      <c r="E108" t="inlineStr"/>
      <c r="F108" s="13">
        <f>SUM(F5:F107)</f>
        <v/>
      </c>
      <c r="G108" t="inlineStr"/>
      <c r="H108" s="14">
        <f>SUM(H5:H107)</f>
        <v/>
      </c>
      <c r="I108" t="inlineStr"/>
      <c r="J108" t="inlineStr"/>
      <c r="K108" t="inlineStr"/>
      <c r="L108" s="14">
        <f>SUM(L5:L107)</f>
        <v/>
      </c>
    </row>
    <row r="111">
      <c r="A111" s="15" t="inlineStr">
        <is>
          <t>Detalle por colocaciones (Miles S/)</t>
        </is>
      </c>
    </row>
    <row r="112">
      <c r="A112" s="3" t="inlineStr">
        <is>
          <t>Distrito</t>
        </is>
      </c>
      <c r="B112" s="3" t="inlineStr">
        <is>
          <t>Ubigeo</t>
        </is>
      </c>
      <c r="C112" s="3" t="inlineStr">
        <is>
          <t>Mineral</t>
        </is>
      </c>
      <c r="D112" s="3" t="inlineStr">
        <is>
          <t>Unidad</t>
        </is>
      </c>
      <c r="E112" s="3" t="inlineStr">
        <is>
          <t>Cantidad (orig.)</t>
        </is>
      </c>
      <c r="F112" s="3" t="inlineStr">
        <is>
          <t>TMF equiv.</t>
        </is>
      </c>
    </row>
    <row r="113">
      <c r="A113" t="inlineStr">
        <is>
          <t>AREQUIPA</t>
        </is>
      </c>
      <c r="B113" t="inlineStr">
        <is>
          <t>040101</t>
        </is>
      </c>
      <c r="C113" t="inlineStr">
        <is>
          <t>Créditos</t>
        </is>
      </c>
      <c r="D113" t="inlineStr">
        <is>
          <t>Miles S/</t>
        </is>
      </c>
      <c r="E113" s="11" t="n">
        <v>295605.9394</v>
      </c>
      <c r="F113" s="16" t="n">
        <v>295605.93944</v>
      </c>
    </row>
    <row r="114">
      <c r="A114" t="inlineStr">
        <is>
          <t>ATE</t>
        </is>
      </c>
      <c r="B114" t="inlineStr">
        <is>
          <t>150103</t>
        </is>
      </c>
      <c r="C114" t="inlineStr">
        <is>
          <t>Créditos</t>
        </is>
      </c>
      <c r="D114" t="inlineStr">
        <is>
          <t>Miles S/</t>
        </is>
      </c>
      <c r="E114" s="11" t="n">
        <v>165530.8901</v>
      </c>
      <c r="F114" s="16" t="n">
        <v>165530.89009</v>
      </c>
    </row>
    <row r="115">
      <c r="A115" t="inlineStr">
        <is>
          <t>COMAS</t>
        </is>
      </c>
      <c r="B115" t="inlineStr">
        <is>
          <t>150110</t>
        </is>
      </c>
      <c r="C115" t="inlineStr">
        <is>
          <t>Créditos</t>
        </is>
      </c>
      <c r="D115" t="inlineStr">
        <is>
          <t>Miles S/</t>
        </is>
      </c>
      <c r="E115" s="11" t="n">
        <v>161256.6264</v>
      </c>
      <c r="F115" s="16" t="n">
        <v>161256.62644</v>
      </c>
    </row>
    <row r="116">
      <c r="A116" t="inlineStr">
        <is>
          <t>SAN JUAN DE LURIGANCHO</t>
        </is>
      </c>
      <c r="B116" t="inlineStr">
        <is>
          <t>150132</t>
        </is>
      </c>
      <c r="C116" t="inlineStr">
        <is>
          <t>Créditos</t>
        </is>
      </c>
      <c r="D116" t="inlineStr">
        <is>
          <t>Miles S/</t>
        </is>
      </c>
      <c r="E116" s="11" t="n">
        <v>151683.0624</v>
      </c>
      <c r="F116" s="16" t="n">
        <v>151683.06236</v>
      </c>
    </row>
    <row r="117">
      <c r="A117" t="inlineStr">
        <is>
          <t>LOS OLIVOS</t>
        </is>
      </c>
      <c r="B117" t="inlineStr">
        <is>
          <t>150117</t>
        </is>
      </c>
      <c r="C117" t="inlineStr">
        <is>
          <t>Créditos</t>
        </is>
      </c>
      <c r="D117" t="inlineStr">
        <is>
          <t>Miles S/</t>
        </is>
      </c>
      <c r="E117" s="11" t="n">
        <v>146496.977</v>
      </c>
      <c r="F117" s="16" t="n">
        <v>146496.97703</v>
      </c>
    </row>
    <row r="118">
      <c r="A118" t="inlineStr">
        <is>
          <t>CERRO COLORADO</t>
        </is>
      </c>
      <c r="B118" t="inlineStr">
        <is>
          <t>040104</t>
        </is>
      </c>
      <c r="C118" t="inlineStr">
        <is>
          <t>Créditos</t>
        </is>
      </c>
      <c r="D118" t="inlineStr">
        <is>
          <t>Miles S/</t>
        </is>
      </c>
      <c r="E118" s="11" t="n">
        <v>130961.9597</v>
      </c>
      <c r="F118" s="16" t="n">
        <v>130961.95966</v>
      </c>
    </row>
    <row r="119">
      <c r="A119" t="inlineStr">
        <is>
          <t>PUENTE PIEDRA</t>
        </is>
      </c>
      <c r="B119" t="inlineStr">
        <is>
          <t>150125</t>
        </is>
      </c>
      <c r="C119" t="inlineStr">
        <is>
          <t>Créditos</t>
        </is>
      </c>
      <c r="D119" t="inlineStr">
        <is>
          <t>Miles S/</t>
        </is>
      </c>
      <c r="E119" s="11" t="n">
        <v>119290.8894</v>
      </c>
      <c r="F119" s="16" t="n">
        <v>119290.88943</v>
      </c>
    </row>
    <row r="120">
      <c r="A120" t="inlineStr">
        <is>
          <t>VENTANILLA</t>
        </is>
      </c>
      <c r="B120" t="inlineStr">
        <is>
          <t>070106</t>
        </is>
      </c>
      <c r="C120" t="inlineStr">
        <is>
          <t>Créditos</t>
        </is>
      </c>
      <c r="D120" t="inlineStr">
        <is>
          <t>Miles S/</t>
        </is>
      </c>
      <c r="E120" s="11" t="n">
        <v>111470.763</v>
      </c>
      <c r="F120" s="16" t="n">
        <v>111470.76303</v>
      </c>
    </row>
    <row r="121">
      <c r="A121" t="inlineStr">
        <is>
          <t>CHICLAYO</t>
        </is>
      </c>
      <c r="B121" t="inlineStr">
        <is>
          <t>140101</t>
        </is>
      </c>
      <c r="C121" t="inlineStr">
        <is>
          <t>Créditos</t>
        </is>
      </c>
      <c r="D121" t="inlineStr">
        <is>
          <t>Miles S/</t>
        </is>
      </c>
      <c r="E121" s="11" t="n">
        <v>87613.8542</v>
      </c>
      <c r="F121" s="16" t="n">
        <v>87613.85421999999</v>
      </c>
    </row>
    <row r="122">
      <c r="A122" t="inlineStr">
        <is>
          <t>VILLA MARIA DEL TRIUNFO</t>
        </is>
      </c>
      <c r="B122" t="inlineStr">
        <is>
          <t>150143</t>
        </is>
      </c>
      <c r="C122" t="inlineStr">
        <is>
          <t>Créditos</t>
        </is>
      </c>
      <c r="D122" t="inlineStr">
        <is>
          <t>Miles S/</t>
        </is>
      </c>
      <c r="E122" s="11" t="n">
        <v>85388.8314</v>
      </c>
      <c r="F122" s="16" t="n">
        <v>85388.83143999999</v>
      </c>
    </row>
    <row r="123">
      <c r="A123" t="inlineStr">
        <is>
          <t>PAUCARPATA</t>
        </is>
      </c>
      <c r="B123" t="inlineStr">
        <is>
          <t>040112</t>
        </is>
      </c>
      <c r="C123" t="inlineStr">
        <is>
          <t>Créditos</t>
        </is>
      </c>
      <c r="D123" t="inlineStr">
        <is>
          <t>Miles S/</t>
        </is>
      </c>
      <c r="E123" s="11" t="n">
        <v>84672.5352</v>
      </c>
      <c r="F123" s="16" t="n">
        <v>84672.53517</v>
      </c>
    </row>
    <row r="124">
      <c r="A124" t="inlineStr">
        <is>
          <t>SULLANA</t>
        </is>
      </c>
      <c r="B124" t="inlineStr">
        <is>
          <t>200601</t>
        </is>
      </c>
      <c r="C124" t="inlineStr">
        <is>
          <t>Créditos</t>
        </is>
      </c>
      <c r="D124" t="inlineStr">
        <is>
          <t>Miles S/</t>
        </is>
      </c>
      <c r="E124" s="11" t="n">
        <v>83910.895</v>
      </c>
      <c r="F124" s="16" t="n">
        <v>83910.89500999999</v>
      </c>
    </row>
    <row r="125">
      <c r="A125" t="inlineStr">
        <is>
          <t>JOSE LUIS BUSTAMANTE Y RIVERO</t>
        </is>
      </c>
      <c r="B125" t="inlineStr">
        <is>
          <t>040129</t>
        </is>
      </c>
      <c r="C125" t="inlineStr">
        <is>
          <t>Créditos</t>
        </is>
      </c>
      <c r="D125" t="inlineStr">
        <is>
          <t>Miles S/</t>
        </is>
      </c>
      <c r="E125" s="11" t="n">
        <v>77545.88</v>
      </c>
      <c r="F125" s="16" t="n">
        <v>77545.87996999999</v>
      </c>
    </row>
    <row r="126">
      <c r="A126" t="inlineStr">
        <is>
          <t>MIRAFLORES</t>
        </is>
      </c>
      <c r="B126" t="inlineStr">
        <is>
          <t>040110</t>
        </is>
      </c>
      <c r="C126" t="inlineStr">
        <is>
          <t>Créditos</t>
        </is>
      </c>
      <c r="D126" t="inlineStr">
        <is>
          <t>Miles S/</t>
        </is>
      </c>
      <c r="E126" s="11" t="n">
        <v>76440.6845</v>
      </c>
      <c r="F126" s="16" t="n">
        <v>76440.68445</v>
      </c>
    </row>
    <row r="127">
      <c r="A127" t="inlineStr">
        <is>
          <t>CHIMBOTE</t>
        </is>
      </c>
      <c r="B127" t="inlineStr">
        <is>
          <t>021801</t>
        </is>
      </c>
      <c r="C127" t="inlineStr">
        <is>
          <t>Créditos</t>
        </is>
      </c>
      <c r="D127" t="inlineStr">
        <is>
          <t>Miles S/</t>
        </is>
      </c>
      <c r="E127" s="11" t="n">
        <v>74435.5184</v>
      </c>
      <c r="F127" s="16" t="n">
        <v>74435.51837000001</v>
      </c>
    </row>
    <row r="128">
      <c r="A128" t="inlineStr">
        <is>
          <t>LIMA</t>
        </is>
      </c>
      <c r="B128" t="inlineStr">
        <is>
          <t>150101</t>
        </is>
      </c>
      <c r="C128" t="inlineStr">
        <is>
          <t>Créditos</t>
        </is>
      </c>
      <c r="D128" t="inlineStr">
        <is>
          <t>Miles S/</t>
        </is>
      </c>
      <c r="E128" s="11" t="n">
        <v>73904.20819999999</v>
      </c>
      <c r="F128" s="16" t="n">
        <v>73904.20817</v>
      </c>
    </row>
    <row r="129">
      <c r="A129" t="inlineStr">
        <is>
          <t>JOSE LEONARDO ORTIZ</t>
        </is>
      </c>
      <c r="B129" t="inlineStr">
        <is>
          <t>140105</t>
        </is>
      </c>
      <c r="C129" t="inlineStr">
        <is>
          <t>Créditos</t>
        </is>
      </c>
      <c r="D129" t="inlineStr">
        <is>
          <t>Miles S/</t>
        </is>
      </c>
      <c r="E129" s="11" t="n">
        <v>72285.4837</v>
      </c>
      <c r="F129" s="16" t="n">
        <v>72285.48364999999</v>
      </c>
    </row>
    <row r="130">
      <c r="A130" t="inlineStr">
        <is>
          <t>TRUJILLO</t>
        </is>
      </c>
      <c r="B130" t="inlineStr">
        <is>
          <t>130101</t>
        </is>
      </c>
      <c r="C130" t="inlineStr">
        <is>
          <t>Créditos</t>
        </is>
      </c>
      <c r="D130" t="inlineStr">
        <is>
          <t>Miles S/</t>
        </is>
      </c>
      <c r="E130" s="11" t="n">
        <v>71327.2985</v>
      </c>
      <c r="F130" s="16" t="n">
        <v>71327.29850999999</v>
      </c>
    </row>
    <row r="131">
      <c r="A131" t="inlineStr">
        <is>
          <t>VILLA EL SALVADOR</t>
        </is>
      </c>
      <c r="B131" t="inlineStr">
        <is>
          <t>150142</t>
        </is>
      </c>
      <c r="C131" t="inlineStr">
        <is>
          <t>Créditos</t>
        </is>
      </c>
      <c r="D131" t="inlineStr">
        <is>
          <t>Miles S/</t>
        </is>
      </c>
      <c r="E131" s="11" t="n">
        <v>69783.59639999999</v>
      </c>
      <c r="F131" s="16" t="n">
        <v>69783.59639000001</v>
      </c>
    </row>
    <row r="132">
      <c r="A132" t="inlineStr">
        <is>
          <t>SAN MARTIN DE PORRES</t>
        </is>
      </c>
      <c r="B132" t="inlineStr">
        <is>
          <t>150135</t>
        </is>
      </c>
      <c r="C132" t="inlineStr">
        <is>
          <t>Créditos</t>
        </is>
      </c>
      <c r="D132" t="inlineStr">
        <is>
          <t>Miles S/</t>
        </is>
      </c>
      <c r="E132" s="11" t="n">
        <v>65761.12669999999</v>
      </c>
      <c r="F132" s="16" t="n">
        <v>65761.12671</v>
      </c>
    </row>
    <row r="133">
      <c r="A133" t="inlineStr">
        <is>
          <t>CALLERIA</t>
        </is>
      </c>
      <c r="B133" t="inlineStr">
        <is>
          <t>250101</t>
        </is>
      </c>
      <c r="C133" t="inlineStr">
        <is>
          <t>Créditos</t>
        </is>
      </c>
      <c r="D133" t="inlineStr">
        <is>
          <t>Miles S/</t>
        </is>
      </c>
      <c r="E133" s="11" t="n">
        <v>61411.8235</v>
      </c>
      <c r="F133" s="16" t="n">
        <v>61411.82349</v>
      </c>
    </row>
    <row r="134">
      <c r="A134" t="inlineStr">
        <is>
          <t>ICA</t>
        </is>
      </c>
      <c r="B134" t="inlineStr">
        <is>
          <t>110101</t>
        </is>
      </c>
      <c r="C134" t="inlineStr">
        <is>
          <t>Créditos</t>
        </is>
      </c>
      <c r="D134" t="inlineStr">
        <is>
          <t>Miles S/</t>
        </is>
      </c>
      <c r="E134" s="11" t="n">
        <v>61255.2018</v>
      </c>
      <c r="F134" s="16" t="n">
        <v>61255.20184</v>
      </c>
    </row>
    <row r="135">
      <c r="A135" t="inlineStr">
        <is>
          <t>CARABAYLLO</t>
        </is>
      </c>
      <c r="B135" t="inlineStr">
        <is>
          <t>150106</t>
        </is>
      </c>
      <c r="C135" t="inlineStr">
        <is>
          <t>Créditos</t>
        </is>
      </c>
      <c r="D135" t="inlineStr">
        <is>
          <t>Miles S/</t>
        </is>
      </c>
      <c r="E135" s="11" t="n">
        <v>60363.5075</v>
      </c>
      <c r="F135" s="16" t="n">
        <v>60363.50755</v>
      </c>
    </row>
    <row r="136">
      <c r="A136" t="inlineStr">
        <is>
          <t>JACOBO HUNTER</t>
        </is>
      </c>
      <c r="B136" t="inlineStr">
        <is>
          <t>040107</t>
        </is>
      </c>
      <c r="C136" t="inlineStr">
        <is>
          <t>Créditos</t>
        </is>
      </c>
      <c r="D136" t="inlineStr">
        <is>
          <t>Miles S/</t>
        </is>
      </c>
      <c r="E136" s="11" t="n">
        <v>60153.4149</v>
      </c>
      <c r="F136" s="16" t="n">
        <v>60153.41485</v>
      </c>
    </row>
    <row r="137">
      <c r="A137" t="inlineStr">
        <is>
          <t>JULIACA</t>
        </is>
      </c>
      <c r="B137" t="inlineStr">
        <is>
          <t>211101</t>
        </is>
      </c>
      <c r="C137" t="inlineStr">
        <is>
          <t>Créditos</t>
        </is>
      </c>
      <c r="D137" t="inlineStr">
        <is>
          <t>Miles S/</t>
        </is>
      </c>
      <c r="E137" s="11" t="n">
        <v>59348.4746</v>
      </c>
      <c r="F137" s="16" t="n">
        <v>59348.47457</v>
      </c>
    </row>
    <row r="138">
      <c r="A138" t="inlineStr">
        <is>
          <t>ALTO SELVA ALEGRE</t>
        </is>
      </c>
      <c r="B138" t="inlineStr">
        <is>
          <t>040102</t>
        </is>
      </c>
      <c r="C138" t="inlineStr">
        <is>
          <t>Créditos</t>
        </is>
      </c>
      <c r="D138" t="inlineStr">
        <is>
          <t>Miles S/</t>
        </is>
      </c>
      <c r="E138" s="11" t="n">
        <v>58814.9872</v>
      </c>
      <c r="F138" s="16" t="n">
        <v>58814.9872</v>
      </c>
    </row>
    <row r="139">
      <c r="A139" t="inlineStr">
        <is>
          <t>HUAMACHUCO</t>
        </is>
      </c>
      <c r="B139" t="inlineStr">
        <is>
          <t>130901</t>
        </is>
      </c>
      <c r="C139" t="inlineStr">
        <is>
          <t>Créditos</t>
        </is>
      </c>
      <c r="D139" t="inlineStr">
        <is>
          <t>Miles S/</t>
        </is>
      </c>
      <c r="E139" s="11" t="n">
        <v>56634.6653</v>
      </c>
      <c r="F139" s="16" t="n">
        <v>56634.6653</v>
      </c>
    </row>
    <row r="140">
      <c r="A140" t="inlineStr">
        <is>
          <t>CHORRILLOS</t>
        </is>
      </c>
      <c r="B140" t="inlineStr">
        <is>
          <t>150108</t>
        </is>
      </c>
      <c r="C140" t="inlineStr">
        <is>
          <t>Créditos</t>
        </is>
      </c>
      <c r="D140" t="inlineStr">
        <is>
          <t>Miles S/</t>
        </is>
      </c>
      <c r="E140" s="11" t="n">
        <v>56170.3761</v>
      </c>
      <c r="F140" s="16" t="n">
        <v>56170.37612</v>
      </c>
    </row>
    <row r="141">
      <c r="A141" t="inlineStr">
        <is>
          <t>SAN JUAN DE MIRAFLORES</t>
        </is>
      </c>
      <c r="B141" t="inlineStr">
        <is>
          <t>150133</t>
        </is>
      </c>
      <c r="C141" t="inlineStr">
        <is>
          <t>Créditos</t>
        </is>
      </c>
      <c r="D141" t="inlineStr">
        <is>
          <t>Miles S/</t>
        </is>
      </c>
      <c r="E141" s="11" t="n">
        <v>54380.1317</v>
      </c>
      <c r="F141" s="16" t="n">
        <v>54380.13165</v>
      </c>
    </row>
    <row r="142">
      <c r="A142" t="inlineStr">
        <is>
          <t>INDEPENDENCIA</t>
        </is>
      </c>
      <c r="B142" t="inlineStr">
        <is>
          <t>150112</t>
        </is>
      </c>
      <c r="C142" t="inlineStr">
        <is>
          <t>Créditos</t>
        </is>
      </c>
      <c r="D142" t="inlineStr">
        <is>
          <t>Miles S/</t>
        </is>
      </c>
      <c r="E142" s="11" t="n">
        <v>52949.1999</v>
      </c>
      <c r="F142" s="16" t="n">
        <v>52949.19989</v>
      </c>
    </row>
    <row r="143">
      <c r="A143" t="inlineStr">
        <is>
          <t>TARAPOTO</t>
        </is>
      </c>
      <c r="B143" t="inlineStr">
        <is>
          <t>220901</t>
        </is>
      </c>
      <c r="C143" t="inlineStr">
        <is>
          <t>Créditos</t>
        </is>
      </c>
      <c r="D143" t="inlineStr">
        <is>
          <t>Miles S/</t>
        </is>
      </c>
      <c r="E143" s="11" t="n">
        <v>51479.7423</v>
      </c>
      <c r="F143" s="16" t="n">
        <v>51479.7423</v>
      </c>
    </row>
    <row r="144">
      <c r="A144" t="inlineStr">
        <is>
          <t>EL AGUSTINO</t>
        </is>
      </c>
      <c r="B144" t="inlineStr">
        <is>
          <t>150111</t>
        </is>
      </c>
      <c r="C144" t="inlineStr">
        <is>
          <t>Créditos</t>
        </is>
      </c>
      <c r="D144" t="inlineStr">
        <is>
          <t>Miles S/</t>
        </is>
      </c>
      <c r="E144" s="11" t="n">
        <v>51338.8905</v>
      </c>
      <c r="F144" s="16" t="n">
        <v>51338.89052</v>
      </c>
    </row>
    <row r="145">
      <c r="A145" t="inlineStr">
        <is>
          <t>SANTA ANITA</t>
        </is>
      </c>
      <c r="B145" t="inlineStr">
        <is>
          <t>150137</t>
        </is>
      </c>
      <c r="C145" t="inlineStr">
        <is>
          <t>Créditos</t>
        </is>
      </c>
      <c r="D145" t="inlineStr">
        <is>
          <t>Miles S/</t>
        </is>
      </c>
      <c r="E145" s="11" t="n">
        <v>51176.7998</v>
      </c>
      <c r="F145" s="16" t="n">
        <v>51176.79983</v>
      </c>
    </row>
    <row r="146">
      <c r="A146" t="inlineStr">
        <is>
          <t>PISCO</t>
        </is>
      </c>
      <c r="B146" t="inlineStr">
        <is>
          <t>110501</t>
        </is>
      </c>
      <c r="C146" t="inlineStr">
        <is>
          <t>Créditos</t>
        </is>
      </c>
      <c r="D146" t="inlineStr">
        <is>
          <t>Miles S/</t>
        </is>
      </c>
      <c r="E146" s="11" t="n">
        <v>50581.3826</v>
      </c>
      <c r="F146" s="16" t="n">
        <v>50581.38263</v>
      </c>
    </row>
    <row r="147">
      <c r="A147" t="inlineStr">
        <is>
          <t>CHOTA</t>
        </is>
      </c>
      <c r="B147" t="inlineStr">
        <is>
          <t>060401</t>
        </is>
      </c>
      <c r="C147" t="inlineStr">
        <is>
          <t>Créditos</t>
        </is>
      </c>
      <c r="D147" t="inlineStr">
        <is>
          <t>Miles S/</t>
        </is>
      </c>
      <c r="E147" s="11" t="n">
        <v>49054.0042</v>
      </c>
      <c r="F147" s="16" t="n">
        <v>49054.00419</v>
      </c>
    </row>
    <row r="148">
      <c r="A148" t="inlineStr">
        <is>
          <t>PACHACAMAC</t>
        </is>
      </c>
      <c r="B148" t="inlineStr">
        <is>
          <t>150123</t>
        </is>
      </c>
      <c r="C148" t="inlineStr">
        <is>
          <t>Créditos</t>
        </is>
      </c>
      <c r="D148" t="inlineStr">
        <is>
          <t>Miles S/</t>
        </is>
      </c>
      <c r="E148" s="11" t="n">
        <v>47665.0667</v>
      </c>
      <c r="F148" s="16" t="n">
        <v>47665.06667</v>
      </c>
    </row>
    <row r="149">
      <c r="A149" t="inlineStr">
        <is>
          <t>BELLAVISTA</t>
        </is>
      </c>
      <c r="B149" t="inlineStr">
        <is>
          <t>070102</t>
        </is>
      </c>
      <c r="C149" t="inlineStr">
        <is>
          <t>Créditos</t>
        </is>
      </c>
      <c r="D149" t="inlineStr">
        <is>
          <t>Miles S/</t>
        </is>
      </c>
      <c r="E149" s="11" t="n">
        <v>47443.383</v>
      </c>
      <c r="F149" s="16" t="n">
        <v>47443.38301</v>
      </c>
    </row>
    <row r="150">
      <c r="A150" t="inlineStr">
        <is>
          <t>LURIN</t>
        </is>
      </c>
      <c r="B150" t="inlineStr">
        <is>
          <t>150119</t>
        </is>
      </c>
      <c r="C150" t="inlineStr">
        <is>
          <t>Créditos</t>
        </is>
      </c>
      <c r="D150" t="inlineStr">
        <is>
          <t>Miles S/</t>
        </is>
      </c>
      <c r="E150" s="11" t="n">
        <v>45824.896</v>
      </c>
      <c r="F150" s="16" t="n">
        <v>45824.89597</v>
      </c>
    </row>
    <row r="151">
      <c r="A151" t="inlineStr">
        <is>
          <t>LAMBAYEQUE</t>
        </is>
      </c>
      <c r="B151" t="inlineStr">
        <is>
          <t>140301</t>
        </is>
      </c>
      <c r="C151" t="inlineStr">
        <is>
          <t>Créditos</t>
        </is>
      </c>
      <c r="D151" t="inlineStr">
        <is>
          <t>Miles S/</t>
        </is>
      </c>
      <c r="E151" s="11" t="n">
        <v>45642.71</v>
      </c>
      <c r="F151" s="16" t="n">
        <v>45642.71003</v>
      </c>
    </row>
    <row r="152">
      <c r="A152" t="inlineStr">
        <is>
          <t>HUANCAYO</t>
        </is>
      </c>
      <c r="B152" t="inlineStr">
        <is>
          <t>120101</t>
        </is>
      </c>
      <c r="C152" t="inlineStr">
        <is>
          <t>Créditos</t>
        </is>
      </c>
      <c r="D152" t="inlineStr">
        <is>
          <t>Miles S/</t>
        </is>
      </c>
      <c r="E152" s="11" t="n">
        <v>45147.3638</v>
      </c>
      <c r="F152" s="16" t="n">
        <v>45147.36377</v>
      </c>
    </row>
    <row r="153">
      <c r="A153" t="inlineStr">
        <is>
          <t>PIURA</t>
        </is>
      </c>
      <c r="B153" t="inlineStr">
        <is>
          <t>200101</t>
        </is>
      </c>
      <c r="C153" t="inlineStr">
        <is>
          <t>Créditos</t>
        </is>
      </c>
      <c r="D153" t="inlineStr">
        <is>
          <t>Miles S/</t>
        </is>
      </c>
      <c r="E153" s="11" t="n">
        <v>44900.2881</v>
      </c>
      <c r="F153" s="16" t="n">
        <v>44900.28808</v>
      </c>
    </row>
    <row r="154">
      <c r="A154" t="inlineStr">
        <is>
          <t>CAMANA</t>
        </is>
      </c>
      <c r="B154" t="inlineStr">
        <is>
          <t>040201</t>
        </is>
      </c>
      <c r="C154" t="inlineStr">
        <is>
          <t>Créditos</t>
        </is>
      </c>
      <c r="D154" t="inlineStr">
        <is>
          <t>Miles S/</t>
        </is>
      </c>
      <c r="E154" s="11" t="n">
        <v>44494.1572</v>
      </c>
      <c r="F154" s="16" t="n">
        <v>44494.15725</v>
      </c>
    </row>
    <row r="155">
      <c r="A155" t="inlineStr">
        <is>
          <t>CAJAMARCA</t>
        </is>
      </c>
      <c r="B155" t="inlineStr">
        <is>
          <t>060101</t>
        </is>
      </c>
      <c r="C155" t="inlineStr">
        <is>
          <t>Créditos</t>
        </is>
      </c>
      <c r="D155" t="inlineStr">
        <is>
          <t>Miles S/</t>
        </is>
      </c>
      <c r="E155" s="11" t="n">
        <v>43839.6983</v>
      </c>
      <c r="F155" s="16" t="n">
        <v>43839.69835</v>
      </c>
    </row>
    <row r="156">
      <c r="A156" t="inlineStr">
        <is>
          <t>CASTILLA</t>
        </is>
      </c>
      <c r="B156" t="inlineStr">
        <is>
          <t>200104</t>
        </is>
      </c>
      <c r="C156" t="inlineStr">
        <is>
          <t>Créditos</t>
        </is>
      </c>
      <c r="D156" t="inlineStr">
        <is>
          <t>Miles S/</t>
        </is>
      </c>
      <c r="E156" s="11" t="n">
        <v>41939.6126</v>
      </c>
      <c r="F156" s="16" t="n">
        <v>41939.61263</v>
      </c>
    </row>
    <row r="157">
      <c r="A157" t="inlineStr">
        <is>
          <t>PUNO</t>
        </is>
      </c>
      <c r="B157" t="inlineStr">
        <is>
          <t>210101</t>
        </is>
      </c>
      <c r="C157" t="inlineStr">
        <is>
          <t>Créditos</t>
        </is>
      </c>
      <c r="D157" t="inlineStr">
        <is>
          <t>Miles S/</t>
        </is>
      </c>
      <c r="E157" s="11" t="n">
        <v>41353.6833</v>
      </c>
      <c r="F157" s="16" t="n">
        <v>41353.68334</v>
      </c>
    </row>
    <row r="158">
      <c r="A158" t="inlineStr">
        <is>
          <t>LA ESPERANZA</t>
        </is>
      </c>
      <c r="B158" t="inlineStr">
        <is>
          <t>130105</t>
        </is>
      </c>
      <c r="C158" t="inlineStr">
        <is>
          <t>Créditos</t>
        </is>
      </c>
      <c r="D158" t="inlineStr">
        <is>
          <t>Miles S/</t>
        </is>
      </c>
      <c r="E158" s="11" t="n">
        <v>40157.3343</v>
      </c>
      <c r="F158" s="16" t="n">
        <v>40157.33426</v>
      </c>
    </row>
    <row r="159">
      <c r="A159" t="inlineStr">
        <is>
          <t>TACNA</t>
        </is>
      </c>
      <c r="B159" t="inlineStr">
        <is>
          <t>230101</t>
        </is>
      </c>
      <c r="C159" t="inlineStr">
        <is>
          <t>Créditos</t>
        </is>
      </c>
      <c r="D159" t="inlineStr">
        <is>
          <t>Miles S/</t>
        </is>
      </c>
      <c r="E159" s="11" t="n">
        <v>39661.9622</v>
      </c>
      <c r="F159" s="16" t="n">
        <v>39661.96221</v>
      </c>
    </row>
    <row r="160">
      <c r="A160" t="inlineStr">
        <is>
          <t>IQUITOS</t>
        </is>
      </c>
      <c r="B160" t="inlineStr">
        <is>
          <t>160101</t>
        </is>
      </c>
      <c r="C160" t="inlineStr">
        <is>
          <t>Créditos</t>
        </is>
      </c>
      <c r="D160" t="inlineStr">
        <is>
          <t>Miles S/</t>
        </is>
      </c>
      <c r="E160" s="11" t="n">
        <v>39056.0698</v>
      </c>
      <c r="F160" s="16" t="n">
        <v>39056.06976</v>
      </c>
    </row>
    <row r="161">
      <c r="A161" t="inlineStr">
        <is>
          <t>CHEPEN</t>
        </is>
      </c>
      <c r="B161" t="inlineStr">
        <is>
          <t>130401</t>
        </is>
      </c>
      <c r="C161" t="inlineStr">
        <is>
          <t>Créditos</t>
        </is>
      </c>
      <c r="D161" t="inlineStr">
        <is>
          <t>Miles S/</t>
        </is>
      </c>
      <c r="E161" s="11" t="n">
        <v>38972.5214</v>
      </c>
      <c r="F161" s="16" t="n">
        <v>38972.52144</v>
      </c>
    </row>
    <row r="162">
      <c r="A162" t="inlineStr">
        <is>
          <t>AYACUCHO</t>
        </is>
      </c>
      <c r="B162" t="inlineStr">
        <is>
          <t>050101</t>
        </is>
      </c>
      <c r="C162" t="inlineStr">
        <is>
          <t>Créditos</t>
        </is>
      </c>
      <c r="D162" t="inlineStr">
        <is>
          <t>Miles S/</t>
        </is>
      </c>
      <c r="E162" s="11" t="n">
        <v>38873.9916</v>
      </c>
      <c r="F162" s="16" t="n">
        <v>38873.99161</v>
      </c>
    </row>
    <row r="163">
      <c r="A163" t="inlineStr">
        <is>
          <t>SAN JERONIMO</t>
        </is>
      </c>
      <c r="B163" t="inlineStr">
        <is>
          <t>080104</t>
        </is>
      </c>
      <c r="C163" t="inlineStr">
        <is>
          <t>Créditos</t>
        </is>
      </c>
      <c r="D163" t="inlineStr">
        <is>
          <t>Miles S/</t>
        </is>
      </c>
      <c r="E163" s="11" t="n">
        <v>38836.7075</v>
      </c>
      <c r="F163" s="16" t="n">
        <v>38836.70745</v>
      </c>
    </row>
    <row r="164">
      <c r="A164" t="inlineStr">
        <is>
          <t>MAJES</t>
        </is>
      </c>
      <c r="B164" t="inlineStr">
        <is>
          <t>040520</t>
        </is>
      </c>
      <c r="C164" t="inlineStr">
        <is>
          <t>Créditos</t>
        </is>
      </c>
      <c r="D164" t="inlineStr">
        <is>
          <t>Miles S/</t>
        </is>
      </c>
      <c r="E164" s="11" t="n">
        <v>38442.1746</v>
      </c>
      <c r="F164" s="16" t="n">
        <v>38442.1746</v>
      </c>
    </row>
    <row r="165">
      <c r="A165" t="inlineStr">
        <is>
          <t>HUANUCO</t>
        </is>
      </c>
      <c r="B165" t="inlineStr">
        <is>
          <t>100101</t>
        </is>
      </c>
      <c r="C165" t="inlineStr">
        <is>
          <t>Créditos</t>
        </is>
      </c>
      <c r="D165" t="inlineStr">
        <is>
          <t>Miles S/</t>
        </is>
      </c>
      <c r="E165" s="11" t="n">
        <v>37685.2218</v>
      </c>
      <c r="F165" s="16" t="n">
        <v>37685.22176</v>
      </c>
    </row>
    <row r="166">
      <c r="A166" t="inlineStr">
        <is>
          <t>MOYOBAMBA</t>
        </is>
      </c>
      <c r="B166" t="inlineStr">
        <is>
          <t>220101</t>
        </is>
      </c>
      <c r="C166" t="inlineStr">
        <is>
          <t>Créditos</t>
        </is>
      </c>
      <c r="D166" t="inlineStr">
        <is>
          <t>Miles S/</t>
        </is>
      </c>
      <c r="E166" s="11" t="n">
        <v>37483.5673</v>
      </c>
      <c r="F166" s="16" t="n">
        <v>37483.56729</v>
      </c>
    </row>
    <row r="167">
      <c r="A167" t="inlineStr">
        <is>
          <t>CHINCHA ALTA</t>
        </is>
      </c>
      <c r="B167" t="inlineStr">
        <is>
          <t>110201</t>
        </is>
      </c>
      <c r="C167" t="inlineStr">
        <is>
          <t>Créditos</t>
        </is>
      </c>
      <c r="D167" t="inlineStr">
        <is>
          <t>Miles S/</t>
        </is>
      </c>
      <c r="E167" s="11" t="n">
        <v>36820.1408</v>
      </c>
      <c r="F167" s="16" t="n">
        <v>36820.14083</v>
      </c>
    </row>
    <row r="168">
      <c r="A168" t="inlineStr">
        <is>
          <t>RUPA-RUPA</t>
        </is>
      </c>
      <c r="B168" t="inlineStr">
        <is>
          <t>100601</t>
        </is>
      </c>
      <c r="C168" t="inlineStr">
        <is>
          <t>Créditos</t>
        </is>
      </c>
      <c r="D168" t="inlineStr">
        <is>
          <t>Miles S/</t>
        </is>
      </c>
      <c r="E168" s="11" t="n">
        <v>36175.7055</v>
      </c>
      <c r="F168" s="16" t="n">
        <v>36175.7055</v>
      </c>
    </row>
    <row r="169">
      <c r="A169" t="inlineStr">
        <is>
          <t>JAEN</t>
        </is>
      </c>
      <c r="B169" t="inlineStr">
        <is>
          <t>060801</t>
        </is>
      </c>
      <c r="C169" t="inlineStr">
        <is>
          <t>Créditos</t>
        </is>
      </c>
      <c r="D169" t="inlineStr">
        <is>
          <t>Miles S/</t>
        </is>
      </c>
      <c r="E169" s="11" t="n">
        <v>35508.3412</v>
      </c>
      <c r="F169" s="16" t="n">
        <v>35508.34122</v>
      </c>
    </row>
    <row r="170">
      <c r="A170" t="inlineStr">
        <is>
          <t>SAN ANTONIO</t>
        </is>
      </c>
      <c r="B170" t="inlineStr">
        <is>
          <t>150716</t>
        </is>
      </c>
      <c r="C170" t="inlineStr">
        <is>
          <t>Créditos</t>
        </is>
      </c>
      <c r="D170" t="inlineStr">
        <is>
          <t>Miles S/</t>
        </is>
      </c>
      <c r="E170" s="11" t="n">
        <v>35487.4943</v>
      </c>
      <c r="F170" s="16" t="n">
        <v>35487.49432</v>
      </c>
    </row>
    <row r="171">
      <c r="A171" t="inlineStr">
        <is>
          <t>EL PORVENIR</t>
        </is>
      </c>
      <c r="B171" t="inlineStr">
        <is>
          <t>130102</t>
        </is>
      </c>
      <c r="C171" t="inlineStr">
        <is>
          <t>Créditos</t>
        </is>
      </c>
      <c r="D171" t="inlineStr">
        <is>
          <t>Miles S/</t>
        </is>
      </c>
      <c r="E171" s="11" t="n">
        <v>34190.8223</v>
      </c>
      <c r="F171" s="16" t="n">
        <v>34190.82231</v>
      </c>
    </row>
    <row r="172">
      <c r="A172" t="inlineStr">
        <is>
          <t>CUSCO</t>
        </is>
      </c>
      <c r="B172" t="inlineStr">
        <is>
          <t>080101</t>
        </is>
      </c>
      <c r="C172" t="inlineStr">
        <is>
          <t>Créditos</t>
        </is>
      </c>
      <c r="D172" t="inlineStr">
        <is>
          <t>Miles S/</t>
        </is>
      </c>
      <c r="E172" s="11" t="n">
        <v>31470.5253</v>
      </c>
      <c r="F172" s="16" t="n">
        <v>31470.52528</v>
      </c>
    </row>
    <row r="173">
      <c r="A173" t="inlineStr">
        <is>
          <t>CHOCOPE</t>
        </is>
      </c>
      <c r="B173" t="inlineStr">
        <is>
          <t>130203</t>
        </is>
      </c>
      <c r="C173" t="inlineStr">
        <is>
          <t>Créditos</t>
        </is>
      </c>
      <c r="D173" t="inlineStr">
        <is>
          <t>Miles S/</t>
        </is>
      </c>
      <c r="E173" s="11" t="n">
        <v>29769.0666</v>
      </c>
      <c r="F173" s="16" t="n">
        <v>29769.06662</v>
      </c>
    </row>
    <row r="174">
      <c r="A174" t="inlineStr">
        <is>
          <t>TUMBES</t>
        </is>
      </c>
      <c r="B174" t="inlineStr">
        <is>
          <t>240101</t>
        </is>
      </c>
      <c r="C174" t="inlineStr">
        <is>
          <t>Créditos</t>
        </is>
      </c>
      <c r="D174" t="inlineStr">
        <is>
          <t>Miles S/</t>
        </is>
      </c>
      <c r="E174" s="11" t="n">
        <v>28521.7569</v>
      </c>
      <c r="F174" s="16" t="n">
        <v>28521.7569</v>
      </c>
    </row>
    <row r="175">
      <c r="A175" t="inlineStr">
        <is>
          <t>NUEVO CHIMBOTE</t>
        </is>
      </c>
      <c r="B175" t="inlineStr">
        <is>
          <t>021809</t>
        </is>
      </c>
      <c r="C175" t="inlineStr">
        <is>
          <t>Créditos</t>
        </is>
      </c>
      <c r="D175" t="inlineStr">
        <is>
          <t>Miles S/</t>
        </is>
      </c>
      <c r="E175" s="11" t="n">
        <v>25472.9121</v>
      </c>
      <c r="F175" s="16" t="n">
        <v>25472.91208</v>
      </c>
    </row>
    <row r="176">
      <c r="A176" t="inlineStr">
        <is>
          <t>HUARAZ</t>
        </is>
      </c>
      <c r="B176" t="inlineStr">
        <is>
          <t>020101</t>
        </is>
      </c>
      <c r="C176" t="inlineStr">
        <is>
          <t>Créditos</t>
        </is>
      </c>
      <c r="D176" t="inlineStr">
        <is>
          <t>Miles S/</t>
        </is>
      </c>
      <c r="E176" s="11" t="n">
        <v>25378.7635</v>
      </c>
      <c r="F176" s="16" t="n">
        <v>25378.76347</v>
      </c>
    </row>
    <row r="177">
      <c r="A177" t="inlineStr">
        <is>
          <t>TAMBOPATA</t>
        </is>
      </c>
      <c r="B177" t="inlineStr">
        <is>
          <t>170101</t>
        </is>
      </c>
      <c r="C177" t="inlineStr">
        <is>
          <t>Créditos</t>
        </is>
      </c>
      <c r="D177" t="inlineStr">
        <is>
          <t>Miles S/</t>
        </is>
      </c>
      <c r="E177" s="11" t="n">
        <v>24275.6966</v>
      </c>
      <c r="F177" s="16" t="n">
        <v>24275.69658</v>
      </c>
    </row>
    <row r="178">
      <c r="A178" t="inlineStr">
        <is>
          <t>SAN JUAN BAUTISTA</t>
        </is>
      </c>
      <c r="B178" t="inlineStr">
        <is>
          <t>160113</t>
        </is>
      </c>
      <c r="C178" t="inlineStr">
        <is>
          <t>Créditos</t>
        </is>
      </c>
      <c r="D178" t="inlineStr">
        <is>
          <t>Miles S/</t>
        </is>
      </c>
      <c r="E178" s="11" t="n">
        <v>22456.016</v>
      </c>
      <c r="F178" s="16" t="n">
        <v>22456.01596</v>
      </c>
    </row>
    <row r="179">
      <c r="A179" t="inlineStr">
        <is>
          <t>CHANCHAMAYO</t>
        </is>
      </c>
      <c r="B179" t="inlineStr">
        <is>
          <t>120301</t>
        </is>
      </c>
      <c r="C179" t="inlineStr">
        <is>
          <t>Créditos</t>
        </is>
      </c>
      <c r="D179" t="inlineStr">
        <is>
          <t>Miles S/</t>
        </is>
      </c>
      <c r="E179" s="11" t="n">
        <v>21469.5849</v>
      </c>
      <c r="F179" s="16" t="n">
        <v>21469.58491</v>
      </c>
    </row>
    <row r="180">
      <c r="A180" t="inlineStr">
        <is>
          <t>SECHURA</t>
        </is>
      </c>
      <c r="B180" t="inlineStr">
        <is>
          <t>200801</t>
        </is>
      </c>
      <c r="C180" t="inlineStr">
        <is>
          <t>Créditos</t>
        </is>
      </c>
      <c r="D180" t="inlineStr">
        <is>
          <t>Miles S/</t>
        </is>
      </c>
      <c r="E180" s="11" t="n">
        <v>21348.8107</v>
      </c>
      <c r="F180" s="16" t="n">
        <v>21348.81067</v>
      </c>
    </row>
    <row r="181">
      <c r="A181" t="inlineStr">
        <is>
          <t>MOQUEGUA</t>
        </is>
      </c>
      <c r="B181" t="inlineStr">
        <is>
          <t>180101</t>
        </is>
      </c>
      <c r="C181" t="inlineStr">
        <is>
          <t>Créditos</t>
        </is>
      </c>
      <c r="D181" t="inlineStr">
        <is>
          <t>Miles S/</t>
        </is>
      </c>
      <c r="E181" s="11" t="n">
        <v>20635.7279</v>
      </c>
      <c r="F181" s="16" t="n">
        <v>20635.72793</v>
      </c>
    </row>
    <row r="182">
      <c r="A182" t="inlineStr">
        <is>
          <t>HUARAL</t>
        </is>
      </c>
      <c r="B182" t="inlineStr">
        <is>
          <t>150601</t>
        </is>
      </c>
      <c r="C182" t="inlineStr">
        <is>
          <t>Créditos</t>
        </is>
      </c>
      <c r="D182" t="inlineStr">
        <is>
          <t>Miles S/</t>
        </is>
      </c>
      <c r="E182" s="11" t="n">
        <v>19577.4209</v>
      </c>
      <c r="F182" s="16" t="n">
        <v>19577.42095</v>
      </c>
    </row>
    <row r="183">
      <c r="A183" t="inlineStr">
        <is>
          <t>CAJABAMBA</t>
        </is>
      </c>
      <c r="B183" t="inlineStr">
        <is>
          <t>060201</t>
        </is>
      </c>
      <c r="C183" t="inlineStr">
        <is>
          <t>Créditos</t>
        </is>
      </c>
      <c r="D183" t="inlineStr">
        <is>
          <t>Miles S/</t>
        </is>
      </c>
      <c r="E183" s="11" t="n">
        <v>18089.1576</v>
      </c>
      <c r="F183" s="16" t="n">
        <v>18089.15761</v>
      </c>
    </row>
    <row r="184">
      <c r="A184" t="inlineStr">
        <is>
          <t>BAGUA GRANDE</t>
        </is>
      </c>
      <c r="B184" t="inlineStr">
        <is>
          <t>010701</t>
        </is>
      </c>
      <c r="C184" t="inlineStr">
        <is>
          <t>Créditos</t>
        </is>
      </c>
      <c r="D184" t="inlineStr">
        <is>
          <t>Miles S/</t>
        </is>
      </c>
      <c r="E184" s="11" t="n">
        <v>17036.5713</v>
      </c>
      <c r="F184" s="16" t="n">
        <v>17036.57131</v>
      </c>
    </row>
    <row r="185">
      <c r="A185" t="inlineStr">
        <is>
          <t>CUTERVO</t>
        </is>
      </c>
      <c r="B185" t="inlineStr">
        <is>
          <t>060601</t>
        </is>
      </c>
      <c r="C185" t="inlineStr">
        <is>
          <t>Créditos</t>
        </is>
      </c>
      <c r="D185" t="inlineStr">
        <is>
          <t>Miles S/</t>
        </is>
      </c>
      <c r="E185" s="11" t="n">
        <v>16712.8416</v>
      </c>
      <c r="F185" s="16" t="n">
        <v>16712.84156</v>
      </c>
    </row>
    <row r="186">
      <c r="A186" t="inlineStr">
        <is>
          <t>ILO</t>
        </is>
      </c>
      <c r="B186" t="inlineStr">
        <is>
          <t>180301</t>
        </is>
      </c>
      <c r="C186" t="inlineStr">
        <is>
          <t>Créditos</t>
        </is>
      </c>
      <c r="D186" t="inlineStr">
        <is>
          <t>Miles S/</t>
        </is>
      </c>
      <c r="E186" s="11" t="n">
        <v>16360.3763</v>
      </c>
      <c r="F186" s="16" t="n">
        <v>16360.37626</v>
      </c>
    </row>
    <row r="187">
      <c r="A187" t="inlineStr">
        <is>
          <t>BAMBAMARCA</t>
        </is>
      </c>
      <c r="B187" t="inlineStr">
        <is>
          <t>060701</t>
        </is>
      </c>
      <c r="C187" t="inlineStr">
        <is>
          <t>Créditos</t>
        </is>
      </c>
      <c r="D187" t="inlineStr">
        <is>
          <t>Miles S/</t>
        </is>
      </c>
      <c r="E187" s="11" t="n">
        <v>14902.0314</v>
      </c>
      <c r="F187" s="16" t="n">
        <v>14902.03143</v>
      </c>
    </row>
    <row r="188">
      <c r="A188" t="inlineStr">
        <is>
          <t>HUACHO</t>
        </is>
      </c>
      <c r="B188" t="inlineStr">
        <is>
          <t>150801</t>
        </is>
      </c>
      <c r="C188" t="inlineStr">
        <is>
          <t>Créditos</t>
        </is>
      </c>
      <c r="D188" t="inlineStr">
        <is>
          <t>Miles S/</t>
        </is>
      </c>
      <c r="E188" s="11" t="n">
        <v>14857.9349</v>
      </c>
      <c r="F188" s="16" t="n">
        <v>14857.93487</v>
      </c>
    </row>
    <row r="189">
      <c r="A189" t="inlineStr">
        <is>
          <t>PARIÑAS</t>
        </is>
      </c>
      <c r="B189" t="inlineStr">
        <is>
          <t>200701</t>
        </is>
      </c>
      <c r="C189" t="inlineStr">
        <is>
          <t>Créditos</t>
        </is>
      </c>
      <c r="D189" t="inlineStr">
        <is>
          <t>Miles S/</t>
        </is>
      </c>
      <c r="E189" s="11" t="n">
        <v>14736.1622</v>
      </c>
      <c r="F189" s="16" t="n">
        <v>14736.16222</v>
      </c>
    </row>
    <row r="190">
      <c r="A190" t="inlineStr">
        <is>
          <t>COCACHACRA</t>
        </is>
      </c>
      <c r="B190" t="inlineStr">
        <is>
          <t>040702</t>
        </is>
      </c>
      <c r="C190" t="inlineStr">
        <is>
          <t>Créditos</t>
        </is>
      </c>
      <c r="D190" t="inlineStr">
        <is>
          <t>Miles S/</t>
        </is>
      </c>
      <c r="E190" s="11" t="n">
        <v>14144.6971</v>
      </c>
      <c r="F190" s="16" t="n">
        <v>14144.69711</v>
      </c>
    </row>
    <row r="191">
      <c r="A191" t="inlineStr">
        <is>
          <t>LA VICTORIA</t>
        </is>
      </c>
      <c r="B191" t="inlineStr">
        <is>
          <t>140106</t>
        </is>
      </c>
      <c r="C191" t="inlineStr">
        <is>
          <t>Créditos</t>
        </is>
      </c>
      <c r="D191" t="inlineStr">
        <is>
          <t>Miles S/</t>
        </is>
      </c>
      <c r="E191" s="11" t="n">
        <v>13048.3488</v>
      </c>
      <c r="F191" s="16" t="n">
        <v>13048.3488</v>
      </c>
    </row>
    <row r="192">
      <c r="A192" t="inlineStr">
        <is>
          <t>FERREÑAFE</t>
        </is>
      </c>
      <c r="B192" t="inlineStr">
        <is>
          <t>140201</t>
        </is>
      </c>
      <c r="C192" t="inlineStr">
        <is>
          <t>Créditos</t>
        </is>
      </c>
      <c r="D192" t="inlineStr">
        <is>
          <t>Miles S/</t>
        </is>
      </c>
      <c r="E192" s="11" t="n">
        <v>12754.182</v>
      </c>
      <c r="F192" s="16" t="n">
        <v>12754.18204</v>
      </c>
    </row>
    <row r="193">
      <c r="A193" t="inlineStr">
        <is>
          <t>BARRANCA</t>
        </is>
      </c>
      <c r="B193" t="inlineStr">
        <is>
          <t>150201</t>
        </is>
      </c>
      <c r="C193" t="inlineStr">
        <is>
          <t>Créditos</t>
        </is>
      </c>
      <c r="D193" t="inlineStr">
        <is>
          <t>Miles S/</t>
        </is>
      </c>
      <c r="E193" s="11" t="n">
        <v>12613.6562</v>
      </c>
      <c r="F193" s="16" t="n">
        <v>12613.65617</v>
      </c>
    </row>
    <row r="194">
      <c r="A194" t="inlineStr">
        <is>
          <t>ZARUMILLA</t>
        </is>
      </c>
      <c r="B194" t="inlineStr">
        <is>
          <t>240301</t>
        </is>
      </c>
      <c r="C194" t="inlineStr">
        <is>
          <t>Créditos</t>
        </is>
      </c>
      <c r="D194" t="inlineStr">
        <is>
          <t>Miles S/</t>
        </is>
      </c>
      <c r="E194" s="11" t="n">
        <v>10663.5165</v>
      </c>
      <c r="F194" s="16" t="n">
        <v>10663.5165</v>
      </c>
    </row>
    <row r="195">
      <c r="A195" t="inlineStr">
        <is>
          <t>CASMA</t>
        </is>
      </c>
      <c r="B195" t="inlineStr">
        <is>
          <t>020801</t>
        </is>
      </c>
      <c r="C195" t="inlineStr">
        <is>
          <t>Créditos</t>
        </is>
      </c>
      <c r="D195" t="inlineStr">
        <is>
          <t>Miles S/</t>
        </is>
      </c>
      <c r="E195" s="11" t="n">
        <v>10554.6353</v>
      </c>
      <c r="F195" s="16" t="n">
        <v>10554.63534</v>
      </c>
    </row>
    <row r="196">
      <c r="A196" t="inlineStr">
        <is>
          <t>ABANCAY</t>
        </is>
      </c>
      <c r="B196" t="inlineStr">
        <is>
          <t>030101</t>
        </is>
      </c>
      <c r="C196" t="inlineStr">
        <is>
          <t>Créditos</t>
        </is>
      </c>
      <c r="D196" t="inlineStr">
        <is>
          <t>Miles S/</t>
        </is>
      </c>
      <c r="E196" s="11" t="n">
        <v>10238.8152</v>
      </c>
      <c r="F196" s="16" t="n">
        <v>10238.81515</v>
      </c>
    </row>
    <row r="197">
      <c r="A197" t="inlineStr">
        <is>
          <t>VEINTISEIS DE OCTUBRE</t>
        </is>
      </c>
      <c r="B197" t="inlineStr">
        <is>
          <t>200115</t>
        </is>
      </c>
      <c r="C197" t="inlineStr">
        <is>
          <t>Créditos</t>
        </is>
      </c>
      <c r="D197" t="inlineStr">
        <is>
          <t>Miles S/</t>
        </is>
      </c>
      <c r="E197" s="11" t="n">
        <v>10124.5197</v>
      </c>
      <c r="F197" s="16" t="n">
        <v>10124.51972</v>
      </c>
    </row>
    <row r="198">
      <c r="A198" t="inlineStr">
        <is>
          <t>VIRU</t>
        </is>
      </c>
      <c r="B198" t="inlineStr">
        <is>
          <t>131201</t>
        </is>
      </c>
      <c r="C198" t="inlineStr">
        <is>
          <t>Créditos</t>
        </is>
      </c>
      <c r="D198" t="inlineStr">
        <is>
          <t>Miles S/</t>
        </is>
      </c>
      <c r="E198" s="11" t="n">
        <v>9945.309300000001</v>
      </c>
      <c r="F198" s="16" t="n">
        <v>9945.30926</v>
      </c>
    </row>
    <row r="199">
      <c r="A199" t="inlineStr">
        <is>
          <t>CHULUCANAS</t>
        </is>
      </c>
      <c r="B199" t="inlineStr">
        <is>
          <t>200401</t>
        </is>
      </c>
      <c r="C199" t="inlineStr">
        <is>
          <t>Créditos</t>
        </is>
      </c>
      <c r="D199" t="inlineStr">
        <is>
          <t>Miles S/</t>
        </is>
      </c>
      <c r="E199" s="11" t="n">
        <v>9726.902899999999</v>
      </c>
      <c r="F199" s="16" t="n">
        <v>9726.90293</v>
      </c>
    </row>
    <row r="200">
      <c r="A200" t="inlineStr">
        <is>
          <t>CHACHAPOYAS</t>
        </is>
      </c>
      <c r="B200" t="inlineStr">
        <is>
          <t>010101</t>
        </is>
      </c>
      <c r="C200" t="inlineStr">
        <is>
          <t>Créditos</t>
        </is>
      </c>
      <c r="D200" t="inlineStr">
        <is>
          <t>Miles S/</t>
        </is>
      </c>
      <c r="E200" s="11" t="n">
        <v>9712.0375</v>
      </c>
      <c r="F200" s="16" t="n">
        <v>9712.037469999999</v>
      </c>
    </row>
    <row r="201">
      <c r="A201" t="inlineStr">
        <is>
          <t>PUEBLO NUEVO</t>
        </is>
      </c>
      <c r="B201" t="inlineStr">
        <is>
          <t>110207</t>
        </is>
      </c>
      <c r="C201" t="inlineStr">
        <is>
          <t>Créditos</t>
        </is>
      </c>
      <c r="D201" t="inlineStr">
        <is>
          <t>Miles S/</t>
        </is>
      </c>
      <c r="E201" s="11" t="n">
        <v>9701.965899999999</v>
      </c>
      <c r="F201" s="16" t="n">
        <v>9701.965910000001</v>
      </c>
    </row>
    <row r="202">
      <c r="A202" t="inlineStr">
        <is>
          <t>SAN VICENTE DE CAÑETE</t>
        </is>
      </c>
      <c r="B202" t="inlineStr">
        <is>
          <t>150501</t>
        </is>
      </c>
      <c r="C202" t="inlineStr">
        <is>
          <t>Créditos</t>
        </is>
      </c>
      <c r="D202" t="inlineStr">
        <is>
          <t>Miles S/</t>
        </is>
      </c>
      <c r="E202" s="11" t="n">
        <v>9113.096</v>
      </c>
      <c r="F202" s="16" t="n">
        <v>9113.09597</v>
      </c>
    </row>
    <row r="203">
      <c r="A203" t="inlineStr">
        <is>
          <t>MANCORA</t>
        </is>
      </c>
      <c r="B203" t="inlineStr">
        <is>
          <t>200706</t>
        </is>
      </c>
      <c r="C203" t="inlineStr">
        <is>
          <t>Créditos</t>
        </is>
      </c>
      <c r="D203" t="inlineStr">
        <is>
          <t>Miles S/</t>
        </is>
      </c>
      <c r="E203" s="11" t="n">
        <v>8693.726000000001</v>
      </c>
      <c r="F203" s="16" t="n">
        <v>8693.72597</v>
      </c>
    </row>
    <row r="204">
      <c r="A204" t="inlineStr">
        <is>
          <t>LURIGANCHO</t>
        </is>
      </c>
      <c r="B204" t="inlineStr">
        <is>
          <t>150118</t>
        </is>
      </c>
      <c r="C204" t="inlineStr">
        <is>
          <t>Créditos</t>
        </is>
      </c>
      <c r="D204" t="inlineStr">
        <is>
          <t>Miles S/</t>
        </is>
      </c>
      <c r="E204" s="11" t="n">
        <v>8671.5785</v>
      </c>
      <c r="F204" s="16" t="n">
        <v>8671.57849</v>
      </c>
    </row>
    <row r="205">
      <c r="A205" t="inlineStr">
        <is>
          <t>NAZCA</t>
        </is>
      </c>
      <c r="B205" t="inlineStr">
        <is>
          <t>110301</t>
        </is>
      </c>
      <c r="C205" t="inlineStr">
        <is>
          <t>Créditos</t>
        </is>
      </c>
      <c r="D205" t="inlineStr">
        <is>
          <t>Miles S/</t>
        </is>
      </c>
      <c r="E205" s="11" t="n">
        <v>8333.008400000001</v>
      </c>
      <c r="F205" s="16" t="n">
        <v>8333.00841</v>
      </c>
    </row>
    <row r="206">
      <c r="A206" t="inlineStr">
        <is>
          <t>TAMBO GRANDE</t>
        </is>
      </c>
      <c r="B206" t="inlineStr">
        <is>
          <t>200114</t>
        </is>
      </c>
      <c r="C206" t="inlineStr">
        <is>
          <t>Créditos</t>
        </is>
      </c>
      <c r="D206" t="inlineStr">
        <is>
          <t>Miles S/</t>
        </is>
      </c>
      <c r="E206" s="11" t="n">
        <v>8294.0252</v>
      </c>
      <c r="F206" s="16" t="n">
        <v>8294.02522</v>
      </c>
    </row>
    <row r="207">
      <c r="A207" t="inlineStr">
        <is>
          <t>MOCHE</t>
        </is>
      </c>
      <c r="B207" t="inlineStr">
        <is>
          <t>130107</t>
        </is>
      </c>
      <c r="C207" t="inlineStr">
        <is>
          <t>Créditos</t>
        </is>
      </c>
      <c r="D207" t="inlineStr">
        <is>
          <t>Miles S/</t>
        </is>
      </c>
      <c r="E207" s="11" t="n">
        <v>8277.841399999999</v>
      </c>
      <c r="F207" s="16" t="n">
        <v>8277.841399999999</v>
      </c>
    </row>
    <row r="208">
      <c r="A208" t="inlineStr">
        <is>
          <t>OLMOS</t>
        </is>
      </c>
      <c r="B208" t="inlineStr">
        <is>
          <t>140308</t>
        </is>
      </c>
      <c r="C208" t="inlineStr">
        <is>
          <t>Créditos</t>
        </is>
      </c>
      <c r="D208" t="inlineStr">
        <is>
          <t>Miles S/</t>
        </is>
      </c>
      <c r="E208" s="11" t="n">
        <v>8169.7367</v>
      </c>
      <c r="F208" s="16" t="n">
        <v>8169.73672</v>
      </c>
    </row>
    <row r="209">
      <c r="A209" t="inlineStr">
        <is>
          <t>LA UNION</t>
        </is>
      </c>
      <c r="B209" t="inlineStr">
        <is>
          <t>200110</t>
        </is>
      </c>
      <c r="C209" t="inlineStr">
        <is>
          <t>Créditos</t>
        </is>
      </c>
      <c r="D209" t="inlineStr">
        <is>
          <t>Miles S/</t>
        </is>
      </c>
      <c r="E209" s="11" t="n">
        <v>7867.6351</v>
      </c>
      <c r="F209" s="16" t="n">
        <v>7867.6351</v>
      </c>
    </row>
    <row r="210">
      <c r="A210" t="inlineStr">
        <is>
          <t>MARCAVELICA</t>
        </is>
      </c>
      <c r="B210" t="inlineStr">
        <is>
          <t>200605</t>
        </is>
      </c>
      <c r="C210" t="inlineStr">
        <is>
          <t>Créditos</t>
        </is>
      </c>
      <c r="D210" t="inlineStr">
        <is>
          <t>Miles S/</t>
        </is>
      </c>
      <c r="E210" s="11" t="n">
        <v>7418.8229</v>
      </c>
      <c r="F210" s="16" t="n">
        <v>7418.82295</v>
      </c>
    </row>
    <row r="211">
      <c r="A211" t="inlineStr">
        <is>
          <t>PAITA</t>
        </is>
      </c>
      <c r="B211" t="inlineStr">
        <is>
          <t>200501</t>
        </is>
      </c>
      <c r="C211" t="inlineStr">
        <is>
          <t>Créditos</t>
        </is>
      </c>
      <c r="D211" t="inlineStr">
        <is>
          <t>Miles S/</t>
        </is>
      </c>
      <c r="E211" s="11" t="n">
        <v>7398.6217</v>
      </c>
      <c r="F211" s="16" t="n">
        <v>7398.62171</v>
      </c>
    </row>
    <row r="212">
      <c r="A212" t="inlineStr">
        <is>
          <t>MIRAFLORES</t>
        </is>
      </c>
      <c r="B212" t="inlineStr">
        <is>
          <t>150122</t>
        </is>
      </c>
      <c r="C212" t="inlineStr">
        <is>
          <t>Créditos</t>
        </is>
      </c>
      <c r="D212" t="inlineStr">
        <is>
          <t>Miles S/</t>
        </is>
      </c>
      <c r="E212" s="11" t="n">
        <v>6414.2408</v>
      </c>
      <c r="F212" s="16" t="n">
        <v>6414.24083</v>
      </c>
    </row>
    <row r="213">
      <c r="A213" t="inlineStr">
        <is>
          <t>MALA</t>
        </is>
      </c>
      <c r="B213" t="inlineStr">
        <is>
          <t>150509</t>
        </is>
      </c>
      <c r="C213" t="inlineStr">
        <is>
          <t>Créditos</t>
        </is>
      </c>
      <c r="D213" t="inlineStr">
        <is>
          <t>Miles S/</t>
        </is>
      </c>
      <c r="E213" s="11" t="n">
        <v>6099.3601</v>
      </c>
      <c r="F213" s="16" t="n">
        <v>6099.36012</v>
      </c>
    </row>
    <row r="214">
      <c r="A214" t="inlineStr">
        <is>
          <t>PICHANAQUI</t>
        </is>
      </c>
      <c r="B214" t="inlineStr">
        <is>
          <t>120303</t>
        </is>
      </c>
      <c r="C214" t="inlineStr">
        <is>
          <t>Créditos</t>
        </is>
      </c>
      <c r="D214" t="inlineStr">
        <is>
          <t>Miles S/</t>
        </is>
      </c>
      <c r="E214" s="11" t="n">
        <v>3600.0558</v>
      </c>
      <c r="F214" s="16" t="n">
        <v>3600.05583</v>
      </c>
    </row>
    <row r="215">
      <c r="A215" t="inlineStr">
        <is>
          <t>SANTIAGO DE SURCO</t>
        </is>
      </c>
      <c r="B215" t="inlineStr">
        <is>
          <t>150140</t>
        </is>
      </c>
      <c r="C215" t="inlineStr">
        <is>
          <t>Créditos</t>
        </is>
      </c>
      <c r="D215" t="inlineStr">
        <is>
          <t>Miles S/</t>
        </is>
      </c>
      <c r="E215" s="11" t="n">
        <v>0</v>
      </c>
      <c r="F215" s="1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2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Orygen — Potencia efectiva por distrito y exposición asignada</t>
        </is>
      </c>
    </row>
    <row r="2">
      <c r="A2" s="2" t="inlineStr">
        <is>
          <t>Potencia efectiva total: 9,967.12 MW   ·   Exposición en cartera: S/ 138,972,415   ·   Asignación: tmf_share</t>
        </is>
      </c>
    </row>
    <row r="4">
      <c r="A4" s="3" t="inlineStr">
        <is>
          <t>Departamento</t>
        </is>
      </c>
      <c r="B4" s="3" t="inlineStr">
        <is>
          <t>Provincia</t>
        </is>
      </c>
      <c r="C4" s="3" t="inlineStr">
        <is>
          <t>Distrito</t>
        </is>
      </c>
      <c r="D4" s="3" t="inlineStr">
        <is>
          <t>Ubigeo</t>
        </is>
      </c>
      <c r="E4" s="3" t="inlineStr">
        <is>
          <t>Centrales eléctricas</t>
        </is>
      </c>
      <c r="F4" s="3" t="inlineStr">
        <is>
          <t>Potencia efectiva (MW)</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MOQUEGUA</t>
        </is>
      </c>
      <c r="B5" t="inlineStr">
        <is>
          <t>MARISCAL NIETO</t>
        </is>
      </c>
      <c r="C5" t="inlineStr">
        <is>
          <t>MOQUEGUA</t>
        </is>
      </c>
      <c r="D5" t="inlineStr">
        <is>
          <t>180101</t>
        </is>
      </c>
      <c r="E5" t="inlineStr">
        <is>
          <t>C.S. CLEMESI, C.S. RUBI, C.T. VENTANILLA</t>
        </is>
      </c>
      <c r="F5" s="11" t="n">
        <v>2882.3994</v>
      </c>
      <c r="G5" s="6">
        <f>IF($F$12=0,0,F5/$F$12)</f>
        <v/>
      </c>
      <c r="H5" s="5" t="n">
        <v>40189544.56</v>
      </c>
      <c r="I5" t="n">
        <v>4</v>
      </c>
      <c r="J5" t="n">
        <v>4</v>
      </c>
      <c r="L5" s="5" t="n">
        <v>160758178.24</v>
      </c>
    </row>
    <row r="6">
      <c r="A6" t="inlineStr">
        <is>
          <t>LIMA</t>
        </is>
      </c>
      <c r="B6" t="inlineStr">
        <is>
          <t>LIMA</t>
        </is>
      </c>
      <c r="C6" t="inlineStr">
        <is>
          <t>RIMAC</t>
        </is>
      </c>
      <c r="D6" t="inlineStr">
        <is>
          <t>150128</t>
        </is>
      </c>
      <c r="E6" t="inlineStr">
        <is>
          <t>C.T. SANTA ROSA, C.T. SANTA ROSA II</t>
        </is>
      </c>
      <c r="F6" s="11" t="n">
        <v>2492.8331</v>
      </c>
      <c r="G6" s="6">
        <f>IF($F$12=0,0,F6/$F$12)</f>
        <v/>
      </c>
      <c r="H6" s="5" t="n">
        <v>34757789.04</v>
      </c>
      <c r="I6" t="n">
        <v>3</v>
      </c>
      <c r="J6" t="n">
        <v>3</v>
      </c>
      <c r="L6" s="5" t="n">
        <v>104273367.11</v>
      </c>
    </row>
    <row r="7">
      <c r="A7" t="inlineStr">
        <is>
          <t>LIMA</t>
        </is>
      </c>
      <c r="B7" t="inlineStr">
        <is>
          <t>HUAROCHIRI</t>
        </is>
      </c>
      <c r="C7" t="inlineStr">
        <is>
          <t>SAN PEDRO DE CASTA</t>
        </is>
      </c>
      <c r="D7" t="inlineStr">
        <is>
          <t>150724</t>
        </is>
      </c>
      <c r="E7" t="inlineStr">
        <is>
          <t>C.H. HUINCO</t>
        </is>
      </c>
      <c r="F7" s="11" t="n">
        <v>1667.4</v>
      </c>
      <c r="G7" s="6">
        <f>IF($F$12=0,0,F7/$F$12)</f>
        <v/>
      </c>
      <c r="H7" s="5" t="n">
        <v>23248703.06</v>
      </c>
      <c r="I7" t="n">
        <v>4</v>
      </c>
      <c r="J7" t="n">
        <v>1</v>
      </c>
      <c r="K7" t="n">
        <v>3</v>
      </c>
      <c r="L7" s="5" t="n">
        <v>61996541.48</v>
      </c>
    </row>
    <row r="8">
      <c r="A8" t="inlineStr">
        <is>
          <t>ICA</t>
        </is>
      </c>
      <c r="B8" t="inlineStr">
        <is>
          <t>NAZCA</t>
        </is>
      </c>
      <c r="C8" t="inlineStr">
        <is>
          <t>MARCONA</t>
        </is>
      </c>
      <c r="D8" t="inlineStr">
        <is>
          <t>110304</t>
        </is>
      </c>
      <c r="E8" t="inlineStr">
        <is>
          <t>C.E. WAYRA EXTENSION, C.E. WAYRA I</t>
        </is>
      </c>
      <c r="F8" s="11" t="n">
        <v>992.0454999999999</v>
      </c>
      <c r="G8" s="6">
        <f>IF($F$12=0,0,F8/$F$12)</f>
        <v/>
      </c>
      <c r="H8" s="5" t="n">
        <v>13832177.07</v>
      </c>
      <c r="I8" t="n">
        <v>3</v>
      </c>
      <c r="J8" t="n">
        <v>4</v>
      </c>
      <c r="L8" s="5" t="n">
        <v>48412619.75</v>
      </c>
    </row>
    <row r="9">
      <c r="A9" t="inlineStr">
        <is>
          <t>LIMA</t>
        </is>
      </c>
      <c r="B9" t="inlineStr">
        <is>
          <t>HUAROCHIRI</t>
        </is>
      </c>
      <c r="C9" t="inlineStr">
        <is>
          <t>SURCO</t>
        </is>
      </c>
      <c r="D9" t="inlineStr">
        <is>
          <t>150732</t>
        </is>
      </c>
      <c r="E9" t="inlineStr">
        <is>
          <t>C.H. MATUCANA</t>
        </is>
      </c>
      <c r="F9" s="11" t="n">
        <v>822.1318</v>
      </c>
      <c r="G9" s="6">
        <f>IF($F$12=0,0,F9/$F$12)</f>
        <v/>
      </c>
      <c r="H9" s="5" t="n">
        <v>11463054.55</v>
      </c>
      <c r="I9" t="n">
        <v>4</v>
      </c>
      <c r="J9" t="n">
        <v>1</v>
      </c>
      <c r="K9" t="n">
        <v>4</v>
      </c>
      <c r="L9" s="5" t="n">
        <v>34389163.66</v>
      </c>
    </row>
    <row r="10">
      <c r="A10" t="inlineStr">
        <is>
          <t>LIMA</t>
        </is>
      </c>
      <c r="B10" t="inlineStr">
        <is>
          <t>LIMA</t>
        </is>
      </c>
      <c r="C10" t="inlineStr">
        <is>
          <t>LURIGANCHO</t>
        </is>
      </c>
      <c r="D10" t="inlineStr">
        <is>
          <t>150118</t>
        </is>
      </c>
      <c r="E10" t="inlineStr">
        <is>
          <t>C.H. HER 1, C.H. HUAMPANI, C.H. MOYOPAMPA</t>
        </is>
      </c>
      <c r="F10" s="11" t="n">
        <v>604.0599</v>
      </c>
      <c r="G10" s="6">
        <f>IF($F$12=0,0,F10/$F$12)</f>
        <v/>
      </c>
      <c r="H10" s="5" t="n">
        <v>8422459.08</v>
      </c>
      <c r="I10" t="n">
        <v>5</v>
      </c>
      <c r="J10" t="n">
        <v>4</v>
      </c>
      <c r="L10" s="5" t="n">
        <v>37901065.85</v>
      </c>
    </row>
    <row r="11">
      <c r="A11" t="inlineStr">
        <is>
          <t>LIMA</t>
        </is>
      </c>
      <c r="B11" t="inlineStr">
        <is>
          <t>HUAROCHIRI</t>
        </is>
      </c>
      <c r="C11" t="inlineStr">
        <is>
          <t>CALLAHUANCA</t>
        </is>
      </c>
      <c r="D11" t="inlineStr">
        <is>
          <t>150703</t>
        </is>
      </c>
      <c r="E11" t="inlineStr">
        <is>
          <t>C.H. CALLAHUANCA</t>
        </is>
      </c>
      <c r="F11" s="11" t="n">
        <v>506.25</v>
      </c>
      <c r="G11" s="6">
        <f>IF($F$12=0,0,F11/$F$12)</f>
        <v/>
      </c>
      <c r="H11" s="5" t="n">
        <v>7058687.73</v>
      </c>
      <c r="I11" t="n">
        <v>4</v>
      </c>
      <c r="J11" t="n">
        <v>1</v>
      </c>
      <c r="K11" t="n">
        <v>4</v>
      </c>
      <c r="L11" s="5" t="n">
        <v>21176063.19</v>
      </c>
    </row>
    <row r="12">
      <c r="A12" s="12" t="inlineStr">
        <is>
          <t>TOTAL</t>
        </is>
      </c>
      <c r="B12" t="inlineStr"/>
      <c r="C12" t="inlineStr"/>
      <c r="D12" t="inlineStr"/>
      <c r="E12" t="inlineStr"/>
      <c r="F12" s="13">
        <f>SUM(F5:F11)</f>
        <v/>
      </c>
      <c r="G12" t="inlineStr"/>
      <c r="H12" s="14">
        <f>SUM(H5:H11)</f>
        <v/>
      </c>
      <c r="I12" t="inlineStr"/>
      <c r="J12" t="inlineStr"/>
      <c r="K12" t="inlineStr"/>
      <c r="L12" s="14">
        <f>SUM(L5:L11)</f>
        <v/>
      </c>
    </row>
    <row r="15">
      <c r="A15" s="15" t="inlineStr">
        <is>
          <t>Detalle por central (MW)</t>
        </is>
      </c>
    </row>
    <row r="16">
      <c r="A16" s="3" t="inlineStr">
        <is>
          <t>Distrito</t>
        </is>
      </c>
      <c r="B16" s="3" t="inlineStr">
        <is>
          <t>Ubigeo</t>
        </is>
      </c>
      <c r="C16" s="3" t="inlineStr">
        <is>
          <t>Mineral</t>
        </is>
      </c>
      <c r="D16" s="3" t="inlineStr">
        <is>
          <t>Unidad</t>
        </is>
      </c>
      <c r="E16" s="3" t="inlineStr">
        <is>
          <t>Cantidad (orig.)</t>
        </is>
      </c>
      <c r="F16" s="3" t="inlineStr">
        <is>
          <t>TMF equiv.</t>
        </is>
      </c>
    </row>
    <row r="17">
      <c r="A17" t="inlineStr">
        <is>
          <t>MOQUEGUA</t>
        </is>
      </c>
      <c r="B17" t="inlineStr">
        <is>
          <t>180101</t>
        </is>
      </c>
      <c r="C17" t="inlineStr">
        <is>
          <t>Potencia efectiva</t>
        </is>
      </c>
      <c r="D17" t="inlineStr">
        <is>
          <t>MW</t>
        </is>
      </c>
      <c r="E17" s="11" t="n">
        <v>2882.3994</v>
      </c>
      <c r="F17" s="16" t="n">
        <v>2882.399351</v>
      </c>
    </row>
    <row r="18">
      <c r="A18" t="inlineStr">
        <is>
          <t>RIMAC</t>
        </is>
      </c>
      <c r="B18" t="inlineStr">
        <is>
          <t>150128</t>
        </is>
      </c>
      <c r="C18" t="inlineStr">
        <is>
          <t>Potencia efectiva</t>
        </is>
      </c>
      <c r="D18" t="inlineStr">
        <is>
          <t>MW</t>
        </is>
      </c>
      <c r="E18" s="11" t="n">
        <v>2492.8331</v>
      </c>
      <c r="F18" s="16" t="n">
        <v>2492.83314</v>
      </c>
    </row>
    <row r="19">
      <c r="A19" t="inlineStr">
        <is>
          <t>SAN PEDRO DE CASTA</t>
        </is>
      </c>
      <c r="B19" t="inlineStr">
        <is>
          <t>150724</t>
        </is>
      </c>
      <c r="C19" t="inlineStr">
        <is>
          <t>Potencia efectiva</t>
        </is>
      </c>
      <c r="D19" t="inlineStr">
        <is>
          <t>MW</t>
        </is>
      </c>
      <c r="E19" s="11" t="n">
        <v>1667.4</v>
      </c>
      <c r="F19" s="16" t="n">
        <v>1667.4</v>
      </c>
    </row>
    <row r="20">
      <c r="A20" t="inlineStr">
        <is>
          <t>MARCONA</t>
        </is>
      </c>
      <c r="B20" t="inlineStr">
        <is>
          <t>110304</t>
        </is>
      </c>
      <c r="C20" t="inlineStr">
        <is>
          <t>Potencia efectiva</t>
        </is>
      </c>
      <c r="D20" t="inlineStr">
        <is>
          <t>MW</t>
        </is>
      </c>
      <c r="E20" s="11" t="n">
        <v>992.0454999999999</v>
      </c>
      <c r="F20" s="16" t="n">
        <v>992.045534</v>
      </c>
    </row>
    <row r="21">
      <c r="A21" t="inlineStr">
        <is>
          <t>SURCO</t>
        </is>
      </c>
      <c r="B21" t="inlineStr">
        <is>
          <t>150732</t>
        </is>
      </c>
      <c r="C21" t="inlineStr">
        <is>
          <t>Potencia efectiva</t>
        </is>
      </c>
      <c r="D21" t="inlineStr">
        <is>
          <t>MW</t>
        </is>
      </c>
      <c r="E21" s="11" t="n">
        <v>822.1318</v>
      </c>
      <c r="F21" s="16" t="n">
        <v>822.13176</v>
      </c>
    </row>
    <row r="22">
      <c r="A22" t="inlineStr">
        <is>
          <t>LURIGANCHO</t>
        </is>
      </c>
      <c r="B22" t="inlineStr">
        <is>
          <t>150118</t>
        </is>
      </c>
      <c r="C22" t="inlineStr">
        <is>
          <t>Potencia efectiva</t>
        </is>
      </c>
      <c r="D22" t="inlineStr">
        <is>
          <t>MW</t>
        </is>
      </c>
      <c r="E22" s="11" t="n">
        <v>604.0599</v>
      </c>
      <c r="F22" s="16" t="n">
        <v>604.059858</v>
      </c>
    </row>
    <row r="23">
      <c r="A23" t="inlineStr">
        <is>
          <t>CALLAHUANCA</t>
        </is>
      </c>
      <c r="B23" t="inlineStr">
        <is>
          <t>150703</t>
        </is>
      </c>
      <c r="C23" t="inlineStr">
        <is>
          <t>Potencia efectiva</t>
        </is>
      </c>
      <c r="D23" t="inlineStr">
        <is>
          <t>MW</t>
        </is>
      </c>
      <c r="E23" s="11" t="n">
        <v>506.25</v>
      </c>
      <c r="F23" s="16" t="n">
        <v>506.25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Engie — Potencia efectiva por distrito y exposición asignada</t>
        </is>
      </c>
    </row>
    <row r="2">
      <c r="A2" s="2" t="inlineStr">
        <is>
          <t>Potencia efectiva total: 11,078.67 MW   ·   Exposición en cartera: S/ 220,323,925   ·   Asignación: tmf_share</t>
        </is>
      </c>
    </row>
    <row r="4">
      <c r="A4" s="3" t="inlineStr">
        <is>
          <t>Departamento</t>
        </is>
      </c>
      <c r="B4" s="3" t="inlineStr">
        <is>
          <t>Provincia</t>
        </is>
      </c>
      <c r="C4" s="3" t="inlineStr">
        <is>
          <t>Distrito</t>
        </is>
      </c>
      <c r="D4" s="3" t="inlineStr">
        <is>
          <t>Ubigeo</t>
        </is>
      </c>
      <c r="E4" s="3" t="inlineStr">
        <is>
          <t>Centrales eléctricas</t>
        </is>
      </c>
      <c r="F4" s="3" t="inlineStr">
        <is>
          <t>Potencia efectiva (MW)</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CAÑETE</t>
        </is>
      </c>
      <c r="C5" t="inlineStr">
        <is>
          <t>CHILCA</t>
        </is>
      </c>
      <c r="D5" t="inlineStr">
        <is>
          <t>150505</t>
        </is>
      </c>
      <c r="E5" t="inlineStr">
        <is>
          <t>C.T. CHILCA 1, C.T. CHILCA 2</t>
        </is>
      </c>
      <c r="F5" s="11" t="n">
        <v>5581.5779</v>
      </c>
      <c r="G5" s="6">
        <f>IF($F$10=0,0,F5/$F$10)</f>
        <v/>
      </c>
      <c r="H5" s="5" t="n">
        <v>111002093</v>
      </c>
      <c r="I5" t="n">
        <v>4</v>
      </c>
      <c r="J5" t="n">
        <v>3</v>
      </c>
      <c r="L5" s="5" t="n">
        <v>388507325.49</v>
      </c>
    </row>
    <row r="6">
      <c r="A6" t="inlineStr">
        <is>
          <t>MOQUEGUA</t>
        </is>
      </c>
      <c r="B6" t="inlineStr">
        <is>
          <t>ILO</t>
        </is>
      </c>
      <c r="C6" t="inlineStr">
        <is>
          <t>ILO</t>
        </is>
      </c>
      <c r="D6" t="inlineStr">
        <is>
          <t>180301</t>
        </is>
      </c>
      <c r="E6" t="inlineStr">
        <is>
          <t>C.T. NEPI, C.T. R.F. PLANTA ILO</t>
        </is>
      </c>
      <c r="F6" s="11" t="n">
        <v>3855.7652</v>
      </c>
      <c r="G6" s="6">
        <f>IF($F$10=0,0,F6/$F$10)</f>
        <v/>
      </c>
      <c r="H6" s="5" t="n">
        <v>76680467.53</v>
      </c>
      <c r="I6" t="n">
        <v>4</v>
      </c>
      <c r="J6" t="n">
        <v>2</v>
      </c>
      <c r="L6" s="5" t="n">
        <v>230041402.59</v>
      </c>
    </row>
    <row r="7">
      <c r="A7" t="inlineStr">
        <is>
          <t>PASCO</t>
        </is>
      </c>
      <c r="B7" t="inlineStr">
        <is>
          <t>PASCO</t>
        </is>
      </c>
      <c r="C7" t="inlineStr">
        <is>
          <t>PAUCARTAMBO</t>
        </is>
      </c>
      <c r="D7" t="inlineStr">
        <is>
          <t>190107</t>
        </is>
      </c>
      <c r="E7" t="inlineStr">
        <is>
          <t>C.H. YUNCAN</t>
        </is>
      </c>
      <c r="F7" s="11" t="n">
        <v>820.1441</v>
      </c>
      <c r="G7" s="6">
        <f>IF($F$10=0,0,F7/$F$10)</f>
        <v/>
      </c>
      <c r="H7" s="5" t="n">
        <v>16310389.36</v>
      </c>
      <c r="I7" t="n">
        <v>4</v>
      </c>
      <c r="J7" t="n">
        <v>2</v>
      </c>
      <c r="K7" t="n">
        <v>3</v>
      </c>
      <c r="L7" s="5" t="n">
        <v>48931168.08</v>
      </c>
    </row>
    <row r="8">
      <c r="A8" t="inlineStr">
        <is>
          <t>ICA</t>
        </is>
      </c>
      <c r="B8" t="inlineStr">
        <is>
          <t>ICA</t>
        </is>
      </c>
      <c r="C8" t="inlineStr">
        <is>
          <t>OCUCAJE</t>
        </is>
      </c>
      <c r="D8" t="inlineStr">
        <is>
          <t>110104</t>
        </is>
      </c>
      <c r="E8" t="inlineStr">
        <is>
          <t>C.E. PUNTA LOMITAS, C.E. PUNTA LOMITAS_EXP</t>
        </is>
      </c>
      <c r="F8" s="11" t="n">
        <v>819.0128</v>
      </c>
      <c r="G8" s="6">
        <f>IF($F$10=0,0,F8/$F$10)</f>
        <v/>
      </c>
      <c r="H8" s="5" t="n">
        <v>16287891.81</v>
      </c>
      <c r="I8" t="n">
        <v>4</v>
      </c>
      <c r="J8" t="n">
        <v>4</v>
      </c>
      <c r="L8" s="5" t="n">
        <v>65151567.22</v>
      </c>
    </row>
    <row r="9">
      <c r="A9" t="inlineStr">
        <is>
          <t>MOQUEGUA</t>
        </is>
      </c>
      <c r="B9" t="inlineStr">
        <is>
          <t>MARISCAL NIETO</t>
        </is>
      </c>
      <c r="C9" t="inlineStr">
        <is>
          <t>MOQUEGUA</t>
        </is>
      </c>
      <c r="D9" t="inlineStr">
        <is>
          <t>180101</t>
        </is>
      </c>
      <c r="E9" t="inlineStr">
        <is>
          <t>C.S. EXPANSIÓN INTIPAMPA, C.S. INTIPAMPA</t>
        </is>
      </c>
      <c r="F9" s="11" t="n">
        <v>2.1664</v>
      </c>
      <c r="G9" s="6">
        <f>IF($F$10=0,0,F9/$F$10)</f>
        <v/>
      </c>
      <c r="H9" s="5" t="n">
        <v>43083.24</v>
      </c>
      <c r="I9" t="n">
        <v>4</v>
      </c>
      <c r="J9" t="n">
        <v>4</v>
      </c>
      <c r="L9" s="5" t="n">
        <v>172332.94</v>
      </c>
    </row>
    <row r="10">
      <c r="A10" s="12" t="inlineStr">
        <is>
          <t>TOTAL</t>
        </is>
      </c>
      <c r="B10" t="inlineStr"/>
      <c r="C10" t="inlineStr"/>
      <c r="D10" t="inlineStr"/>
      <c r="E10" t="inlineStr"/>
      <c r="F10" s="13">
        <f>SUM(F5:F9)</f>
        <v/>
      </c>
      <c r="G10" t="inlineStr"/>
      <c r="H10" s="14">
        <f>SUM(H5:H9)</f>
        <v/>
      </c>
      <c r="I10" t="inlineStr"/>
      <c r="J10" t="inlineStr"/>
      <c r="K10" t="inlineStr"/>
      <c r="L10" s="14">
        <f>SUM(L5:L9)</f>
        <v/>
      </c>
    </row>
    <row r="13">
      <c r="A13" s="15" t="inlineStr">
        <is>
          <t>Detalle por central (MW)</t>
        </is>
      </c>
    </row>
    <row r="14">
      <c r="A14" s="3" t="inlineStr">
        <is>
          <t>Distrito</t>
        </is>
      </c>
      <c r="B14" s="3" t="inlineStr">
        <is>
          <t>Ubigeo</t>
        </is>
      </c>
      <c r="C14" s="3" t="inlineStr">
        <is>
          <t>Mineral</t>
        </is>
      </c>
      <c r="D14" s="3" t="inlineStr">
        <is>
          <t>Unidad</t>
        </is>
      </c>
      <c r="E14" s="3" t="inlineStr">
        <is>
          <t>Cantidad (orig.)</t>
        </is>
      </c>
      <c r="F14" s="3" t="inlineStr">
        <is>
          <t>TMF equiv.</t>
        </is>
      </c>
    </row>
    <row r="15">
      <c r="A15" t="inlineStr">
        <is>
          <t>CHILCA</t>
        </is>
      </c>
      <c r="B15" t="inlineStr">
        <is>
          <t>150505</t>
        </is>
      </c>
      <c r="C15" t="inlineStr">
        <is>
          <t>Potencia efectiva</t>
        </is>
      </c>
      <c r="D15" t="inlineStr">
        <is>
          <t>MW</t>
        </is>
      </c>
      <c r="E15" s="11" t="n">
        <v>5581.5779</v>
      </c>
      <c r="F15" s="16" t="n">
        <v>5581.57794</v>
      </c>
    </row>
    <row r="16">
      <c r="A16" t="inlineStr">
        <is>
          <t>ILO</t>
        </is>
      </c>
      <c r="B16" t="inlineStr">
        <is>
          <t>180301</t>
        </is>
      </c>
      <c r="C16" t="inlineStr">
        <is>
          <t>Potencia efectiva</t>
        </is>
      </c>
      <c r="D16" t="inlineStr">
        <is>
          <t>MW</t>
        </is>
      </c>
      <c r="E16" s="11" t="n">
        <v>3855.7652</v>
      </c>
      <c r="F16" s="16" t="n">
        <v>3855.765188</v>
      </c>
    </row>
    <row r="17">
      <c r="A17" t="inlineStr">
        <is>
          <t>PAUCARTAMBO</t>
        </is>
      </c>
      <c r="B17" t="inlineStr">
        <is>
          <t>190107</t>
        </is>
      </c>
      <c r="C17" t="inlineStr">
        <is>
          <t>Potencia efectiva</t>
        </is>
      </c>
      <c r="D17" t="inlineStr">
        <is>
          <t>MW</t>
        </is>
      </c>
      <c r="E17" s="11" t="n">
        <v>820.1441</v>
      </c>
      <c r="F17" s="16" t="n">
        <v>820.14408</v>
      </c>
    </row>
    <row r="18">
      <c r="A18" t="inlineStr">
        <is>
          <t>OCUCAJE</t>
        </is>
      </c>
      <c r="B18" t="inlineStr">
        <is>
          <t>110104</t>
        </is>
      </c>
      <c r="C18" t="inlineStr">
        <is>
          <t>Potencia efectiva</t>
        </is>
      </c>
      <c r="D18" t="inlineStr">
        <is>
          <t>MW</t>
        </is>
      </c>
      <c r="E18" s="11" t="n">
        <v>819.0128</v>
      </c>
      <c r="F18" s="16" t="n">
        <v>819.012823</v>
      </c>
    </row>
    <row r="19">
      <c r="A19" t="inlineStr">
        <is>
          <t>MOQUEGUA</t>
        </is>
      </c>
      <c r="B19" t="inlineStr">
        <is>
          <t>180101</t>
        </is>
      </c>
      <c r="C19" t="inlineStr">
        <is>
          <t>Potencia efectiva</t>
        </is>
      </c>
      <c r="D19" t="inlineStr">
        <is>
          <t>MW</t>
        </is>
      </c>
      <c r="E19" s="11" t="n">
        <v>2.1664</v>
      </c>
      <c r="F19" s="16" t="n">
        <v>2.166378</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Orazen — Potencia efectiva por distrito y exposición asignada</t>
        </is>
      </c>
    </row>
    <row r="2">
      <c r="A2" s="2" t="inlineStr">
        <is>
          <t>Potencia efectiva total: 2,254.50 MW   ·   Exposición en cartera: S/ 0   ·   Asignación: tmf_share</t>
        </is>
      </c>
    </row>
    <row r="4">
      <c r="A4" s="3" t="inlineStr">
        <is>
          <t>Departamento</t>
        </is>
      </c>
      <c r="B4" s="3" t="inlineStr">
        <is>
          <t>Provincia</t>
        </is>
      </c>
      <c r="C4" s="3" t="inlineStr">
        <is>
          <t>Distrito</t>
        </is>
      </c>
      <c r="D4" s="3" t="inlineStr">
        <is>
          <t>Ubigeo</t>
        </is>
      </c>
      <c r="E4" s="3" t="inlineStr">
        <is>
          <t>Centrales eléctricas</t>
        </is>
      </c>
      <c r="F4" s="3" t="inlineStr">
        <is>
          <t>Potencia efectiva (MW)</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ANCASH</t>
        </is>
      </c>
      <c r="B5" t="inlineStr">
        <is>
          <t>HUAYLAS</t>
        </is>
      </c>
      <c r="C5" t="inlineStr">
        <is>
          <t>HUALLANCA</t>
        </is>
      </c>
      <c r="D5" t="inlineStr">
        <is>
          <t>021202</t>
        </is>
      </c>
      <c r="E5" t="inlineStr">
        <is>
          <t>C.H. CAÑON DEL PATO</t>
        </is>
      </c>
      <c r="F5" s="11" t="n">
        <v>1593.39</v>
      </c>
      <c r="G5" s="6">
        <f>IF($F$7=0,0,F5/$F$7)</f>
        <v/>
      </c>
      <c r="H5" s="5" t="n">
        <v>0</v>
      </c>
      <c r="L5" s="5" t="n">
        <v>0</v>
      </c>
    </row>
    <row r="6">
      <c r="A6" t="inlineStr">
        <is>
          <t>CAJAMARCA</t>
        </is>
      </c>
      <c r="B6" t="inlineStr">
        <is>
          <t>CHOTA</t>
        </is>
      </c>
      <c r="C6" t="inlineStr">
        <is>
          <t>LLAMA</t>
        </is>
      </c>
      <c r="D6" t="inlineStr">
        <is>
          <t>060411</t>
        </is>
      </c>
      <c r="E6" t="inlineStr">
        <is>
          <t>C.H. CARHUAQUERO, C.H. CARHUAQUERO IV, C.H. CAÑA BRAVA</t>
        </is>
      </c>
      <c r="F6" s="11" t="n">
        <v>661.11</v>
      </c>
      <c r="G6" s="6">
        <f>IF($F$7=0,0,F6/$F$7)</f>
        <v/>
      </c>
      <c r="H6" s="5" t="n">
        <v>0</v>
      </c>
      <c r="L6" s="5" t="n">
        <v>0</v>
      </c>
    </row>
    <row r="7">
      <c r="A7" s="12" t="inlineStr">
        <is>
          <t>TOTAL</t>
        </is>
      </c>
      <c r="B7" t="inlineStr"/>
      <c r="C7" t="inlineStr"/>
      <c r="D7" t="inlineStr"/>
      <c r="E7" t="inlineStr"/>
      <c r="F7" s="13">
        <f>SUM(F5:F6)</f>
        <v/>
      </c>
      <c r="G7" t="inlineStr"/>
      <c r="H7" s="14">
        <f>SUM(H5:H6)</f>
        <v/>
      </c>
      <c r="I7" t="inlineStr"/>
      <c r="J7" t="inlineStr"/>
      <c r="K7" t="inlineStr"/>
      <c r="L7" s="14">
        <f>SUM(L5:L6)</f>
        <v/>
      </c>
    </row>
    <row r="10">
      <c r="A10" s="15" t="inlineStr">
        <is>
          <t>Detalle por central (MW)</t>
        </is>
      </c>
    </row>
    <row r="11">
      <c r="A11" s="3" t="inlineStr">
        <is>
          <t>Distrito</t>
        </is>
      </c>
      <c r="B11" s="3" t="inlineStr">
        <is>
          <t>Ubigeo</t>
        </is>
      </c>
      <c r="C11" s="3" t="inlineStr">
        <is>
          <t>Mineral</t>
        </is>
      </c>
      <c r="D11" s="3" t="inlineStr">
        <is>
          <t>Unidad</t>
        </is>
      </c>
      <c r="E11" s="3" t="inlineStr">
        <is>
          <t>Cantidad (orig.)</t>
        </is>
      </c>
      <c r="F11" s="3" t="inlineStr">
        <is>
          <t>TMF equiv.</t>
        </is>
      </c>
    </row>
    <row r="12">
      <c r="A12" t="inlineStr">
        <is>
          <t>HUALLANCA</t>
        </is>
      </c>
      <c r="B12" t="inlineStr">
        <is>
          <t>021202</t>
        </is>
      </c>
      <c r="C12" t="inlineStr">
        <is>
          <t>Potencia efectiva</t>
        </is>
      </c>
      <c r="D12" t="inlineStr">
        <is>
          <t>MW</t>
        </is>
      </c>
      <c r="E12" s="11" t="n">
        <v>1593.39</v>
      </c>
      <c r="F12" s="16" t="n">
        <v>1593.39</v>
      </c>
    </row>
    <row r="13">
      <c r="A13" t="inlineStr">
        <is>
          <t>LLAMA</t>
        </is>
      </c>
      <c r="B13" t="inlineStr">
        <is>
          <t>060411</t>
        </is>
      </c>
      <c r="C13" t="inlineStr">
        <is>
          <t>Potencia efectiva</t>
        </is>
      </c>
      <c r="D13" t="inlineStr">
        <is>
          <t>MW</t>
        </is>
      </c>
      <c r="E13" s="11" t="n">
        <v>661.11</v>
      </c>
      <c r="F13" s="16" t="n">
        <v>661.11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is>
          <t>Unacem — Despachos de cemento por distrito y exposición asignada</t>
        </is>
      </c>
    </row>
    <row r="2">
      <c r="A2" s="2" t="inlineStr">
        <is>
          <t>Despachos de cemento total: 0.00 MT (miles t)   ·   Exposición en cartera: S/ 123,979,625   ·   Asignación: tmf_share</t>
        </is>
      </c>
    </row>
    <row r="4">
      <c r="A4" t="inlineStr">
        <is>
          <t>Sin registros para esta empresa en el archivo.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is>
          <t>Pacasmayo — Despachos de cemento por distrito y exposición asignada</t>
        </is>
      </c>
    </row>
    <row r="2">
      <c r="A2" s="2" t="inlineStr">
        <is>
          <t>Despachos de cemento total: 0.00 MT (miles t)   ·   Exposición en cartera: S/ 250,961,505   ·   Asignación: tmf_share</t>
        </is>
      </c>
    </row>
    <row r="4">
      <c r="A4" t="inlineStr">
        <is>
          <t>Sin registros para esta empresa en el archivo.</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97"/>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Aenza — Distribución por distrito y exposición asignada</t>
        </is>
      </c>
    </row>
    <row r="2">
      <c r="A2" s="2" t="inlineStr">
        <is>
          <t>Distribución total: 9.87 %   ·   Exposición en cartera: S/ 59,060,165   ·   Asignación: tmf_share</t>
        </is>
      </c>
    </row>
    <row r="4">
      <c r="A4" s="3" t="inlineStr">
        <is>
          <t>Departamento</t>
        </is>
      </c>
      <c r="B4" s="3" t="inlineStr">
        <is>
          <t>Provincia</t>
        </is>
      </c>
      <c r="C4" s="3" t="inlineStr">
        <is>
          <t>Distrito</t>
        </is>
      </c>
      <c r="D4" s="3" t="inlineStr">
        <is>
          <t>Ubigeo</t>
        </is>
      </c>
      <c r="E4" s="3" t="inlineStr">
        <is>
          <t>Activos / concesiones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PIURA</t>
        </is>
      </c>
      <c r="B5" t="inlineStr">
        <is>
          <t>TALARA</t>
        </is>
      </c>
      <c r="C5" t="inlineStr">
        <is>
          <t>PARIÑAS</t>
        </is>
      </c>
      <c r="D5" t="inlineStr">
        <is>
          <t>200701</t>
        </is>
      </c>
      <c r="E5" t="inlineStr">
        <is>
          <t>Energia</t>
        </is>
      </c>
      <c r="F5" s="11" t="n">
        <v>1.5</v>
      </c>
      <c r="G5" s="6">
        <f>IF($F$49=0,0,F5/$F$49)</f>
        <v/>
      </c>
      <c r="H5" s="5" t="n">
        <v>8971164.25</v>
      </c>
      <c r="I5" t="n">
        <v>3</v>
      </c>
      <c r="J5" t="n">
        <v>4</v>
      </c>
      <c r="K5" t="n">
        <v>3</v>
      </c>
      <c r="L5" s="5" t="n">
        <v>29903880.82</v>
      </c>
    </row>
    <row r="6">
      <c r="A6" t="inlineStr">
        <is>
          <t>ICA</t>
        </is>
      </c>
      <c r="B6" t="inlineStr">
        <is>
          <t>PISCO</t>
        </is>
      </c>
      <c r="C6" t="inlineStr">
        <is>
          <t>SAN ANDRES</t>
        </is>
      </c>
      <c r="D6" t="inlineStr">
        <is>
          <t>110506</t>
        </is>
      </c>
      <c r="E6" t="inlineStr">
        <is>
          <t>Energia</t>
        </is>
      </c>
      <c r="F6" s="11" t="n">
        <v>1</v>
      </c>
      <c r="G6" s="6">
        <f>IF($F$49=0,0,F6/$F$49)</f>
        <v/>
      </c>
      <c r="H6" s="5" t="n">
        <v>5980776.16</v>
      </c>
      <c r="I6" t="n">
        <v>3</v>
      </c>
      <c r="J6" t="n">
        <v>4</v>
      </c>
      <c r="L6" s="5" t="n">
        <v>20932716.57</v>
      </c>
    </row>
    <row r="7">
      <c r="A7" t="inlineStr">
        <is>
          <t>CALLAO</t>
        </is>
      </c>
      <c r="B7" t="inlineStr">
        <is>
          <t>CALLAO</t>
        </is>
      </c>
      <c r="C7" t="inlineStr">
        <is>
          <t>CALLAO</t>
        </is>
      </c>
      <c r="D7" t="inlineStr">
        <is>
          <t>070101</t>
        </is>
      </c>
      <c r="E7" t="inlineStr">
        <is>
          <t>Energia, Ingenieria y Construccion, Inmobiliaria</t>
        </is>
      </c>
      <c r="F7" s="11" t="n">
        <v>0.625</v>
      </c>
      <c r="G7" s="6">
        <f>IF($F$49=0,0,F7/$F$49)</f>
        <v/>
      </c>
      <c r="H7" s="5" t="n">
        <v>3737985.1</v>
      </c>
      <c r="I7" t="n">
        <v>1</v>
      </c>
      <c r="J7" t="n">
        <v>5</v>
      </c>
      <c r="L7" s="5" t="n">
        <v>11213955.31</v>
      </c>
    </row>
    <row r="8">
      <c r="A8" t="inlineStr">
        <is>
          <t>PIURA</t>
        </is>
      </c>
      <c r="B8" t="inlineStr">
        <is>
          <t>PAITA</t>
        </is>
      </c>
      <c r="C8" t="inlineStr">
        <is>
          <t>LA HUACA</t>
        </is>
      </c>
      <c r="D8" t="inlineStr">
        <is>
          <t>200505</t>
        </is>
      </c>
      <c r="E8" t="inlineStr">
        <is>
          <t>Energia</t>
        </is>
      </c>
      <c r="F8" s="11" t="n">
        <v>0.5</v>
      </c>
      <c r="G8" s="6">
        <f>IF($F$49=0,0,F8/$F$49)</f>
        <v/>
      </c>
      <c r="H8" s="5" t="n">
        <v>2990388.08</v>
      </c>
      <c r="I8" t="n">
        <v>2</v>
      </c>
      <c r="J8" t="n">
        <v>5</v>
      </c>
      <c r="L8" s="5" t="n">
        <v>10466358.29</v>
      </c>
    </row>
    <row r="9">
      <c r="A9" t="inlineStr">
        <is>
          <t>LIMA</t>
        </is>
      </c>
      <c r="B9" t="inlineStr">
        <is>
          <t>LIMA</t>
        </is>
      </c>
      <c r="C9" t="inlineStr">
        <is>
          <t>SAN JUAN DE LURIGANCHO</t>
        </is>
      </c>
      <c r="D9" t="inlineStr">
        <is>
          <t>150132</t>
        </is>
      </c>
      <c r="E9" t="inlineStr">
        <is>
          <t>Infraestructura</t>
        </is>
      </c>
      <c r="F9" s="11" t="n">
        <v>0.3077</v>
      </c>
      <c r="G9" s="6">
        <f>IF($F$49=0,0,F9/$F$49)</f>
        <v/>
      </c>
      <c r="H9" s="5" t="n">
        <v>1840238.82</v>
      </c>
      <c r="I9" t="n">
        <v>5</v>
      </c>
      <c r="J9" t="n">
        <v>2</v>
      </c>
      <c r="L9" s="5" t="n">
        <v>6440835.87</v>
      </c>
    </row>
    <row r="10">
      <c r="A10" t="inlineStr">
        <is>
          <t>LIMA</t>
        </is>
      </c>
      <c r="B10" t="inlineStr">
        <is>
          <t>HUAURA</t>
        </is>
      </c>
      <c r="C10" t="inlineStr">
        <is>
          <t>HUACHO</t>
        </is>
      </c>
      <c r="D10" t="inlineStr">
        <is>
          <t>150801</t>
        </is>
      </c>
      <c r="E10" t="inlineStr">
        <is>
          <t>Infraestructura</t>
        </is>
      </c>
      <c r="F10" s="11" t="n">
        <v>0.25</v>
      </c>
      <c r="G10" s="6">
        <f>IF($F$49=0,0,F10/$F$49)</f>
        <v/>
      </c>
      <c r="H10" s="5" t="n">
        <v>1495194.04</v>
      </c>
      <c r="I10" t="n">
        <v>3</v>
      </c>
      <c r="J10" t="n">
        <v>3</v>
      </c>
      <c r="L10" s="5" t="n">
        <v>4485582.12</v>
      </c>
    </row>
    <row r="11">
      <c r="A11" t="inlineStr">
        <is>
          <t>LIMA</t>
        </is>
      </c>
      <c r="B11" t="inlineStr">
        <is>
          <t>HUARAL</t>
        </is>
      </c>
      <c r="C11" t="inlineStr">
        <is>
          <t>CHANCAY</t>
        </is>
      </c>
      <c r="D11" t="inlineStr">
        <is>
          <t>150605</t>
        </is>
      </c>
      <c r="E11" t="inlineStr">
        <is>
          <t>Infraestructura</t>
        </is>
      </c>
      <c r="F11" s="11" t="n">
        <v>0.25</v>
      </c>
      <c r="G11" s="6">
        <f>IF($F$49=0,0,F11/$F$49)</f>
        <v/>
      </c>
      <c r="H11" s="5" t="n">
        <v>1495194.04</v>
      </c>
      <c r="I11" t="n">
        <v>3</v>
      </c>
      <c r="J11" t="n">
        <v>4</v>
      </c>
      <c r="L11" s="5" t="n">
        <v>5233179.14</v>
      </c>
    </row>
    <row r="12">
      <c r="A12" t="inlineStr">
        <is>
          <t>LIMA</t>
        </is>
      </c>
      <c r="B12" t="inlineStr">
        <is>
          <t>BARRANCA</t>
        </is>
      </c>
      <c r="C12" t="inlineStr">
        <is>
          <t>BARRANCA</t>
        </is>
      </c>
      <c r="D12" t="inlineStr">
        <is>
          <t>150201</t>
        </is>
      </c>
      <c r="E12" t="inlineStr">
        <is>
          <t>Infraestructura</t>
        </is>
      </c>
      <c r="F12" s="11" t="n">
        <v>0.25</v>
      </c>
      <c r="G12" s="6">
        <f>IF($F$49=0,0,F12/$F$49)</f>
        <v/>
      </c>
      <c r="H12" s="5" t="n">
        <v>1495194.04</v>
      </c>
      <c r="I12" t="n">
        <v>3</v>
      </c>
      <c r="J12" t="n">
        <v>4</v>
      </c>
      <c r="L12" s="5" t="n">
        <v>5233179.14</v>
      </c>
    </row>
    <row r="13">
      <c r="A13" t="inlineStr">
        <is>
          <t>LIMA</t>
        </is>
      </c>
      <c r="B13" t="inlineStr">
        <is>
          <t>LIMA</t>
        </is>
      </c>
      <c r="C13" t="inlineStr">
        <is>
          <t>ANCON</t>
        </is>
      </c>
      <c r="D13" t="inlineStr">
        <is>
          <t>150102</t>
        </is>
      </c>
      <c r="E13" t="inlineStr">
        <is>
          <t>Infraestructura</t>
        </is>
      </c>
      <c r="F13" s="11" t="n">
        <v>0.25</v>
      </c>
      <c r="G13" s="6">
        <f>IF($F$49=0,0,F13/$F$49)</f>
        <v/>
      </c>
      <c r="H13" s="5" t="n">
        <v>1495194.04</v>
      </c>
      <c r="I13" t="n">
        <v>4</v>
      </c>
      <c r="J13" t="n">
        <v>2</v>
      </c>
      <c r="L13" s="5" t="n">
        <v>4485582.12</v>
      </c>
    </row>
    <row r="14">
      <c r="A14" t="inlineStr">
        <is>
          <t>APURIMAC</t>
        </is>
      </c>
      <c r="B14" t="inlineStr">
        <is>
          <t>ABANCAY</t>
        </is>
      </c>
      <c r="C14" t="inlineStr">
        <is>
          <t>ABANCAY</t>
        </is>
      </c>
      <c r="D14" t="inlineStr">
        <is>
          <t>030101</t>
        </is>
      </c>
      <c r="E14" t="inlineStr">
        <is>
          <t>Infraestructura</t>
        </is>
      </c>
      <c r="F14" s="11" t="n">
        <v>0.2361</v>
      </c>
      <c r="G14" s="6">
        <f>IF($F$49=0,0,F14/$F$49)</f>
        <v/>
      </c>
      <c r="H14" s="5" t="n">
        <v>1412127.71</v>
      </c>
      <c r="I14" t="n">
        <v>4</v>
      </c>
      <c r="J14" t="n">
        <v>2</v>
      </c>
      <c r="K14" t="n">
        <v>3</v>
      </c>
      <c r="L14" s="5" t="n">
        <v>4236383.12</v>
      </c>
    </row>
    <row r="15">
      <c r="A15" t="inlineStr">
        <is>
          <t>AYACUCHO</t>
        </is>
      </c>
      <c r="B15" t="inlineStr">
        <is>
          <t>LUCANAS</t>
        </is>
      </c>
      <c r="C15" t="inlineStr">
        <is>
          <t>PUQUIO</t>
        </is>
      </c>
      <c r="D15" t="inlineStr">
        <is>
          <t>050601</t>
        </is>
      </c>
      <c r="E15" t="inlineStr">
        <is>
          <t>Infraestructura</t>
        </is>
      </c>
      <c r="F15" s="11" t="n">
        <v>0.2361</v>
      </c>
      <c r="G15" s="6">
        <f>IF($F$49=0,0,F15/$F$49)</f>
        <v/>
      </c>
      <c r="H15" s="5" t="n">
        <v>1412127.71</v>
      </c>
      <c r="I15" t="n">
        <v>4</v>
      </c>
      <c r="J15" t="n">
        <v>4</v>
      </c>
      <c r="K15" t="n">
        <v>4</v>
      </c>
      <c r="L15" s="5" t="n">
        <v>5648510.82</v>
      </c>
    </row>
    <row r="16">
      <c r="A16" t="inlineStr">
        <is>
          <t>LIMA</t>
        </is>
      </c>
      <c r="B16" t="inlineStr">
        <is>
          <t>LIMA</t>
        </is>
      </c>
      <c r="C16" t="inlineStr">
        <is>
          <t>COMAS</t>
        </is>
      </c>
      <c r="D16" t="inlineStr">
        <is>
          <t>150110</t>
        </is>
      </c>
      <c r="E16" t="inlineStr">
        <is>
          <t>Inmobiliaria</t>
        </is>
      </c>
      <c r="F16" s="11" t="n">
        <v>0.225</v>
      </c>
      <c r="G16" s="6">
        <f>IF($F$49=0,0,F16/$F$49)</f>
        <v/>
      </c>
      <c r="H16" s="5" t="n">
        <v>1345674.64</v>
      </c>
      <c r="I16" t="n">
        <v>3</v>
      </c>
      <c r="J16" t="n">
        <v>3</v>
      </c>
      <c r="L16" s="5" t="n">
        <v>4037023.91</v>
      </c>
    </row>
    <row r="17">
      <c r="A17" t="inlineStr">
        <is>
          <t>LIMA</t>
        </is>
      </c>
      <c r="B17" t="inlineStr">
        <is>
          <t>LIMA</t>
        </is>
      </c>
      <c r="C17" t="inlineStr">
        <is>
          <t>BREÑA</t>
        </is>
      </c>
      <c r="D17" t="inlineStr">
        <is>
          <t>150105</t>
        </is>
      </c>
      <c r="E17" t="inlineStr">
        <is>
          <t>Inmobiliaria</t>
        </is>
      </c>
      <c r="F17" s="11" t="n">
        <v>0.225</v>
      </c>
      <c r="G17" s="6">
        <f>IF($F$49=0,0,F17/$F$49)</f>
        <v/>
      </c>
      <c r="H17" s="5" t="n">
        <v>1345674.64</v>
      </c>
      <c r="I17" t="n">
        <v>1</v>
      </c>
      <c r="J17" t="n">
        <v>3</v>
      </c>
      <c r="L17" s="5" t="n">
        <v>2691349.27</v>
      </c>
    </row>
    <row r="18">
      <c r="A18" t="inlineStr">
        <is>
          <t>LIMA</t>
        </is>
      </c>
      <c r="B18" t="inlineStr">
        <is>
          <t>LIMA</t>
        </is>
      </c>
      <c r="C18" t="inlineStr">
        <is>
          <t>CARABAYLLO</t>
        </is>
      </c>
      <c r="D18" t="inlineStr">
        <is>
          <t>150106</t>
        </is>
      </c>
      <c r="E18" t="inlineStr">
        <is>
          <t>Inmobiliaria</t>
        </is>
      </c>
      <c r="F18" s="11" t="n">
        <v>0.225</v>
      </c>
      <c r="G18" s="6">
        <f>IF($F$49=0,0,F18/$F$49)</f>
        <v/>
      </c>
      <c r="H18" s="5" t="n">
        <v>1345674.64</v>
      </c>
      <c r="I18" t="n">
        <v>5</v>
      </c>
      <c r="J18" t="n">
        <v>3</v>
      </c>
      <c r="L18" s="5" t="n">
        <v>5382698.55</v>
      </c>
    </row>
    <row r="19">
      <c r="A19" t="inlineStr">
        <is>
          <t>ANCASH</t>
        </is>
      </c>
      <c r="B19" t="inlineStr">
        <is>
          <t>HUARI</t>
        </is>
      </c>
      <c r="C19" t="inlineStr">
        <is>
          <t>HUARI</t>
        </is>
      </c>
      <c r="D19" t="inlineStr">
        <is>
          <t>021001</t>
        </is>
      </c>
      <c r="E19" t="inlineStr">
        <is>
          <t>Ingenieria y Construccion</t>
        </is>
      </c>
      <c r="F19" s="11" t="n">
        <v>0.2</v>
      </c>
      <c r="G19" s="6">
        <f>IF($F$49=0,0,F19/$F$49)</f>
        <v/>
      </c>
      <c r="H19" s="5" t="n">
        <v>1196155.23</v>
      </c>
      <c r="I19" t="n">
        <v>5</v>
      </c>
      <c r="J19" t="n">
        <v>3</v>
      </c>
      <c r="K19" t="n">
        <v>3</v>
      </c>
      <c r="L19" s="5" t="n">
        <v>4385902.52</v>
      </c>
    </row>
    <row r="20">
      <c r="A20" t="inlineStr">
        <is>
          <t>LA LIBERTAD</t>
        </is>
      </c>
      <c r="B20" t="inlineStr">
        <is>
          <t>TRUJILLO</t>
        </is>
      </c>
      <c r="C20" t="inlineStr">
        <is>
          <t>SALAVERRY</t>
        </is>
      </c>
      <c r="D20" t="inlineStr">
        <is>
          <t>130109</t>
        </is>
      </c>
      <c r="E20" t="inlineStr">
        <is>
          <t>Energia</t>
        </is>
      </c>
      <c r="F20" s="11" t="n">
        <v>0.2</v>
      </c>
      <c r="G20" s="6">
        <f>IF($F$49=0,0,F20/$F$49)</f>
        <v/>
      </c>
      <c r="H20" s="5" t="n">
        <v>1196155.23</v>
      </c>
      <c r="I20" t="n">
        <v>2</v>
      </c>
      <c r="J20" t="n">
        <v>4</v>
      </c>
      <c r="L20" s="5" t="n">
        <v>3588465.7</v>
      </c>
    </row>
    <row r="21">
      <c r="A21" t="inlineStr">
        <is>
          <t>LAMBAYEQUE</t>
        </is>
      </c>
      <c r="B21" t="inlineStr">
        <is>
          <t>CHICLAYO</t>
        </is>
      </c>
      <c r="C21" t="inlineStr">
        <is>
          <t>ETEN</t>
        </is>
      </c>
      <c r="D21" t="inlineStr">
        <is>
          <t>140103</t>
        </is>
      </c>
      <c r="E21" t="inlineStr">
        <is>
          <t>Energia</t>
        </is>
      </c>
      <c r="F21" s="11" t="n">
        <v>0.2</v>
      </c>
      <c r="G21" s="6">
        <f>IF($F$49=0,0,F21/$F$49)</f>
        <v/>
      </c>
      <c r="H21" s="5" t="n">
        <v>1196155.23</v>
      </c>
      <c r="I21" t="n">
        <v>1</v>
      </c>
      <c r="J21" t="n">
        <v>4</v>
      </c>
      <c r="L21" s="5" t="n">
        <v>2990388.08</v>
      </c>
    </row>
    <row r="22">
      <c r="A22" t="inlineStr">
        <is>
          <t>MOQUEGUA</t>
        </is>
      </c>
      <c r="B22" t="inlineStr">
        <is>
          <t>GENERAL SANCHEZ CERRO</t>
        </is>
      </c>
      <c r="C22" t="inlineStr">
        <is>
          <t>ICHUÑA</t>
        </is>
      </c>
      <c r="D22" t="inlineStr">
        <is>
          <t>180204</t>
        </is>
      </c>
      <c r="E22" t="inlineStr">
        <is>
          <t>Ingenieria y Construccion</t>
        </is>
      </c>
      <c r="F22" s="11" t="n">
        <v>0.2</v>
      </c>
      <c r="G22" s="6">
        <f>IF($F$49=0,0,F22/$F$49)</f>
        <v/>
      </c>
      <c r="H22" s="5" t="n">
        <v>1196155.23</v>
      </c>
      <c r="I22" t="n">
        <v>4</v>
      </c>
      <c r="J22" t="n">
        <v>3</v>
      </c>
      <c r="K22" t="n">
        <v>4</v>
      </c>
      <c r="L22" s="5" t="n">
        <v>4385902.52</v>
      </c>
    </row>
    <row r="23">
      <c r="A23" t="inlineStr">
        <is>
          <t>MOQUEGUA</t>
        </is>
      </c>
      <c r="B23" t="inlineStr">
        <is>
          <t>MARISCAL NIETO</t>
        </is>
      </c>
      <c r="C23" t="inlineStr">
        <is>
          <t>MOQUEGUA</t>
        </is>
      </c>
      <c r="D23" t="inlineStr">
        <is>
          <t>180101</t>
        </is>
      </c>
      <c r="E23" t="inlineStr">
        <is>
          <t>Ingenieria y Construccion</t>
        </is>
      </c>
      <c r="F23" s="11" t="n">
        <v>0.2</v>
      </c>
      <c r="G23" s="6">
        <f>IF($F$49=0,0,F23/$F$49)</f>
        <v/>
      </c>
      <c r="H23" s="5" t="n">
        <v>1196155.23</v>
      </c>
      <c r="I23" t="n">
        <v>4</v>
      </c>
      <c r="J23" t="n">
        <v>4</v>
      </c>
      <c r="L23" s="5" t="n">
        <v>4784620.93</v>
      </c>
    </row>
    <row r="24">
      <c r="A24" t="inlineStr">
        <is>
          <t>ANCASH</t>
        </is>
      </c>
      <c r="B24" t="inlineStr">
        <is>
          <t>SANTA</t>
        </is>
      </c>
      <c r="C24" t="inlineStr">
        <is>
          <t>CHIMBOTE</t>
        </is>
      </c>
      <c r="D24" t="inlineStr">
        <is>
          <t>021801</t>
        </is>
      </c>
      <c r="E24" t="inlineStr">
        <is>
          <t>Energia</t>
        </is>
      </c>
      <c r="F24" s="11" t="n">
        <v>0.2</v>
      </c>
      <c r="G24" s="6">
        <f>IF($F$49=0,0,F24/$F$49)</f>
        <v/>
      </c>
      <c r="H24" s="5" t="n">
        <v>1196155.23</v>
      </c>
      <c r="I24" t="n">
        <v>5</v>
      </c>
      <c r="J24" t="n">
        <v>4</v>
      </c>
      <c r="K24" t="n">
        <v>3</v>
      </c>
      <c r="L24" s="5" t="n">
        <v>4784620.93</v>
      </c>
    </row>
    <row r="25">
      <c r="A25" t="inlineStr">
        <is>
          <t>LIMA</t>
        </is>
      </c>
      <c r="B25" t="inlineStr">
        <is>
          <t>BARRANCA</t>
        </is>
      </c>
      <c r="C25" t="inlineStr">
        <is>
          <t>SUPE</t>
        </is>
      </c>
      <c r="D25" t="inlineStr">
        <is>
          <t>150204</t>
        </is>
      </c>
      <c r="E25" t="inlineStr">
        <is>
          <t>Energia</t>
        </is>
      </c>
      <c r="F25" s="11" t="n">
        <v>0.2</v>
      </c>
      <c r="G25" s="6">
        <f>IF($F$49=0,0,F25/$F$49)</f>
        <v/>
      </c>
      <c r="H25" s="5" t="n">
        <v>1196155.23</v>
      </c>
      <c r="I25" t="n">
        <v>4</v>
      </c>
      <c r="J25" t="n">
        <v>4</v>
      </c>
      <c r="L25" s="5" t="n">
        <v>4784620.93</v>
      </c>
    </row>
    <row r="26">
      <c r="A26" t="inlineStr">
        <is>
          <t>LIMA</t>
        </is>
      </c>
      <c r="B26" t="inlineStr">
        <is>
          <t>LIMA</t>
        </is>
      </c>
      <c r="C26" t="inlineStr">
        <is>
          <t>LA MOLINA</t>
        </is>
      </c>
      <c r="D26" t="inlineStr">
        <is>
          <t>150114</t>
        </is>
      </c>
      <c r="E26" t="inlineStr">
        <is>
          <t>Ingenieria y Construccion</t>
        </is>
      </c>
      <c r="F26" s="11" t="n">
        <v>0.2</v>
      </c>
      <c r="G26" s="6">
        <f>IF($F$49=0,0,F26/$F$49)</f>
        <v/>
      </c>
      <c r="H26" s="5" t="n">
        <v>1196155.23</v>
      </c>
      <c r="I26" t="n">
        <v>4</v>
      </c>
      <c r="J26" t="n">
        <v>3</v>
      </c>
      <c r="L26" s="5" t="n">
        <v>4186543.31</v>
      </c>
    </row>
    <row r="27">
      <c r="A27" t="inlineStr">
        <is>
          <t>CUSCO</t>
        </is>
      </c>
      <c r="B27" t="inlineStr">
        <is>
          <t>QUISPICANCHI</t>
        </is>
      </c>
      <c r="C27" t="inlineStr">
        <is>
          <t>URCOS</t>
        </is>
      </c>
      <c r="D27" t="inlineStr">
        <is>
          <t>081201</t>
        </is>
      </c>
      <c r="E27" t="inlineStr">
        <is>
          <t>Infraestructura</t>
        </is>
      </c>
      <c r="F27" s="11" t="n">
        <v>0.125</v>
      </c>
      <c r="G27" s="6">
        <f>IF($F$49=0,0,F27/$F$49)</f>
        <v/>
      </c>
      <c r="H27" s="5" t="n">
        <v>747597.02</v>
      </c>
      <c r="I27" t="n">
        <v>4</v>
      </c>
      <c r="J27" t="n">
        <v>3</v>
      </c>
      <c r="K27" t="n">
        <v>4</v>
      </c>
      <c r="L27" s="5" t="n">
        <v>2741189.07</v>
      </c>
    </row>
    <row r="28">
      <c r="A28" t="inlineStr">
        <is>
          <t>PIURA</t>
        </is>
      </c>
      <c r="B28" t="inlineStr">
        <is>
          <t>MORROPON</t>
        </is>
      </c>
      <c r="C28" t="inlineStr">
        <is>
          <t>BUENOS AIRES</t>
        </is>
      </c>
      <c r="D28" t="inlineStr">
        <is>
          <t>200402</t>
        </is>
      </c>
      <c r="E28" t="inlineStr">
        <is>
          <t>Infraestructura</t>
        </is>
      </c>
      <c r="F28" s="11" t="n">
        <v>0.125</v>
      </c>
      <c r="G28" s="6">
        <f>IF($F$49=0,0,F28/$F$49)</f>
        <v/>
      </c>
      <c r="H28" s="5" t="n">
        <v>747597.02</v>
      </c>
      <c r="I28" t="n">
        <v>5</v>
      </c>
      <c r="J28" t="n">
        <v>4</v>
      </c>
      <c r="K28" t="n">
        <v>5</v>
      </c>
      <c r="L28" s="5" t="n">
        <v>3488786.1</v>
      </c>
    </row>
    <row r="29">
      <c r="A29" t="inlineStr">
        <is>
          <t>PIURA</t>
        </is>
      </c>
      <c r="B29" t="inlineStr">
        <is>
          <t>HUANCABAMBA</t>
        </is>
      </c>
      <c r="C29" t="inlineStr">
        <is>
          <t>CANCHAQUE</t>
        </is>
      </c>
      <c r="D29" t="inlineStr">
        <is>
          <t>200302</t>
        </is>
      </c>
      <c r="E29" t="inlineStr">
        <is>
          <t>Infraestructura</t>
        </is>
      </c>
      <c r="F29" s="11" t="n">
        <v>0.125</v>
      </c>
      <c r="G29" s="6">
        <f>IF($F$49=0,0,F29/$F$49)</f>
        <v/>
      </c>
      <c r="H29" s="5" t="n">
        <v>747597.02</v>
      </c>
      <c r="I29" t="n">
        <v>5</v>
      </c>
      <c r="J29" t="n">
        <v>2</v>
      </c>
      <c r="K29" t="n">
        <v>4</v>
      </c>
      <c r="L29" s="5" t="n">
        <v>2741189.07</v>
      </c>
    </row>
    <row r="30">
      <c r="A30" t="inlineStr">
        <is>
          <t>APURIMAC</t>
        </is>
      </c>
      <c r="B30" t="inlineStr">
        <is>
          <t>AYMARAES</t>
        </is>
      </c>
      <c r="C30" t="inlineStr">
        <is>
          <t>CHALHUANCA</t>
        </is>
      </c>
      <c r="D30" t="inlineStr">
        <is>
          <t>030401</t>
        </is>
      </c>
      <c r="E30" t="inlineStr">
        <is>
          <t>Infraestructura</t>
        </is>
      </c>
      <c r="F30" s="11" t="n">
        <v>0.125</v>
      </c>
      <c r="G30" s="6">
        <f>IF($F$49=0,0,F30/$F$49)</f>
        <v/>
      </c>
      <c r="H30" s="5" t="n">
        <v>747597.02</v>
      </c>
      <c r="I30" t="n">
        <v>3</v>
      </c>
      <c r="J30" t="n">
        <v>3</v>
      </c>
      <c r="K30" t="n">
        <v>3</v>
      </c>
      <c r="L30" s="5" t="n">
        <v>2242791.06</v>
      </c>
    </row>
    <row r="31">
      <c r="A31" t="inlineStr">
        <is>
          <t>ICA</t>
        </is>
      </c>
      <c r="B31" t="inlineStr">
        <is>
          <t>NAZCA</t>
        </is>
      </c>
      <c r="C31" t="inlineStr">
        <is>
          <t>MARCONA</t>
        </is>
      </c>
      <c r="D31" t="inlineStr">
        <is>
          <t>110304</t>
        </is>
      </c>
      <c r="E31" t="inlineStr">
        <is>
          <t>Infraestructura</t>
        </is>
      </c>
      <c r="F31" s="11" t="n">
        <v>0.125</v>
      </c>
      <c r="G31" s="6">
        <f>IF($F$49=0,0,F31/$F$49)</f>
        <v/>
      </c>
      <c r="H31" s="5" t="n">
        <v>747597.02</v>
      </c>
      <c r="I31" t="n">
        <v>3</v>
      </c>
      <c r="J31" t="n">
        <v>4</v>
      </c>
      <c r="L31" s="5" t="n">
        <v>2616589.57</v>
      </c>
    </row>
    <row r="32">
      <c r="A32" t="inlineStr">
        <is>
          <t>LIMA</t>
        </is>
      </c>
      <c r="B32" t="inlineStr">
        <is>
          <t>LIMA</t>
        </is>
      </c>
      <c r="C32" t="inlineStr">
        <is>
          <t>SAN BORJA</t>
        </is>
      </c>
      <c r="D32" t="inlineStr">
        <is>
          <t>150130</t>
        </is>
      </c>
      <c r="E32" t="inlineStr">
        <is>
          <t>Infraestructura</t>
        </is>
      </c>
      <c r="F32" s="11" t="n">
        <v>0.1154</v>
      </c>
      <c r="G32" s="6">
        <f>IF($F$49=0,0,F32/$F$49)</f>
        <v/>
      </c>
      <c r="H32" s="5" t="n">
        <v>690089.5600000001</v>
      </c>
      <c r="I32" t="n">
        <v>1</v>
      </c>
      <c r="J32" t="n">
        <v>2</v>
      </c>
      <c r="L32" s="5" t="n">
        <v>1035134.34</v>
      </c>
    </row>
    <row r="33">
      <c r="A33" t="inlineStr">
        <is>
          <t>LIMA</t>
        </is>
      </c>
      <c r="B33" t="inlineStr">
        <is>
          <t>LIMA</t>
        </is>
      </c>
      <c r="C33" t="inlineStr">
        <is>
          <t>SANTIAGO DE SURCO</t>
        </is>
      </c>
      <c r="D33" t="inlineStr">
        <is>
          <t>150140</t>
        </is>
      </c>
      <c r="E33" t="inlineStr">
        <is>
          <t>Infraestructura</t>
        </is>
      </c>
      <c r="F33" s="11" t="n">
        <v>0.1154</v>
      </c>
      <c r="G33" s="6">
        <f>IF($F$49=0,0,F33/$F$49)</f>
        <v/>
      </c>
      <c r="H33" s="5" t="n">
        <v>690089.5600000001</v>
      </c>
      <c r="I33" t="n">
        <v>1</v>
      </c>
      <c r="J33" t="n">
        <v>3</v>
      </c>
      <c r="L33" s="5" t="n">
        <v>1380179.11</v>
      </c>
    </row>
    <row r="34">
      <c r="A34" t="inlineStr">
        <is>
          <t>LIMA</t>
        </is>
      </c>
      <c r="B34" t="inlineStr">
        <is>
          <t>LIMA</t>
        </is>
      </c>
      <c r="C34" t="inlineStr">
        <is>
          <t>VILLA MARIA DEL TRIUNFO</t>
        </is>
      </c>
      <c r="D34" t="inlineStr">
        <is>
          <t>150143</t>
        </is>
      </c>
      <c r="E34" t="inlineStr">
        <is>
          <t>Infraestructura</t>
        </is>
      </c>
      <c r="F34" s="11" t="n">
        <v>0.1154</v>
      </c>
      <c r="G34" s="6">
        <f>IF($F$49=0,0,F34/$F$49)</f>
        <v/>
      </c>
      <c r="H34" s="5" t="n">
        <v>690089.5600000001</v>
      </c>
      <c r="I34" t="n">
        <v>4</v>
      </c>
      <c r="J34" t="n">
        <v>1</v>
      </c>
      <c r="L34" s="5" t="n">
        <v>1725223.89</v>
      </c>
    </row>
    <row r="35">
      <c r="A35" t="inlineStr">
        <is>
          <t>AYACUCHO</t>
        </is>
      </c>
      <c r="B35" t="inlineStr">
        <is>
          <t>PARINACOCHAS</t>
        </is>
      </c>
      <c r="C35" t="inlineStr">
        <is>
          <t>CORACORA</t>
        </is>
      </c>
      <c r="D35" t="inlineStr">
        <is>
          <t>050701</t>
        </is>
      </c>
      <c r="E35" t="inlineStr">
        <is>
          <t>Infraestructura</t>
        </is>
      </c>
      <c r="F35" s="11" t="n">
        <v>0.1111</v>
      </c>
      <c r="G35" s="6">
        <f>IF($F$49=0,0,F35/$F$49)</f>
        <v/>
      </c>
      <c r="H35" s="5" t="n">
        <v>664530.6800000001</v>
      </c>
      <c r="I35" t="n">
        <v>4</v>
      </c>
      <c r="J35" t="n">
        <v>4</v>
      </c>
      <c r="K35" t="n">
        <v>4</v>
      </c>
      <c r="L35" s="5" t="n">
        <v>2658122.74</v>
      </c>
    </row>
    <row r="36">
      <c r="A36" t="inlineStr">
        <is>
          <t>APURIMAC</t>
        </is>
      </c>
      <c r="B36" t="inlineStr">
        <is>
          <t>ABANCAY</t>
        </is>
      </c>
      <c r="C36" t="inlineStr">
        <is>
          <t>CURAHUASI</t>
        </is>
      </c>
      <c r="D36" t="inlineStr">
        <is>
          <t>030104</t>
        </is>
      </c>
      <c r="E36" t="inlineStr">
        <is>
          <t>Infraestructura</t>
        </is>
      </c>
      <c r="F36" s="11" t="n">
        <v>0.1111</v>
      </c>
      <c r="G36" s="6">
        <f>IF($F$49=0,0,F36/$F$49)</f>
        <v/>
      </c>
      <c r="H36" s="5" t="n">
        <v>664530.6800000001</v>
      </c>
      <c r="I36" t="n">
        <v>3</v>
      </c>
      <c r="J36" t="n">
        <v>2</v>
      </c>
      <c r="K36" t="n">
        <v>4</v>
      </c>
      <c r="L36" s="5" t="n">
        <v>1993592.05</v>
      </c>
    </row>
    <row r="37">
      <c r="A37" t="inlineStr">
        <is>
          <t>CUSCO</t>
        </is>
      </c>
      <c r="B37" t="inlineStr">
        <is>
          <t>CANAS</t>
        </is>
      </c>
      <c r="C37" t="inlineStr">
        <is>
          <t>YANAOCA</t>
        </is>
      </c>
      <c r="D37" t="inlineStr">
        <is>
          <t>080501</t>
        </is>
      </c>
      <c r="E37" t="inlineStr">
        <is>
          <t>Infraestructura</t>
        </is>
      </c>
      <c r="F37" s="11" t="n">
        <v>0.1111</v>
      </c>
      <c r="G37" s="6">
        <f>IF($F$49=0,0,F37/$F$49)</f>
        <v/>
      </c>
      <c r="H37" s="5" t="n">
        <v>664530.6800000001</v>
      </c>
      <c r="I37" t="n">
        <v>4</v>
      </c>
      <c r="J37" t="n">
        <v>3</v>
      </c>
      <c r="K37" t="n">
        <v>3</v>
      </c>
      <c r="L37" s="5" t="n">
        <v>2215102.28</v>
      </c>
    </row>
    <row r="38">
      <c r="A38" t="inlineStr">
        <is>
          <t>CUSCO</t>
        </is>
      </c>
      <c r="B38" t="inlineStr">
        <is>
          <t>ANTA</t>
        </is>
      </c>
      <c r="C38" t="inlineStr">
        <is>
          <t>ANCAHUASI</t>
        </is>
      </c>
      <c r="D38" t="inlineStr">
        <is>
          <t>080302</t>
        </is>
      </c>
      <c r="E38" t="inlineStr">
        <is>
          <t>Infraestructura</t>
        </is>
      </c>
      <c r="F38" s="11" t="n">
        <v>0.1111</v>
      </c>
      <c r="G38" s="6">
        <f>IF($F$49=0,0,F38/$F$49)</f>
        <v/>
      </c>
      <c r="H38" s="5" t="n">
        <v>664530.6800000001</v>
      </c>
      <c r="I38" t="n">
        <v>4</v>
      </c>
      <c r="J38" t="n">
        <v>2</v>
      </c>
      <c r="K38" t="n">
        <v>3</v>
      </c>
      <c r="L38" s="5" t="n">
        <v>1993592.05</v>
      </c>
    </row>
    <row r="39">
      <c r="A39" t="inlineStr">
        <is>
          <t>APURIMAC</t>
        </is>
      </c>
      <c r="B39" t="inlineStr">
        <is>
          <t>ABANCAY</t>
        </is>
      </c>
      <c r="C39" t="inlineStr">
        <is>
          <t>PICHIRHUA</t>
        </is>
      </c>
      <c r="D39" t="inlineStr">
        <is>
          <t>030107</t>
        </is>
      </c>
      <c r="E39" t="inlineStr">
        <is>
          <t>Infraestructura</t>
        </is>
      </c>
      <c r="F39" s="11" t="n">
        <v>0.1111</v>
      </c>
      <c r="G39" s="6">
        <f>IF($F$49=0,0,F39/$F$49)</f>
        <v/>
      </c>
      <c r="H39" s="5" t="n">
        <v>664530.6800000001</v>
      </c>
      <c r="I39" t="n">
        <v>3</v>
      </c>
      <c r="J39" t="n">
        <v>3</v>
      </c>
      <c r="K39" t="n">
        <v>3</v>
      </c>
      <c r="L39" s="5" t="n">
        <v>1993592.05</v>
      </c>
    </row>
    <row r="40">
      <c r="A40" t="inlineStr">
        <is>
          <t>APURIMAC</t>
        </is>
      </c>
      <c r="B40" t="inlineStr">
        <is>
          <t>ABANCAY</t>
        </is>
      </c>
      <c r="C40" t="inlineStr">
        <is>
          <t>TAMBURCO</t>
        </is>
      </c>
      <c r="D40" t="inlineStr">
        <is>
          <t>030109</t>
        </is>
      </c>
      <c r="E40" t="inlineStr">
        <is>
          <t>Infraestructura</t>
        </is>
      </c>
      <c r="F40" s="11" t="n">
        <v>0.1111</v>
      </c>
      <c r="G40" s="6">
        <f>IF($F$49=0,0,F40/$F$49)</f>
        <v/>
      </c>
      <c r="H40" s="5" t="n">
        <v>664530.6800000001</v>
      </c>
      <c r="I40" t="n">
        <v>4</v>
      </c>
      <c r="J40" t="n">
        <v>3</v>
      </c>
      <c r="K40" t="n">
        <v>3</v>
      </c>
      <c r="L40" s="5" t="n">
        <v>2215102.28</v>
      </c>
    </row>
    <row r="41">
      <c r="A41" t="inlineStr">
        <is>
          <t>CUSCO</t>
        </is>
      </c>
      <c r="B41" t="inlineStr">
        <is>
          <t>ANTA</t>
        </is>
      </c>
      <c r="C41" t="inlineStr">
        <is>
          <t>ANTA</t>
        </is>
      </c>
      <c r="D41" t="inlineStr">
        <is>
          <t>080301</t>
        </is>
      </c>
      <c r="E41" t="inlineStr">
        <is>
          <t>Infraestructura</t>
        </is>
      </c>
      <c r="F41" s="11" t="n">
        <v>0.1111</v>
      </c>
      <c r="G41" s="6">
        <f>IF($F$49=0,0,F41/$F$49)</f>
        <v/>
      </c>
      <c r="H41" s="5" t="n">
        <v>664530.6800000001</v>
      </c>
      <c r="I41" t="n">
        <v>4</v>
      </c>
      <c r="J41" t="n">
        <v>2</v>
      </c>
      <c r="K41" t="n">
        <v>3</v>
      </c>
      <c r="L41" s="5" t="n">
        <v>1993592.05</v>
      </c>
    </row>
    <row r="42">
      <c r="A42" t="inlineStr">
        <is>
          <t>LIMA</t>
        </is>
      </c>
      <c r="B42" t="inlineStr">
        <is>
          <t>LIMA</t>
        </is>
      </c>
      <c r="C42" t="inlineStr">
        <is>
          <t>VILLA EL SALVADOR</t>
        </is>
      </c>
      <c r="D42" t="inlineStr">
        <is>
          <t>150142</t>
        </is>
      </c>
      <c r="E42" t="inlineStr">
        <is>
          <t>Infraestructura</t>
        </is>
      </c>
      <c r="F42" s="11" t="n">
        <v>0.0769</v>
      </c>
      <c r="G42" s="6">
        <f>IF($F$49=0,0,F42/$F$49)</f>
        <v/>
      </c>
      <c r="H42" s="5" t="n">
        <v>460059.7</v>
      </c>
      <c r="I42" t="n">
        <v>1</v>
      </c>
      <c r="J42" t="n">
        <v>3</v>
      </c>
      <c r="L42" s="5" t="n">
        <v>920119.41</v>
      </c>
    </row>
    <row r="43">
      <c r="A43" t="inlineStr">
        <is>
          <t>LIMA</t>
        </is>
      </c>
      <c r="B43" t="inlineStr">
        <is>
          <t>LIMA</t>
        </is>
      </c>
      <c r="C43" t="inlineStr">
        <is>
          <t>LIMA</t>
        </is>
      </c>
      <c r="D43" t="inlineStr">
        <is>
          <t>150101</t>
        </is>
      </c>
      <c r="E43" t="inlineStr">
        <is>
          <t>Infraestructura</t>
        </is>
      </c>
      <c r="F43" s="11" t="n">
        <v>0.0769</v>
      </c>
      <c r="G43" s="6">
        <f>IF($F$49=0,0,F43/$F$49)</f>
        <v/>
      </c>
      <c r="H43" s="5" t="n">
        <v>460059.7</v>
      </c>
      <c r="I43" t="n">
        <v>2</v>
      </c>
      <c r="J43" t="n">
        <v>4</v>
      </c>
      <c r="L43" s="5" t="n">
        <v>1380179.11</v>
      </c>
    </row>
    <row r="44">
      <c r="A44" t="inlineStr">
        <is>
          <t>LIMA</t>
        </is>
      </c>
      <c r="B44" t="inlineStr">
        <is>
          <t>LIMA</t>
        </is>
      </c>
      <c r="C44" t="inlineStr">
        <is>
          <t>LA VICTORIA</t>
        </is>
      </c>
      <c r="D44" t="inlineStr">
        <is>
          <t>150115</t>
        </is>
      </c>
      <c r="E44" t="inlineStr">
        <is>
          <t>Infraestructura</t>
        </is>
      </c>
      <c r="F44" s="11" t="n">
        <v>0.0769</v>
      </c>
      <c r="G44" s="6">
        <f>IF($F$49=0,0,F44/$F$49)</f>
        <v/>
      </c>
      <c r="H44" s="5" t="n">
        <v>460059.7</v>
      </c>
      <c r="I44" t="n">
        <v>1</v>
      </c>
      <c r="J44" t="n">
        <v>3</v>
      </c>
      <c r="L44" s="5" t="n">
        <v>920119.41</v>
      </c>
    </row>
    <row r="45">
      <c r="A45" t="inlineStr">
        <is>
          <t>LIMA</t>
        </is>
      </c>
      <c r="B45" t="inlineStr">
        <is>
          <t>LIMA</t>
        </is>
      </c>
      <c r="C45" t="inlineStr">
        <is>
          <t>SAN JUAN DE MIRAFLORES</t>
        </is>
      </c>
      <c r="D45" t="inlineStr">
        <is>
          <t>150133</t>
        </is>
      </c>
      <c r="E45" t="inlineStr">
        <is>
          <t>Infraestructura</t>
        </is>
      </c>
      <c r="F45" s="11" t="n">
        <v>0.0769</v>
      </c>
      <c r="G45" s="6">
        <f>IF($F$49=0,0,F45/$F$49)</f>
        <v/>
      </c>
      <c r="H45" s="5" t="n">
        <v>460059.7</v>
      </c>
      <c r="I45" t="n">
        <v>2</v>
      </c>
      <c r="J45" t="n">
        <v>3</v>
      </c>
      <c r="L45" s="5" t="n">
        <v>1150149.26</v>
      </c>
    </row>
    <row r="46">
      <c r="A46" t="inlineStr">
        <is>
          <t>PIURA</t>
        </is>
      </c>
      <c r="B46" t="inlineStr">
        <is>
          <t>PIURA</t>
        </is>
      </c>
      <c r="C46" t="inlineStr">
        <is>
          <t>CASTILLA</t>
        </is>
      </c>
      <c r="D46" t="inlineStr">
        <is>
          <t>200104</t>
        </is>
      </c>
      <c r="E46" t="inlineStr">
        <is>
          <t>Inmobiliaria</t>
        </is>
      </c>
      <c r="F46" s="11" t="n">
        <v>0.05</v>
      </c>
      <c r="G46" s="6">
        <f>IF($F$49=0,0,F46/$F$49)</f>
        <v/>
      </c>
      <c r="H46" s="5" t="n">
        <v>299038.81</v>
      </c>
      <c r="I46" t="n">
        <v>2</v>
      </c>
      <c r="J46" t="n">
        <v>5</v>
      </c>
      <c r="L46" s="5" t="n">
        <v>1046635.83</v>
      </c>
    </row>
    <row r="47">
      <c r="A47" t="inlineStr">
        <is>
          <t>JUNIN</t>
        </is>
      </c>
      <c r="B47" t="inlineStr">
        <is>
          <t>HUANCAYO</t>
        </is>
      </c>
      <c r="C47" t="inlineStr">
        <is>
          <t>HUANCAYO</t>
        </is>
      </c>
      <c r="D47" t="inlineStr">
        <is>
          <t>120101</t>
        </is>
      </c>
      <c r="E47" t="inlineStr">
        <is>
          <t>Inmobiliaria</t>
        </is>
      </c>
      <c r="F47" s="11" t="n">
        <v>0.05</v>
      </c>
      <c r="G47" s="6">
        <f>IF($F$49=0,0,F47/$F$49)</f>
        <v/>
      </c>
      <c r="H47" s="5" t="n">
        <v>299038.81</v>
      </c>
      <c r="I47" t="n">
        <v>4</v>
      </c>
      <c r="J47" t="n">
        <v>2</v>
      </c>
      <c r="K47" t="n">
        <v>3</v>
      </c>
      <c r="L47" s="5" t="n">
        <v>897116.42</v>
      </c>
    </row>
    <row r="48">
      <c r="A48" t="inlineStr">
        <is>
          <t>LIMA</t>
        </is>
      </c>
      <c r="B48" t="inlineStr">
        <is>
          <t>LIMA</t>
        </is>
      </c>
      <c r="C48" t="inlineStr">
        <is>
          <t>EL AGUSTINO</t>
        </is>
      </c>
      <c r="D48" t="inlineStr">
        <is>
          <t>150111</t>
        </is>
      </c>
      <c r="E48" t="inlineStr">
        <is>
          <t>Infraestructura</t>
        </is>
      </c>
      <c r="F48" s="11" t="n">
        <v>0.0385</v>
      </c>
      <c r="G48" s="6">
        <f>IF($F$49=0,0,F48/$F$49)</f>
        <v/>
      </c>
      <c r="H48" s="5" t="n">
        <v>230029.85</v>
      </c>
      <c r="I48" t="n">
        <v>2</v>
      </c>
      <c r="J48" t="n">
        <v>4</v>
      </c>
      <c r="L48" s="5" t="n">
        <v>690089.5600000001</v>
      </c>
    </row>
    <row r="49">
      <c r="A49" s="12" t="inlineStr">
        <is>
          <t>TOTAL</t>
        </is>
      </c>
      <c r="B49" t="inlineStr"/>
      <c r="C49" t="inlineStr"/>
      <c r="D49" t="inlineStr"/>
      <c r="E49" t="inlineStr"/>
      <c r="F49" s="13">
        <f>SUM(F5:F48)</f>
        <v/>
      </c>
      <c r="G49" t="inlineStr"/>
      <c r="H49" s="14">
        <f>SUM(H5:H48)</f>
        <v/>
      </c>
      <c r="I49" t="inlineStr"/>
      <c r="J49" t="inlineStr"/>
      <c r="K49" t="inlineStr"/>
      <c r="L49" s="14">
        <f>SUM(L5:L48)</f>
        <v/>
      </c>
    </row>
    <row r="52">
      <c r="A52" s="15" t="inlineStr">
        <is>
          <t>Detalle por ubicación (%)</t>
        </is>
      </c>
    </row>
    <row r="53">
      <c r="A53" s="3" t="inlineStr">
        <is>
          <t>Distrito</t>
        </is>
      </c>
      <c r="B53" s="3" t="inlineStr">
        <is>
          <t>Ubigeo</t>
        </is>
      </c>
      <c r="C53" s="3" t="inlineStr">
        <is>
          <t>Mineral</t>
        </is>
      </c>
      <c r="D53" s="3" t="inlineStr">
        <is>
          <t>Unidad</t>
        </is>
      </c>
      <c r="E53" s="3" t="inlineStr">
        <is>
          <t>Cantidad (orig.)</t>
        </is>
      </c>
      <c r="F53" s="3" t="inlineStr">
        <is>
          <t>TMF equiv.</t>
        </is>
      </c>
    </row>
    <row r="54">
      <c r="A54" t="inlineStr">
        <is>
          <t>PARIÑAS</t>
        </is>
      </c>
      <c r="B54" t="inlineStr">
        <is>
          <t>200701</t>
        </is>
      </c>
      <c r="C54" t="inlineStr">
        <is>
          <t>Distribución</t>
        </is>
      </c>
      <c r="D54" t="inlineStr">
        <is>
          <t>%</t>
        </is>
      </c>
      <c r="E54" s="11" t="n">
        <v>1.5</v>
      </c>
      <c r="F54" s="16" t="n">
        <v>1.5</v>
      </c>
    </row>
    <row r="55">
      <c r="A55" t="inlineStr">
        <is>
          <t>SAN ANDRES</t>
        </is>
      </c>
      <c r="B55" t="inlineStr">
        <is>
          <t>110506</t>
        </is>
      </c>
      <c r="C55" t="inlineStr">
        <is>
          <t>Distribución</t>
        </is>
      </c>
      <c r="D55" t="inlineStr">
        <is>
          <t>%</t>
        </is>
      </c>
      <c r="E55" s="11" t="n">
        <v>1</v>
      </c>
      <c r="F55" s="16" t="n">
        <v>1</v>
      </c>
    </row>
    <row r="56">
      <c r="A56" t="inlineStr">
        <is>
          <t>CALLAO</t>
        </is>
      </c>
      <c r="B56" t="inlineStr">
        <is>
          <t>070101</t>
        </is>
      </c>
      <c r="C56" t="inlineStr">
        <is>
          <t>Distribución</t>
        </is>
      </c>
      <c r="D56" t="inlineStr">
        <is>
          <t>%</t>
        </is>
      </c>
      <c r="E56" s="11" t="n">
        <v>0.625</v>
      </c>
      <c r="F56" s="16" t="n">
        <v>0.625</v>
      </c>
    </row>
    <row r="57">
      <c r="A57" t="inlineStr">
        <is>
          <t>LA HUACA</t>
        </is>
      </c>
      <c r="B57" t="inlineStr">
        <is>
          <t>200505</t>
        </is>
      </c>
      <c r="C57" t="inlineStr">
        <is>
          <t>Distribución</t>
        </is>
      </c>
      <c r="D57" t="inlineStr">
        <is>
          <t>%</t>
        </is>
      </c>
      <c r="E57" s="11" t="n">
        <v>0.5</v>
      </c>
      <c r="F57" s="16" t="n">
        <v>0.5</v>
      </c>
    </row>
    <row r="58">
      <c r="A58" t="inlineStr">
        <is>
          <t>SAN JUAN DE LURIGANCHO</t>
        </is>
      </c>
      <c r="B58" t="inlineStr">
        <is>
          <t>150132</t>
        </is>
      </c>
      <c r="C58" t="inlineStr">
        <is>
          <t>Distribución</t>
        </is>
      </c>
      <c r="D58" t="inlineStr">
        <is>
          <t>%</t>
        </is>
      </c>
      <c r="E58" s="11" t="n">
        <v>0.3077</v>
      </c>
      <c r="F58" s="16" t="n">
        <v>0.307692</v>
      </c>
    </row>
    <row r="59">
      <c r="A59" t="inlineStr">
        <is>
          <t>HUACHO</t>
        </is>
      </c>
      <c r="B59" t="inlineStr">
        <is>
          <t>150801</t>
        </is>
      </c>
      <c r="C59" t="inlineStr">
        <is>
          <t>Distribución</t>
        </is>
      </c>
      <c r="D59" t="inlineStr">
        <is>
          <t>%</t>
        </is>
      </c>
      <c r="E59" s="11" t="n">
        <v>0.25</v>
      </c>
      <c r="F59" s="16" t="n">
        <v>0.25</v>
      </c>
    </row>
    <row r="60">
      <c r="A60" t="inlineStr">
        <is>
          <t>CHANCAY</t>
        </is>
      </c>
      <c r="B60" t="inlineStr">
        <is>
          <t>150605</t>
        </is>
      </c>
      <c r="C60" t="inlineStr">
        <is>
          <t>Distribución</t>
        </is>
      </c>
      <c r="D60" t="inlineStr">
        <is>
          <t>%</t>
        </is>
      </c>
      <c r="E60" s="11" t="n">
        <v>0.25</v>
      </c>
      <c r="F60" s="16" t="n">
        <v>0.25</v>
      </c>
    </row>
    <row r="61">
      <c r="A61" t="inlineStr">
        <is>
          <t>BARRANCA</t>
        </is>
      </c>
      <c r="B61" t="inlineStr">
        <is>
          <t>150201</t>
        </is>
      </c>
      <c r="C61" t="inlineStr">
        <is>
          <t>Distribución</t>
        </is>
      </c>
      <c r="D61" t="inlineStr">
        <is>
          <t>%</t>
        </is>
      </c>
      <c r="E61" s="11" t="n">
        <v>0.25</v>
      </c>
      <c r="F61" s="16" t="n">
        <v>0.25</v>
      </c>
    </row>
    <row r="62">
      <c r="A62" t="inlineStr">
        <is>
          <t>ANCON</t>
        </is>
      </c>
      <c r="B62" t="inlineStr">
        <is>
          <t>150102</t>
        </is>
      </c>
      <c r="C62" t="inlineStr">
        <is>
          <t>Distribución</t>
        </is>
      </c>
      <c r="D62" t="inlineStr">
        <is>
          <t>%</t>
        </is>
      </c>
      <c r="E62" s="11" t="n">
        <v>0.25</v>
      </c>
      <c r="F62" s="16" t="n">
        <v>0.25</v>
      </c>
    </row>
    <row r="63">
      <c r="A63" t="inlineStr">
        <is>
          <t>ABANCAY</t>
        </is>
      </c>
      <c r="B63" t="inlineStr">
        <is>
          <t>030101</t>
        </is>
      </c>
      <c r="C63" t="inlineStr">
        <is>
          <t>Distribución</t>
        </is>
      </c>
      <c r="D63" t="inlineStr">
        <is>
          <t>%</t>
        </is>
      </c>
      <c r="E63" s="11" t="n">
        <v>0.2361</v>
      </c>
      <c r="F63" s="16" t="n">
        <v>0.236111</v>
      </c>
    </row>
    <row r="64">
      <c r="A64" t="inlineStr">
        <is>
          <t>PUQUIO</t>
        </is>
      </c>
      <c r="B64" t="inlineStr">
        <is>
          <t>050601</t>
        </is>
      </c>
      <c r="C64" t="inlineStr">
        <is>
          <t>Distribución</t>
        </is>
      </c>
      <c r="D64" t="inlineStr">
        <is>
          <t>%</t>
        </is>
      </c>
      <c r="E64" s="11" t="n">
        <v>0.2361</v>
      </c>
      <c r="F64" s="16" t="n">
        <v>0.236111</v>
      </c>
    </row>
    <row r="65">
      <c r="A65" t="inlineStr">
        <is>
          <t>COMAS</t>
        </is>
      </c>
      <c r="B65" t="inlineStr">
        <is>
          <t>150110</t>
        </is>
      </c>
      <c r="C65" t="inlineStr">
        <is>
          <t>Distribución</t>
        </is>
      </c>
      <c r="D65" t="inlineStr">
        <is>
          <t>%</t>
        </is>
      </c>
      <c r="E65" s="11" t="n">
        <v>0.225</v>
      </c>
      <c r="F65" s="16" t="n">
        <v>0.225</v>
      </c>
    </row>
    <row r="66">
      <c r="A66" t="inlineStr">
        <is>
          <t>BREÑA</t>
        </is>
      </c>
      <c r="B66" t="inlineStr">
        <is>
          <t>150105</t>
        </is>
      </c>
      <c r="C66" t="inlineStr">
        <is>
          <t>Distribución</t>
        </is>
      </c>
      <c r="D66" t="inlineStr">
        <is>
          <t>%</t>
        </is>
      </c>
      <c r="E66" s="11" t="n">
        <v>0.225</v>
      </c>
      <c r="F66" s="16" t="n">
        <v>0.225</v>
      </c>
    </row>
    <row r="67">
      <c r="A67" t="inlineStr">
        <is>
          <t>CARABAYLLO</t>
        </is>
      </c>
      <c r="B67" t="inlineStr">
        <is>
          <t>150106</t>
        </is>
      </c>
      <c r="C67" t="inlineStr">
        <is>
          <t>Distribución</t>
        </is>
      </c>
      <c r="D67" t="inlineStr">
        <is>
          <t>%</t>
        </is>
      </c>
      <c r="E67" s="11" t="n">
        <v>0.225</v>
      </c>
      <c r="F67" s="16" t="n">
        <v>0.225</v>
      </c>
    </row>
    <row r="68">
      <c r="A68" t="inlineStr">
        <is>
          <t>HUARI</t>
        </is>
      </c>
      <c r="B68" t="inlineStr">
        <is>
          <t>021001</t>
        </is>
      </c>
      <c r="C68" t="inlineStr">
        <is>
          <t>Distribución</t>
        </is>
      </c>
      <c r="D68" t="inlineStr">
        <is>
          <t>%</t>
        </is>
      </c>
      <c r="E68" s="11" t="n">
        <v>0.2</v>
      </c>
      <c r="F68" s="16" t="n">
        <v>0.2</v>
      </c>
    </row>
    <row r="69">
      <c r="A69" t="inlineStr">
        <is>
          <t>SALAVERRY</t>
        </is>
      </c>
      <c r="B69" t="inlineStr">
        <is>
          <t>130109</t>
        </is>
      </c>
      <c r="C69" t="inlineStr">
        <is>
          <t>Distribución</t>
        </is>
      </c>
      <c r="D69" t="inlineStr">
        <is>
          <t>%</t>
        </is>
      </c>
      <c r="E69" s="11" t="n">
        <v>0.2</v>
      </c>
      <c r="F69" s="16" t="n">
        <v>0.2</v>
      </c>
    </row>
    <row r="70">
      <c r="A70" t="inlineStr">
        <is>
          <t>ETEN</t>
        </is>
      </c>
      <c r="B70" t="inlineStr">
        <is>
          <t>140103</t>
        </is>
      </c>
      <c r="C70" t="inlineStr">
        <is>
          <t>Distribución</t>
        </is>
      </c>
      <c r="D70" t="inlineStr">
        <is>
          <t>%</t>
        </is>
      </c>
      <c r="E70" s="11" t="n">
        <v>0.2</v>
      </c>
      <c r="F70" s="16" t="n">
        <v>0.2</v>
      </c>
    </row>
    <row r="71">
      <c r="A71" t="inlineStr">
        <is>
          <t>ICHUÑA</t>
        </is>
      </c>
      <c r="B71" t="inlineStr">
        <is>
          <t>180204</t>
        </is>
      </c>
      <c r="C71" t="inlineStr">
        <is>
          <t>Distribución</t>
        </is>
      </c>
      <c r="D71" t="inlineStr">
        <is>
          <t>%</t>
        </is>
      </c>
      <c r="E71" s="11" t="n">
        <v>0.2</v>
      </c>
      <c r="F71" s="16" t="n">
        <v>0.2</v>
      </c>
    </row>
    <row r="72">
      <c r="A72" t="inlineStr">
        <is>
          <t>MOQUEGUA</t>
        </is>
      </c>
      <c r="B72" t="inlineStr">
        <is>
          <t>180101</t>
        </is>
      </c>
      <c r="C72" t="inlineStr">
        <is>
          <t>Distribución</t>
        </is>
      </c>
      <c r="D72" t="inlineStr">
        <is>
          <t>%</t>
        </is>
      </c>
      <c r="E72" s="11" t="n">
        <v>0.2</v>
      </c>
      <c r="F72" s="16" t="n">
        <v>0.2</v>
      </c>
    </row>
    <row r="73">
      <c r="A73" t="inlineStr">
        <is>
          <t>CHIMBOTE</t>
        </is>
      </c>
      <c r="B73" t="inlineStr">
        <is>
          <t>021801</t>
        </is>
      </c>
      <c r="C73" t="inlineStr">
        <is>
          <t>Distribución</t>
        </is>
      </c>
      <c r="D73" t="inlineStr">
        <is>
          <t>%</t>
        </is>
      </c>
      <c r="E73" s="11" t="n">
        <v>0.2</v>
      </c>
      <c r="F73" s="16" t="n">
        <v>0.2</v>
      </c>
    </row>
    <row r="74">
      <c r="A74" t="inlineStr">
        <is>
          <t>SUPE</t>
        </is>
      </c>
      <c r="B74" t="inlineStr">
        <is>
          <t>150204</t>
        </is>
      </c>
      <c r="C74" t="inlineStr">
        <is>
          <t>Distribución</t>
        </is>
      </c>
      <c r="D74" t="inlineStr">
        <is>
          <t>%</t>
        </is>
      </c>
      <c r="E74" s="11" t="n">
        <v>0.2</v>
      </c>
      <c r="F74" s="16" t="n">
        <v>0.2</v>
      </c>
    </row>
    <row r="75">
      <c r="A75" t="inlineStr">
        <is>
          <t>LA MOLINA</t>
        </is>
      </c>
      <c r="B75" t="inlineStr">
        <is>
          <t>150114</t>
        </is>
      </c>
      <c r="C75" t="inlineStr">
        <is>
          <t>Distribución</t>
        </is>
      </c>
      <c r="D75" t="inlineStr">
        <is>
          <t>%</t>
        </is>
      </c>
      <c r="E75" s="11" t="n">
        <v>0.2</v>
      </c>
      <c r="F75" s="16" t="n">
        <v>0.2</v>
      </c>
    </row>
    <row r="76">
      <c r="A76" t="inlineStr">
        <is>
          <t>URCOS</t>
        </is>
      </c>
      <c r="B76" t="inlineStr">
        <is>
          <t>081201</t>
        </is>
      </c>
      <c r="C76" t="inlineStr">
        <is>
          <t>Distribución</t>
        </is>
      </c>
      <c r="D76" t="inlineStr">
        <is>
          <t>%</t>
        </is>
      </c>
      <c r="E76" s="11" t="n">
        <v>0.125</v>
      </c>
      <c r="F76" s="16" t="n">
        <v>0.125</v>
      </c>
    </row>
    <row r="77">
      <c r="A77" t="inlineStr">
        <is>
          <t>BUENOS AIRES</t>
        </is>
      </c>
      <c r="B77" t="inlineStr">
        <is>
          <t>200402</t>
        </is>
      </c>
      <c r="C77" t="inlineStr">
        <is>
          <t>Distribución</t>
        </is>
      </c>
      <c r="D77" t="inlineStr">
        <is>
          <t>%</t>
        </is>
      </c>
      <c r="E77" s="11" t="n">
        <v>0.125</v>
      </c>
      <c r="F77" s="16" t="n">
        <v>0.125</v>
      </c>
    </row>
    <row r="78">
      <c r="A78" t="inlineStr">
        <is>
          <t>CANCHAQUE</t>
        </is>
      </c>
      <c r="B78" t="inlineStr">
        <is>
          <t>200302</t>
        </is>
      </c>
      <c r="C78" t="inlineStr">
        <is>
          <t>Distribución</t>
        </is>
      </c>
      <c r="D78" t="inlineStr">
        <is>
          <t>%</t>
        </is>
      </c>
      <c r="E78" s="11" t="n">
        <v>0.125</v>
      </c>
      <c r="F78" s="16" t="n">
        <v>0.125</v>
      </c>
    </row>
    <row r="79">
      <c r="A79" t="inlineStr">
        <is>
          <t>CHALHUANCA</t>
        </is>
      </c>
      <c r="B79" t="inlineStr">
        <is>
          <t>030401</t>
        </is>
      </c>
      <c r="C79" t="inlineStr">
        <is>
          <t>Distribución</t>
        </is>
      </c>
      <c r="D79" t="inlineStr">
        <is>
          <t>%</t>
        </is>
      </c>
      <c r="E79" s="11" t="n">
        <v>0.125</v>
      </c>
      <c r="F79" s="16" t="n">
        <v>0.125</v>
      </c>
    </row>
    <row r="80">
      <c r="A80" t="inlineStr">
        <is>
          <t>MARCONA</t>
        </is>
      </c>
      <c r="B80" t="inlineStr">
        <is>
          <t>110304</t>
        </is>
      </c>
      <c r="C80" t="inlineStr">
        <is>
          <t>Distribución</t>
        </is>
      </c>
      <c r="D80" t="inlineStr">
        <is>
          <t>%</t>
        </is>
      </c>
      <c r="E80" s="11" t="n">
        <v>0.125</v>
      </c>
      <c r="F80" s="16" t="n">
        <v>0.125</v>
      </c>
    </row>
    <row r="81">
      <c r="A81" t="inlineStr">
        <is>
          <t>SAN BORJA</t>
        </is>
      </c>
      <c r="B81" t="inlineStr">
        <is>
          <t>150130</t>
        </is>
      </c>
      <c r="C81" t="inlineStr">
        <is>
          <t>Distribución</t>
        </is>
      </c>
      <c r="D81" t="inlineStr">
        <is>
          <t>%</t>
        </is>
      </c>
      <c r="E81" s="11" t="n">
        <v>0.1154</v>
      </c>
      <c r="F81" s="16" t="n">
        <v>0.115385</v>
      </c>
    </row>
    <row r="82">
      <c r="A82" t="inlineStr">
        <is>
          <t>SANTIAGO DE SURCO</t>
        </is>
      </c>
      <c r="B82" t="inlineStr">
        <is>
          <t>150140</t>
        </is>
      </c>
      <c r="C82" t="inlineStr">
        <is>
          <t>Distribución</t>
        </is>
      </c>
      <c r="D82" t="inlineStr">
        <is>
          <t>%</t>
        </is>
      </c>
      <c r="E82" s="11" t="n">
        <v>0.1154</v>
      </c>
      <c r="F82" s="16" t="n">
        <v>0.115385</v>
      </c>
    </row>
    <row r="83">
      <c r="A83" t="inlineStr">
        <is>
          <t>VILLA MARIA DEL TRIUNFO</t>
        </is>
      </c>
      <c r="B83" t="inlineStr">
        <is>
          <t>150143</t>
        </is>
      </c>
      <c r="C83" t="inlineStr">
        <is>
          <t>Distribución</t>
        </is>
      </c>
      <c r="D83" t="inlineStr">
        <is>
          <t>%</t>
        </is>
      </c>
      <c r="E83" s="11" t="n">
        <v>0.1154</v>
      </c>
      <c r="F83" s="16" t="n">
        <v>0.115385</v>
      </c>
    </row>
    <row r="84">
      <c r="A84" t="inlineStr">
        <is>
          <t>CORACORA</t>
        </is>
      </c>
      <c r="B84" t="inlineStr">
        <is>
          <t>050701</t>
        </is>
      </c>
      <c r="C84" t="inlineStr">
        <is>
          <t>Distribución</t>
        </is>
      </c>
      <c r="D84" t="inlineStr">
        <is>
          <t>%</t>
        </is>
      </c>
      <c r="E84" s="11" t="n">
        <v>0.1111</v>
      </c>
      <c r="F84" s="16" t="n">
        <v>0.111111</v>
      </c>
    </row>
    <row r="85">
      <c r="A85" t="inlineStr">
        <is>
          <t>CURAHUASI</t>
        </is>
      </c>
      <c r="B85" t="inlineStr">
        <is>
          <t>030104</t>
        </is>
      </c>
      <c r="C85" t="inlineStr">
        <is>
          <t>Distribución</t>
        </is>
      </c>
      <c r="D85" t="inlineStr">
        <is>
          <t>%</t>
        </is>
      </c>
      <c r="E85" s="11" t="n">
        <v>0.1111</v>
      </c>
      <c r="F85" s="16" t="n">
        <v>0.111111</v>
      </c>
    </row>
    <row r="86">
      <c r="A86" t="inlineStr">
        <is>
          <t>YANAOCA</t>
        </is>
      </c>
      <c r="B86" t="inlineStr">
        <is>
          <t>080501</t>
        </is>
      </c>
      <c r="C86" t="inlineStr">
        <is>
          <t>Distribución</t>
        </is>
      </c>
      <c r="D86" t="inlineStr">
        <is>
          <t>%</t>
        </is>
      </c>
      <c r="E86" s="11" t="n">
        <v>0.1111</v>
      </c>
      <c r="F86" s="16" t="n">
        <v>0.111111</v>
      </c>
    </row>
    <row r="87">
      <c r="A87" t="inlineStr">
        <is>
          <t>ANCAHUASI</t>
        </is>
      </c>
      <c r="B87" t="inlineStr">
        <is>
          <t>080302</t>
        </is>
      </c>
      <c r="C87" t="inlineStr">
        <is>
          <t>Distribución</t>
        </is>
      </c>
      <c r="D87" t="inlineStr">
        <is>
          <t>%</t>
        </is>
      </c>
      <c r="E87" s="11" t="n">
        <v>0.1111</v>
      </c>
      <c r="F87" s="16" t="n">
        <v>0.111111</v>
      </c>
    </row>
    <row r="88">
      <c r="A88" t="inlineStr">
        <is>
          <t>PICHIRHUA</t>
        </is>
      </c>
      <c r="B88" t="inlineStr">
        <is>
          <t>030107</t>
        </is>
      </c>
      <c r="C88" t="inlineStr">
        <is>
          <t>Distribución</t>
        </is>
      </c>
      <c r="D88" t="inlineStr">
        <is>
          <t>%</t>
        </is>
      </c>
      <c r="E88" s="11" t="n">
        <v>0.1111</v>
      </c>
      <c r="F88" s="16" t="n">
        <v>0.111111</v>
      </c>
    </row>
    <row r="89">
      <c r="A89" t="inlineStr">
        <is>
          <t>TAMBURCO</t>
        </is>
      </c>
      <c r="B89" t="inlineStr">
        <is>
          <t>030109</t>
        </is>
      </c>
      <c r="C89" t="inlineStr">
        <is>
          <t>Distribución</t>
        </is>
      </c>
      <c r="D89" t="inlineStr">
        <is>
          <t>%</t>
        </is>
      </c>
      <c r="E89" s="11" t="n">
        <v>0.1111</v>
      </c>
      <c r="F89" s="16" t="n">
        <v>0.111111</v>
      </c>
    </row>
    <row r="90">
      <c r="A90" t="inlineStr">
        <is>
          <t>ANTA</t>
        </is>
      </c>
      <c r="B90" t="inlineStr">
        <is>
          <t>080301</t>
        </is>
      </c>
      <c r="C90" t="inlineStr">
        <is>
          <t>Distribución</t>
        </is>
      </c>
      <c r="D90" t="inlineStr">
        <is>
          <t>%</t>
        </is>
      </c>
      <c r="E90" s="11" t="n">
        <v>0.1111</v>
      </c>
      <c r="F90" s="16" t="n">
        <v>0.111111</v>
      </c>
    </row>
    <row r="91">
      <c r="A91" t="inlineStr">
        <is>
          <t>VILLA EL SALVADOR</t>
        </is>
      </c>
      <c r="B91" t="inlineStr">
        <is>
          <t>150142</t>
        </is>
      </c>
      <c r="C91" t="inlineStr">
        <is>
          <t>Distribución</t>
        </is>
      </c>
      <c r="D91" t="inlineStr">
        <is>
          <t>%</t>
        </is>
      </c>
      <c r="E91" s="11" t="n">
        <v>0.0769</v>
      </c>
      <c r="F91" s="16" t="n">
        <v>0.07692300000000001</v>
      </c>
    </row>
    <row r="92">
      <c r="A92" t="inlineStr">
        <is>
          <t>LIMA</t>
        </is>
      </c>
      <c r="B92" t="inlineStr">
        <is>
          <t>150101</t>
        </is>
      </c>
      <c r="C92" t="inlineStr">
        <is>
          <t>Distribución</t>
        </is>
      </c>
      <c r="D92" t="inlineStr">
        <is>
          <t>%</t>
        </is>
      </c>
      <c r="E92" s="11" t="n">
        <v>0.0769</v>
      </c>
      <c r="F92" s="16" t="n">
        <v>0.07692300000000001</v>
      </c>
    </row>
    <row r="93">
      <c r="A93" t="inlineStr">
        <is>
          <t>LA VICTORIA</t>
        </is>
      </c>
      <c r="B93" t="inlineStr">
        <is>
          <t>150115</t>
        </is>
      </c>
      <c r="C93" t="inlineStr">
        <is>
          <t>Distribución</t>
        </is>
      </c>
      <c r="D93" t="inlineStr">
        <is>
          <t>%</t>
        </is>
      </c>
      <c r="E93" s="11" t="n">
        <v>0.0769</v>
      </c>
      <c r="F93" s="16" t="n">
        <v>0.07692300000000001</v>
      </c>
    </row>
    <row r="94">
      <c r="A94" t="inlineStr">
        <is>
          <t>SAN JUAN DE MIRAFLORES</t>
        </is>
      </c>
      <c r="B94" t="inlineStr">
        <is>
          <t>150133</t>
        </is>
      </c>
      <c r="C94" t="inlineStr">
        <is>
          <t>Distribución</t>
        </is>
      </c>
      <c r="D94" t="inlineStr">
        <is>
          <t>%</t>
        </is>
      </c>
      <c r="E94" s="11" t="n">
        <v>0.0769</v>
      </c>
      <c r="F94" s="16" t="n">
        <v>0.07692300000000001</v>
      </c>
    </row>
    <row r="95">
      <c r="A95" t="inlineStr">
        <is>
          <t>CASTILLA</t>
        </is>
      </c>
      <c r="B95" t="inlineStr">
        <is>
          <t>200104</t>
        </is>
      </c>
      <c r="C95" t="inlineStr">
        <is>
          <t>Distribución</t>
        </is>
      </c>
      <c r="D95" t="inlineStr">
        <is>
          <t>%</t>
        </is>
      </c>
      <c r="E95" s="11" t="n">
        <v>0.05</v>
      </c>
      <c r="F95" s="16" t="n">
        <v>0.05</v>
      </c>
    </row>
    <row r="96">
      <c r="A96" t="inlineStr">
        <is>
          <t>HUANCAYO</t>
        </is>
      </c>
      <c r="B96" t="inlineStr">
        <is>
          <t>120101</t>
        </is>
      </c>
      <c r="C96" t="inlineStr">
        <is>
          <t>Distribución</t>
        </is>
      </c>
      <c r="D96" t="inlineStr">
        <is>
          <t>%</t>
        </is>
      </c>
      <c r="E96" s="11" t="n">
        <v>0.05</v>
      </c>
      <c r="F96" s="16" t="n">
        <v>0.05</v>
      </c>
    </row>
    <row r="97">
      <c r="A97" t="inlineStr">
        <is>
          <t>EL AGUSTINO</t>
        </is>
      </c>
      <c r="B97" t="inlineStr">
        <is>
          <t>150111</t>
        </is>
      </c>
      <c r="C97" t="inlineStr">
        <is>
          <t>Distribución</t>
        </is>
      </c>
      <c r="D97" t="inlineStr">
        <is>
          <t>%</t>
        </is>
      </c>
      <c r="E97" s="11" t="n">
        <v>0.0385</v>
      </c>
      <c r="F97" s="16" t="n">
        <v>0.038462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0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Ferreycorp — Distribución por distrito y exposición asignada</t>
        </is>
      </c>
    </row>
    <row r="2">
      <c r="A2" s="2" t="inlineStr">
        <is>
          <t>Distribución total: 1.00 %   ·   Exposición en cartera: S/ 536,540,055   ·   Asignación: tmf_share</t>
        </is>
      </c>
    </row>
    <row r="4">
      <c r="A4" s="3" t="inlineStr">
        <is>
          <t>Departamento</t>
        </is>
      </c>
      <c r="B4" s="3" t="inlineStr">
        <is>
          <t>Provincia</t>
        </is>
      </c>
      <c r="C4" s="3" t="inlineStr">
        <is>
          <t>Distrito</t>
        </is>
      </c>
      <c r="D4" s="3" t="inlineStr">
        <is>
          <t>Ubigeo</t>
        </is>
      </c>
      <c r="E4" s="3" t="inlineStr">
        <is>
          <t>Activos / concesiones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LIMA</t>
        </is>
      </c>
      <c r="D5" t="inlineStr">
        <is>
          <t>150101</t>
        </is>
      </c>
      <c r="E5" t="inlineStr">
        <is>
          <t>Lima</t>
        </is>
      </c>
      <c r="F5" s="11" t="n">
        <v>0.0659</v>
      </c>
      <c r="G5" s="6">
        <f>IF($F$52=0,0,F5/$F$52)</f>
        <v/>
      </c>
      <c r="H5" s="5" t="n">
        <v>35362353.73</v>
      </c>
      <c r="I5" t="n">
        <v>2</v>
      </c>
      <c r="J5" t="n">
        <v>4</v>
      </c>
      <c r="L5" s="5" t="n">
        <v>106087061.18</v>
      </c>
    </row>
    <row r="6">
      <c r="A6" t="inlineStr">
        <is>
          <t>MOQUEGUA</t>
        </is>
      </c>
      <c r="B6" t="inlineStr">
        <is>
          <t>MARISCAL NIETO</t>
        </is>
      </c>
      <c r="C6" t="inlineStr">
        <is>
          <t>TORATA</t>
        </is>
      </c>
      <c r="D6" t="inlineStr">
        <is>
          <t>180106</t>
        </is>
      </c>
      <c r="E6" t="inlineStr">
        <is>
          <t>Torata</t>
        </is>
      </c>
      <c r="F6" s="11" t="n">
        <v>0.0484</v>
      </c>
      <c r="G6" s="6">
        <f>IF($F$52=0,0,F6/$F$52)</f>
        <v/>
      </c>
      <c r="H6" s="5" t="n">
        <v>25952276.92</v>
      </c>
      <c r="I6" t="n">
        <v>5</v>
      </c>
      <c r="J6" t="n">
        <v>3</v>
      </c>
      <c r="K6" t="n">
        <v>4</v>
      </c>
      <c r="L6" s="5" t="n">
        <v>103809107.69</v>
      </c>
    </row>
    <row r="7">
      <c r="A7" t="inlineStr">
        <is>
          <t>ICA</t>
        </is>
      </c>
      <c r="B7" t="inlineStr">
        <is>
          <t>NAZCA</t>
        </is>
      </c>
      <c r="C7" t="inlineStr">
        <is>
          <t>MARCONA</t>
        </is>
      </c>
      <c r="D7" t="inlineStr">
        <is>
          <t>110304</t>
        </is>
      </c>
      <c r="E7" t="inlineStr">
        <is>
          <t>Marcona</t>
        </is>
      </c>
      <c r="F7" s="11" t="n">
        <v>0.0439</v>
      </c>
      <c r="G7" s="6">
        <f>IF($F$52=0,0,F7/$F$52)</f>
        <v/>
      </c>
      <c r="H7" s="5" t="n">
        <v>23574902.48</v>
      </c>
      <c r="I7" t="n">
        <v>3</v>
      </c>
      <c r="J7" t="n">
        <v>4</v>
      </c>
      <c r="L7" s="5" t="n">
        <v>82512158.7</v>
      </c>
    </row>
    <row r="8">
      <c r="A8" t="inlineStr">
        <is>
          <t>CALLAO</t>
        </is>
      </c>
      <c r="B8" t="inlineStr">
        <is>
          <t>CALLAO</t>
        </is>
      </c>
      <c r="C8" t="inlineStr">
        <is>
          <t>CALLAO</t>
        </is>
      </c>
      <c r="D8" t="inlineStr">
        <is>
          <t>070101</t>
        </is>
      </c>
      <c r="E8" t="inlineStr">
        <is>
          <t>Callao</t>
        </is>
      </c>
      <c r="F8" s="11" t="n">
        <v>0.0424</v>
      </c>
      <c r="G8" s="6">
        <f>IF($F$52=0,0,F8/$F$52)</f>
        <v/>
      </c>
      <c r="H8" s="5" t="n">
        <v>22769872.28</v>
      </c>
      <c r="I8" t="n">
        <v>1</v>
      </c>
      <c r="J8" t="n">
        <v>5</v>
      </c>
      <c r="L8" s="5" t="n">
        <v>68309616.84999999</v>
      </c>
    </row>
    <row r="9">
      <c r="A9" t="inlineStr">
        <is>
          <t>CUSCO</t>
        </is>
      </c>
      <c r="B9" t="inlineStr">
        <is>
          <t>CHUMBIVILCAS</t>
        </is>
      </c>
      <c r="C9" t="inlineStr">
        <is>
          <t>LIVITACA</t>
        </is>
      </c>
      <c r="D9" t="inlineStr">
        <is>
          <t>080705</t>
        </is>
      </c>
      <c r="E9" t="inlineStr">
        <is>
          <t>Livitaca</t>
        </is>
      </c>
      <c r="F9" s="11" t="n">
        <v>0.0422</v>
      </c>
      <c r="G9" s="6">
        <f>IF($F$52=0,0,F9/$F$52)</f>
        <v/>
      </c>
      <c r="H9" s="5" t="n">
        <v>22654376.57</v>
      </c>
      <c r="I9" t="n">
        <v>3</v>
      </c>
      <c r="J9" t="n">
        <v>2</v>
      </c>
      <c r="K9" t="n">
        <v>3</v>
      </c>
      <c r="L9" s="5" t="n">
        <v>60411670.85</v>
      </c>
    </row>
    <row r="10">
      <c r="A10" t="inlineStr">
        <is>
          <t>LA LIBERTAD</t>
        </is>
      </c>
      <c r="B10" t="inlineStr">
        <is>
          <t>TRUJILLO</t>
        </is>
      </c>
      <c r="C10" t="inlineStr">
        <is>
          <t>TRUJILLO</t>
        </is>
      </c>
      <c r="D10" t="inlineStr">
        <is>
          <t>130101</t>
        </is>
      </c>
      <c r="E10" t="inlineStr">
        <is>
          <t>Trujillo</t>
        </is>
      </c>
      <c r="F10" s="11" t="n">
        <v>0.0321</v>
      </c>
      <c r="G10" s="6">
        <f>IF($F$52=0,0,F10/$F$52)</f>
        <v/>
      </c>
      <c r="H10" s="5" t="n">
        <v>17220913.91</v>
      </c>
      <c r="I10" t="n">
        <v>1</v>
      </c>
      <c r="J10" t="n">
        <v>5</v>
      </c>
      <c r="L10" s="5" t="n">
        <v>51662741.72</v>
      </c>
    </row>
    <row r="11">
      <c r="A11" t="inlineStr">
        <is>
          <t>PIURA</t>
        </is>
      </c>
      <c r="B11" t="inlineStr">
        <is>
          <t>PIURA</t>
        </is>
      </c>
      <c r="C11" t="inlineStr">
        <is>
          <t>PIURA</t>
        </is>
      </c>
      <c r="D11" t="inlineStr">
        <is>
          <t>200101</t>
        </is>
      </c>
      <c r="E11" t="inlineStr">
        <is>
          <t>Piura</t>
        </is>
      </c>
      <c r="F11" s="11" t="n">
        <v>0.0321</v>
      </c>
      <c r="G11" s="6">
        <f>IF($F$52=0,0,F11/$F$52)</f>
        <v/>
      </c>
      <c r="H11" s="5" t="n">
        <v>17220913.91</v>
      </c>
      <c r="I11" t="n">
        <v>1</v>
      </c>
      <c r="J11" t="n">
        <v>5</v>
      </c>
      <c r="L11" s="5" t="n">
        <v>51662741.72</v>
      </c>
    </row>
    <row r="12">
      <c r="A12" t="inlineStr">
        <is>
          <t>LIMA</t>
        </is>
      </c>
      <c r="B12" t="inlineStr">
        <is>
          <t>LIMA</t>
        </is>
      </c>
      <c r="C12" t="inlineStr">
        <is>
          <t>SANTIAGO DE SURCO</t>
        </is>
      </c>
      <c r="D12" t="inlineStr">
        <is>
          <t>150140</t>
        </is>
      </c>
      <c r="E12" t="inlineStr">
        <is>
          <t>Santiago De Surco</t>
        </is>
      </c>
      <c r="F12" s="11" t="n">
        <v>0.0312</v>
      </c>
      <c r="G12" s="6">
        <f>IF($F$52=0,0,F12/$F$52)</f>
        <v/>
      </c>
      <c r="H12" s="5" t="n">
        <v>16750904.62</v>
      </c>
      <c r="I12" t="n">
        <v>1</v>
      </c>
      <c r="J12" t="n">
        <v>3</v>
      </c>
      <c r="L12" s="5" t="n">
        <v>33501809.25</v>
      </c>
    </row>
    <row r="13">
      <c r="A13" t="inlineStr">
        <is>
          <t>CALLAO</t>
        </is>
      </c>
      <c r="B13" t="inlineStr">
        <is>
          <t>CALLAO</t>
        </is>
      </c>
      <c r="C13" t="inlineStr">
        <is>
          <t>CARMEN DE LA LEGUA REYNOSO</t>
        </is>
      </c>
      <c r="D13" t="inlineStr">
        <is>
          <t>070103</t>
        </is>
      </c>
      <c r="E13" t="inlineStr">
        <is>
          <t>Carmen De La Legua Reynoso</t>
        </is>
      </c>
      <c r="F13" s="11" t="n">
        <v>0.0277</v>
      </c>
      <c r="G13" s="6">
        <f>IF($F$52=0,0,F13/$F$52)</f>
        <v/>
      </c>
      <c r="H13" s="5" t="n">
        <v>14843539.47</v>
      </c>
      <c r="I13" t="n">
        <v>1</v>
      </c>
      <c r="J13" t="n">
        <v>4</v>
      </c>
      <c r="L13" s="5" t="n">
        <v>37108848.67</v>
      </c>
    </row>
    <row r="14">
      <c r="A14" t="inlineStr">
        <is>
          <t>LAMBAYEQUE</t>
        </is>
      </c>
      <c r="B14" t="inlineStr">
        <is>
          <t>LAMBAYEQUE</t>
        </is>
      </c>
      <c r="C14" t="inlineStr">
        <is>
          <t>LAMBAYEQUE</t>
        </is>
      </c>
      <c r="D14" t="inlineStr">
        <is>
          <t>140301</t>
        </is>
      </c>
      <c r="E14" t="inlineStr">
        <is>
          <t>Lambayeque</t>
        </is>
      </c>
      <c r="F14" s="11" t="n">
        <v>0.0264</v>
      </c>
      <c r="G14" s="6">
        <f>IF($F$52=0,0,F14/$F$52)</f>
        <v/>
      </c>
      <c r="H14" s="5" t="n">
        <v>14164825.68</v>
      </c>
      <c r="I14" t="n">
        <v>1</v>
      </c>
      <c r="J14" t="n">
        <v>4</v>
      </c>
      <c r="L14" s="5" t="n">
        <v>35412064.2</v>
      </c>
    </row>
    <row r="15">
      <c r="A15" t="inlineStr">
        <is>
          <t>APURIMAC</t>
        </is>
      </c>
      <c r="B15" t="inlineStr">
        <is>
          <t>COTABAMBAS</t>
        </is>
      </c>
      <c r="C15" t="inlineStr">
        <is>
          <t>CHALLHUAHUACHO</t>
        </is>
      </c>
      <c r="D15" t="inlineStr">
        <is>
          <t>030506</t>
        </is>
      </c>
      <c r="E15" t="inlineStr">
        <is>
          <t>Challhuahuacho</t>
        </is>
      </c>
      <c r="F15" s="11" t="n">
        <v>0.0264</v>
      </c>
      <c r="G15" s="6">
        <f>IF($F$52=0,0,F15/$F$52)</f>
        <v/>
      </c>
      <c r="H15" s="5" t="n">
        <v>14164825.68</v>
      </c>
      <c r="I15" t="n">
        <v>3</v>
      </c>
      <c r="J15" t="n">
        <v>3</v>
      </c>
      <c r="K15" t="n">
        <v>3</v>
      </c>
      <c r="L15" s="5" t="n">
        <v>42494477.04</v>
      </c>
    </row>
    <row r="16">
      <c r="A16" t="inlineStr">
        <is>
          <t>PASCO</t>
        </is>
      </c>
      <c r="B16" t="inlineStr">
        <is>
          <t>PASCO</t>
        </is>
      </c>
      <c r="C16" t="inlineStr">
        <is>
          <t>CHAUPIMARCA</t>
        </is>
      </c>
      <c r="D16" t="inlineStr">
        <is>
          <t>190101</t>
        </is>
      </c>
      <c r="E16" t="inlineStr">
        <is>
          <t>Chaupimarca</t>
        </is>
      </c>
      <c r="F16" s="11" t="n">
        <v>0.0264</v>
      </c>
      <c r="G16" s="6">
        <f>IF($F$52=0,0,F16/$F$52)</f>
        <v/>
      </c>
      <c r="H16" s="5" t="n">
        <v>14164825.68</v>
      </c>
      <c r="I16" t="n">
        <v>4</v>
      </c>
      <c r="J16" t="n">
        <v>4</v>
      </c>
      <c r="K16" t="n">
        <v>3</v>
      </c>
      <c r="L16" s="5" t="n">
        <v>51937694.16</v>
      </c>
    </row>
    <row r="17">
      <c r="A17" t="inlineStr">
        <is>
          <t>JUNIN</t>
        </is>
      </c>
      <c r="B17" t="inlineStr">
        <is>
          <t>HUANCAYO</t>
        </is>
      </c>
      <c r="C17" t="inlineStr">
        <is>
          <t>EL TAMBO</t>
        </is>
      </c>
      <c r="D17" t="inlineStr">
        <is>
          <t>120114</t>
        </is>
      </c>
      <c r="E17" t="inlineStr">
        <is>
          <t>El Tambo</t>
        </is>
      </c>
      <c r="F17" s="11" t="n">
        <v>0.0264</v>
      </c>
      <c r="G17" s="6">
        <f>IF($F$52=0,0,F17/$F$52)</f>
        <v/>
      </c>
      <c r="H17" s="5" t="n">
        <v>14164825.68</v>
      </c>
      <c r="I17" t="n">
        <v>4</v>
      </c>
      <c r="J17" t="n">
        <v>2</v>
      </c>
      <c r="K17" t="n">
        <v>3</v>
      </c>
      <c r="L17" s="5" t="n">
        <v>42494477.04</v>
      </c>
    </row>
    <row r="18">
      <c r="A18" t="inlineStr">
        <is>
          <t>ANCASH</t>
        </is>
      </c>
      <c r="B18" t="inlineStr">
        <is>
          <t>HUARAZ</t>
        </is>
      </c>
      <c r="C18" t="inlineStr">
        <is>
          <t>INDEPENDENCIA</t>
        </is>
      </c>
      <c r="D18" t="inlineStr">
        <is>
          <t>020105</t>
        </is>
      </c>
      <c r="E18" t="inlineStr">
        <is>
          <t>Independencia</t>
        </is>
      </c>
      <c r="F18" s="11" t="n">
        <v>0.0264</v>
      </c>
      <c r="G18" s="6">
        <f>IF($F$52=0,0,F18/$F$52)</f>
        <v/>
      </c>
      <c r="H18" s="5" t="n">
        <v>14164825.68</v>
      </c>
      <c r="I18" t="n">
        <v>4</v>
      </c>
      <c r="J18" t="n">
        <v>3</v>
      </c>
      <c r="K18" t="n">
        <v>3</v>
      </c>
      <c r="L18" s="5" t="n">
        <v>47216085.6</v>
      </c>
    </row>
    <row r="19">
      <c r="A19" t="inlineStr">
        <is>
          <t>ICA</t>
        </is>
      </c>
      <c r="B19" t="inlineStr">
        <is>
          <t>ICA</t>
        </is>
      </c>
      <c r="C19" t="inlineStr">
        <is>
          <t>SUBTANJALLA</t>
        </is>
      </c>
      <c r="D19" t="inlineStr">
        <is>
          <t>110112</t>
        </is>
      </c>
      <c r="E19" t="inlineStr">
        <is>
          <t>Subtanjalla</t>
        </is>
      </c>
      <c r="F19" s="11" t="n">
        <v>0.0264</v>
      </c>
      <c r="G19" s="6">
        <f>IF($F$52=0,0,F19/$F$52)</f>
        <v/>
      </c>
      <c r="H19" s="5" t="n">
        <v>14164825.68</v>
      </c>
      <c r="I19" t="n">
        <v>2</v>
      </c>
      <c r="J19" t="n">
        <v>4</v>
      </c>
      <c r="L19" s="5" t="n">
        <v>42494477.04</v>
      </c>
    </row>
    <row r="20">
      <c r="A20" t="inlineStr">
        <is>
          <t>LIMA</t>
        </is>
      </c>
      <c r="B20" t="inlineStr">
        <is>
          <t>LIMA</t>
        </is>
      </c>
      <c r="C20" t="inlineStr">
        <is>
          <t>LURIN</t>
        </is>
      </c>
      <c r="D20" t="inlineStr">
        <is>
          <t>150119</t>
        </is>
      </c>
      <c r="E20" t="inlineStr">
        <is>
          <t>Lurin</t>
        </is>
      </c>
      <c r="F20" s="11" t="n">
        <v>0.0264</v>
      </c>
      <c r="G20" s="6">
        <f>IF($F$52=0,0,F20/$F$52)</f>
        <v/>
      </c>
      <c r="H20" s="5" t="n">
        <v>14164825.68</v>
      </c>
      <c r="I20" t="n">
        <v>3</v>
      </c>
      <c r="J20" t="n">
        <v>3</v>
      </c>
      <c r="L20" s="5" t="n">
        <v>42494477.04</v>
      </c>
    </row>
    <row r="21">
      <c r="A21" t="inlineStr">
        <is>
          <t>AREQUIPA</t>
        </is>
      </c>
      <c r="B21" t="inlineStr">
        <is>
          <t>AREQUIPA</t>
        </is>
      </c>
      <c r="C21" t="inlineStr">
        <is>
          <t>UCHUMAYO</t>
        </is>
      </c>
      <c r="D21" t="inlineStr">
        <is>
          <t>040124</t>
        </is>
      </c>
      <c r="E21" t="inlineStr">
        <is>
          <t>Uchumayo</t>
        </is>
      </c>
      <c r="F21" s="11" t="n">
        <v>0.0264</v>
      </c>
      <c r="G21" s="6">
        <f>IF($F$52=0,0,F21/$F$52)</f>
        <v/>
      </c>
      <c r="H21" s="5" t="n">
        <v>14164825.68</v>
      </c>
      <c r="I21" t="n">
        <v>4</v>
      </c>
      <c r="J21" t="n">
        <v>3</v>
      </c>
      <c r="L21" s="5" t="n">
        <v>49576889.88</v>
      </c>
    </row>
    <row r="22">
      <c r="A22" t="inlineStr">
        <is>
          <t>PUNO</t>
        </is>
      </c>
      <c r="B22" t="inlineStr">
        <is>
          <t>SAN ROMAN</t>
        </is>
      </c>
      <c r="C22" t="inlineStr">
        <is>
          <t>JULIACA</t>
        </is>
      </c>
      <c r="D22" t="inlineStr">
        <is>
          <t>211101</t>
        </is>
      </c>
      <c r="E22" t="inlineStr">
        <is>
          <t>Juliaca</t>
        </is>
      </c>
      <c r="F22" s="11" t="n">
        <v>0.0264</v>
      </c>
      <c r="G22" s="6">
        <f>IF($F$52=0,0,F22/$F$52)</f>
        <v/>
      </c>
      <c r="H22" s="5" t="n">
        <v>14164825.68</v>
      </c>
      <c r="I22" t="n">
        <v>3</v>
      </c>
      <c r="J22" t="n">
        <v>1</v>
      </c>
      <c r="K22" t="n">
        <v>4</v>
      </c>
      <c r="L22" s="5" t="n">
        <v>37772868.48</v>
      </c>
    </row>
    <row r="23">
      <c r="A23" t="inlineStr">
        <is>
          <t>MOQUEGUA</t>
        </is>
      </c>
      <c r="B23" t="inlineStr">
        <is>
          <t>MARISCAL NIETO</t>
        </is>
      </c>
      <c r="C23" t="inlineStr">
        <is>
          <t>MOQUEGUA</t>
        </is>
      </c>
      <c r="D23" t="inlineStr">
        <is>
          <t>180101</t>
        </is>
      </c>
      <c r="E23" t="inlineStr">
        <is>
          <t>Moquegua</t>
        </is>
      </c>
      <c r="F23" s="11" t="n">
        <v>0.0264</v>
      </c>
      <c r="G23" s="6">
        <f>IF($F$52=0,0,F23/$F$52)</f>
        <v/>
      </c>
      <c r="H23" s="5" t="n">
        <v>14164825.68</v>
      </c>
      <c r="I23" t="n">
        <v>4</v>
      </c>
      <c r="J23" t="n">
        <v>4</v>
      </c>
      <c r="L23" s="5" t="n">
        <v>56659302.72</v>
      </c>
    </row>
    <row r="24">
      <c r="A24" t="inlineStr">
        <is>
          <t>JUNIN</t>
        </is>
      </c>
      <c r="B24" t="inlineStr">
        <is>
          <t>YAULI</t>
        </is>
      </c>
      <c r="C24" t="inlineStr">
        <is>
          <t>MOROCOCHA</t>
        </is>
      </c>
      <c r="D24" t="inlineStr">
        <is>
          <t>120805</t>
        </is>
      </c>
      <c r="E24" t="inlineStr">
        <is>
          <t>Morococha</t>
        </is>
      </c>
      <c r="F24" s="11" t="n">
        <v>0.022</v>
      </c>
      <c r="G24" s="6">
        <f>IF($F$52=0,0,F24/$F$52)</f>
        <v/>
      </c>
      <c r="H24" s="5" t="n">
        <v>11787451.24</v>
      </c>
      <c r="I24" t="n">
        <v>4</v>
      </c>
      <c r="J24" t="n">
        <v>3</v>
      </c>
      <c r="K24" t="n">
        <v>3</v>
      </c>
      <c r="L24" s="5" t="n">
        <v>39291504.14</v>
      </c>
    </row>
    <row r="25">
      <c r="A25" t="inlineStr">
        <is>
          <t>ANCASH</t>
        </is>
      </c>
      <c r="B25" t="inlineStr">
        <is>
          <t>HUARI</t>
        </is>
      </c>
      <c r="C25" t="inlineStr">
        <is>
          <t>SAN MARCOS</t>
        </is>
      </c>
      <c r="D25" t="inlineStr">
        <is>
          <t>021014</t>
        </is>
      </c>
      <c r="E25" t="inlineStr">
        <is>
          <t>San Marcos</t>
        </is>
      </c>
      <c r="F25" s="11" t="n">
        <v>0.022</v>
      </c>
      <c r="G25" s="6">
        <f>IF($F$52=0,0,F25/$F$52)</f>
        <v/>
      </c>
      <c r="H25" s="5" t="n">
        <v>11787451.24</v>
      </c>
      <c r="I25" t="n">
        <v>4</v>
      </c>
      <c r="J25" t="n">
        <v>3</v>
      </c>
      <c r="K25" t="n">
        <v>3</v>
      </c>
      <c r="L25" s="5" t="n">
        <v>39291504.14</v>
      </c>
    </row>
    <row r="26">
      <c r="A26" t="inlineStr">
        <is>
          <t>ANCASH</t>
        </is>
      </c>
      <c r="B26" t="inlineStr">
        <is>
          <t>SANTA</t>
        </is>
      </c>
      <c r="C26" t="inlineStr">
        <is>
          <t>NUEVO CHIMBOTE</t>
        </is>
      </c>
      <c r="D26" t="inlineStr">
        <is>
          <t>021809</t>
        </is>
      </c>
      <c r="E26" t="inlineStr">
        <is>
          <t>Nuevo Chimbote</t>
        </is>
      </c>
      <c r="F26" s="11" t="n">
        <v>0.022</v>
      </c>
      <c r="G26" s="6">
        <f>IF($F$52=0,0,F26/$F$52)</f>
        <v/>
      </c>
      <c r="H26" s="5" t="n">
        <v>11787451.24</v>
      </c>
      <c r="I26" t="n">
        <v>2</v>
      </c>
      <c r="J26" t="n">
        <v>3</v>
      </c>
      <c r="L26" s="5" t="n">
        <v>29468628.11</v>
      </c>
    </row>
    <row r="27">
      <c r="A27" t="inlineStr">
        <is>
          <t>CUSCO</t>
        </is>
      </c>
      <c r="B27" t="inlineStr">
        <is>
          <t>ESPINAR</t>
        </is>
      </c>
      <c r="C27" t="inlineStr">
        <is>
          <t>ESPINAR</t>
        </is>
      </c>
      <c r="D27" t="inlineStr">
        <is>
          <t>080801</t>
        </is>
      </c>
      <c r="E27" t="inlineStr">
        <is>
          <t>Espinar</t>
        </is>
      </c>
      <c r="F27" s="11" t="n">
        <v>0.022</v>
      </c>
      <c r="G27" s="6">
        <f>IF($F$52=0,0,F27/$F$52)</f>
        <v/>
      </c>
      <c r="H27" s="5" t="n">
        <v>11787451.24</v>
      </c>
      <c r="I27" t="n">
        <v>3</v>
      </c>
      <c r="J27" t="n">
        <v>3</v>
      </c>
      <c r="K27" t="n">
        <v>3</v>
      </c>
      <c r="L27" s="5" t="n">
        <v>35362353.73</v>
      </c>
    </row>
    <row r="28">
      <c r="A28" t="inlineStr">
        <is>
          <t>TACNA</t>
        </is>
      </c>
      <c r="B28" t="inlineStr">
        <is>
          <t>TACNA</t>
        </is>
      </c>
      <c r="C28" t="inlineStr">
        <is>
          <t>TACNA</t>
        </is>
      </c>
      <c r="D28" t="inlineStr">
        <is>
          <t>230101</t>
        </is>
      </c>
      <c r="E28" t="inlineStr">
        <is>
          <t>Tacna</t>
        </is>
      </c>
      <c r="F28" s="11" t="n">
        <v>0.022</v>
      </c>
      <c r="G28" s="6">
        <f>IF($F$52=0,0,F28/$F$52)</f>
        <v/>
      </c>
      <c r="H28" s="5" t="n">
        <v>11787451.24</v>
      </c>
      <c r="I28" t="n">
        <v>3</v>
      </c>
      <c r="J28" t="n">
        <v>3</v>
      </c>
      <c r="L28" s="5" t="n">
        <v>35362353.73</v>
      </c>
    </row>
    <row r="29">
      <c r="A29" t="inlineStr">
        <is>
          <t>CAJAMARCA</t>
        </is>
      </c>
      <c r="B29" t="inlineStr">
        <is>
          <t>SAN PABLO</t>
        </is>
      </c>
      <c r="C29" t="inlineStr">
        <is>
          <t>TUMBADEN</t>
        </is>
      </c>
      <c r="D29" t="inlineStr">
        <is>
          <t>061204</t>
        </is>
      </c>
      <c r="E29" t="inlineStr">
        <is>
          <t>Tumbaden</t>
        </is>
      </c>
      <c r="F29" s="11" t="n">
        <v>0.022</v>
      </c>
      <c r="G29" s="6">
        <f>IF($F$52=0,0,F29/$F$52)</f>
        <v/>
      </c>
      <c r="H29" s="5" t="n">
        <v>11787451.24</v>
      </c>
      <c r="I29" t="n">
        <v>3</v>
      </c>
      <c r="J29" t="n">
        <v>2</v>
      </c>
      <c r="K29" t="n">
        <v>2</v>
      </c>
      <c r="L29" s="5" t="n">
        <v>27504052.9</v>
      </c>
    </row>
    <row r="30">
      <c r="A30" t="inlineStr">
        <is>
          <t>CAJAMARCA</t>
        </is>
      </c>
      <c r="B30" t="inlineStr">
        <is>
          <t>CAJAMARCA</t>
        </is>
      </c>
      <c r="C30" t="inlineStr">
        <is>
          <t>LOS BAÑOS DEL INCA</t>
        </is>
      </c>
      <c r="D30" t="inlineStr">
        <is>
          <t>060108</t>
        </is>
      </c>
      <c r="E30" t="inlineStr">
        <is>
          <t>Los Baños Del Inca</t>
        </is>
      </c>
      <c r="F30" s="11" t="n">
        <v>0.022</v>
      </c>
      <c r="G30" s="6">
        <f>IF($F$52=0,0,F30/$F$52)</f>
        <v/>
      </c>
      <c r="H30" s="5" t="n">
        <v>11787451.24</v>
      </c>
      <c r="I30" t="n">
        <v>4</v>
      </c>
      <c r="J30" t="n">
        <v>4</v>
      </c>
      <c r="K30" t="n">
        <v>3</v>
      </c>
      <c r="L30" s="5" t="n">
        <v>43220654.55</v>
      </c>
    </row>
    <row r="31">
      <c r="A31" t="inlineStr">
        <is>
          <t>TACNA</t>
        </is>
      </c>
      <c r="B31" t="inlineStr">
        <is>
          <t>JORGE BASADRE</t>
        </is>
      </c>
      <c r="C31" t="inlineStr">
        <is>
          <t>ILABAYA</t>
        </is>
      </c>
      <c r="D31" t="inlineStr">
        <is>
          <t>230302</t>
        </is>
      </c>
      <c r="E31" t="inlineStr">
        <is>
          <t>Ilabaya</t>
        </is>
      </c>
      <c r="F31" s="11" t="n">
        <v>0.022</v>
      </c>
      <c r="G31" s="6">
        <f>IF($F$52=0,0,F31/$F$52)</f>
        <v/>
      </c>
      <c r="H31" s="5" t="n">
        <v>11787451.24</v>
      </c>
      <c r="I31" t="n">
        <v>5</v>
      </c>
      <c r="J31" t="n">
        <v>3</v>
      </c>
      <c r="K31" t="n">
        <v>3</v>
      </c>
      <c r="L31" s="5" t="n">
        <v>43220654.55</v>
      </c>
    </row>
    <row r="32">
      <c r="A32" t="inlineStr">
        <is>
          <t>AREQUIPA</t>
        </is>
      </c>
      <c r="B32" t="inlineStr">
        <is>
          <t>AREQUIPA</t>
        </is>
      </c>
      <c r="C32" t="inlineStr">
        <is>
          <t>JOSE LUIS BUSTAMANTE Y RIVERO</t>
        </is>
      </c>
      <c r="D32" t="inlineStr">
        <is>
          <t>040129</t>
        </is>
      </c>
      <c r="E32" t="inlineStr">
        <is>
          <t>Jose Luis Bustamante Y Rivero</t>
        </is>
      </c>
      <c r="F32" s="11" t="n">
        <v>0.022</v>
      </c>
      <c r="G32" s="6">
        <f>IF($F$52=0,0,F32/$F$52)</f>
        <v/>
      </c>
      <c r="H32" s="5" t="n">
        <v>11787451.24</v>
      </c>
      <c r="I32" t="n">
        <v>2</v>
      </c>
      <c r="J32" t="n">
        <v>5</v>
      </c>
      <c r="L32" s="5" t="n">
        <v>41256079.35</v>
      </c>
    </row>
    <row r="33">
      <c r="A33" t="inlineStr">
        <is>
          <t>AREQUIPA</t>
        </is>
      </c>
      <c r="B33" t="inlineStr">
        <is>
          <t>AREQUIPA</t>
        </is>
      </c>
      <c r="C33" t="inlineStr">
        <is>
          <t>LA JOYA</t>
        </is>
      </c>
      <c r="D33" t="inlineStr">
        <is>
          <t>040108</t>
        </is>
      </c>
      <c r="E33" t="inlineStr">
        <is>
          <t>La Joya</t>
        </is>
      </c>
      <c r="F33" s="11" t="n">
        <v>0.022</v>
      </c>
      <c r="G33" s="6">
        <f>IF($F$52=0,0,F33/$F$52)</f>
        <v/>
      </c>
      <c r="H33" s="5" t="n">
        <v>11787451.24</v>
      </c>
      <c r="I33" t="n">
        <v>4</v>
      </c>
      <c r="J33" t="n">
        <v>4</v>
      </c>
      <c r="L33" s="5" t="n">
        <v>47149804.97</v>
      </c>
    </row>
    <row r="34">
      <c r="A34" t="inlineStr">
        <is>
          <t>TUMBES</t>
        </is>
      </c>
      <c r="B34" t="inlineStr">
        <is>
          <t>TUMBES</t>
        </is>
      </c>
      <c r="C34" t="inlineStr">
        <is>
          <t>TUMBES</t>
        </is>
      </c>
      <c r="D34" t="inlineStr">
        <is>
          <t>240101</t>
        </is>
      </c>
      <c r="E34" t="inlineStr">
        <is>
          <t>Tumbes</t>
        </is>
      </c>
      <c r="F34" s="11" t="n">
        <v>0.022</v>
      </c>
      <c r="G34" s="6">
        <f>IF($F$52=0,0,F34/$F$52)</f>
        <v/>
      </c>
      <c r="H34" s="5" t="n">
        <v>11787451.24</v>
      </c>
      <c r="I34" t="n">
        <v>3</v>
      </c>
      <c r="J34" t="n">
        <v>5</v>
      </c>
      <c r="K34" t="n">
        <v>4</v>
      </c>
      <c r="L34" s="5" t="n">
        <v>47149804.97</v>
      </c>
    </row>
    <row r="35">
      <c r="A35" t="inlineStr">
        <is>
          <t>AREQUIPA</t>
        </is>
      </c>
      <c r="B35" t="inlineStr">
        <is>
          <t>AREQUIPA</t>
        </is>
      </c>
      <c r="C35" t="inlineStr">
        <is>
          <t>AREQUIPA</t>
        </is>
      </c>
      <c r="D35" t="inlineStr">
        <is>
          <t>040101</t>
        </is>
      </c>
      <c r="E35" t="inlineStr">
        <is>
          <t>Arequipa</t>
        </is>
      </c>
      <c r="F35" s="11" t="n">
        <v>0.022</v>
      </c>
      <c r="G35" s="6">
        <f>IF($F$52=0,0,F35/$F$52)</f>
        <v/>
      </c>
      <c r="H35" s="5" t="n">
        <v>11787451.24</v>
      </c>
      <c r="I35" t="n">
        <v>2</v>
      </c>
      <c r="J35" t="n">
        <v>5</v>
      </c>
      <c r="L35" s="5" t="n">
        <v>41256079.35</v>
      </c>
    </row>
    <row r="36">
      <c r="A36" t="inlineStr">
        <is>
          <t>CUSCO</t>
        </is>
      </c>
      <c r="B36" t="inlineStr">
        <is>
          <t>ANTA</t>
        </is>
      </c>
      <c r="C36" t="inlineStr">
        <is>
          <t>CACHIMAYO</t>
        </is>
      </c>
      <c r="D36" t="inlineStr">
        <is>
          <t>080303</t>
        </is>
      </c>
      <c r="E36" t="inlineStr">
        <is>
          <t>Cachimayo</t>
        </is>
      </c>
      <c r="F36" s="11" t="n">
        <v>0.022</v>
      </c>
      <c r="G36" s="6">
        <f>IF($F$52=0,0,F36/$F$52)</f>
        <v/>
      </c>
      <c r="H36" s="5" t="n">
        <v>11787451.24</v>
      </c>
      <c r="I36" t="n">
        <v>4</v>
      </c>
      <c r="J36" t="n">
        <v>3</v>
      </c>
      <c r="K36" t="n">
        <v>3</v>
      </c>
      <c r="L36" s="5" t="n">
        <v>39291504.14</v>
      </c>
    </row>
    <row r="37">
      <c r="A37" t="inlineStr">
        <is>
          <t>AREQUIPA</t>
        </is>
      </c>
      <c r="B37" t="inlineStr">
        <is>
          <t>AREQUIPA</t>
        </is>
      </c>
      <c r="C37" t="inlineStr">
        <is>
          <t>SACHACA</t>
        </is>
      </c>
      <c r="D37" t="inlineStr">
        <is>
          <t>040117</t>
        </is>
      </c>
      <c r="E37" t="inlineStr">
        <is>
          <t>Sachaca</t>
        </is>
      </c>
      <c r="F37" s="11" t="n">
        <v>0.0126</v>
      </c>
      <c r="G37" s="6">
        <f>IF($F$52=0,0,F37/$F$52)</f>
        <v/>
      </c>
      <c r="H37" s="5" t="n">
        <v>6748099.72</v>
      </c>
      <c r="I37" t="n">
        <v>4</v>
      </c>
      <c r="J37" t="n">
        <v>5</v>
      </c>
      <c r="L37" s="5" t="n">
        <v>30366448.72</v>
      </c>
    </row>
    <row r="38">
      <c r="A38" t="inlineStr">
        <is>
          <t>CUSCO</t>
        </is>
      </c>
      <c r="B38" t="inlineStr">
        <is>
          <t>CUSCO</t>
        </is>
      </c>
      <c r="C38" t="inlineStr">
        <is>
          <t>SAN JERONIMO</t>
        </is>
      </c>
      <c r="D38" t="inlineStr">
        <is>
          <t>080104</t>
        </is>
      </c>
      <c r="E38" t="inlineStr">
        <is>
          <t>San Jeronimo</t>
        </is>
      </c>
      <c r="F38" s="11" t="n">
        <v>0.0089</v>
      </c>
      <c r="G38" s="6">
        <f>IF($F$52=0,0,F38/$F$52)</f>
        <v/>
      </c>
      <c r="H38" s="5" t="n">
        <v>4754748.88</v>
      </c>
      <c r="I38" t="n">
        <v>4</v>
      </c>
      <c r="J38" t="n">
        <v>2</v>
      </c>
      <c r="K38" t="n">
        <v>3</v>
      </c>
      <c r="L38" s="5" t="n">
        <v>14264246.63</v>
      </c>
    </row>
    <row r="39">
      <c r="A39" t="inlineStr">
        <is>
          <t>LIMA</t>
        </is>
      </c>
      <c r="B39" t="inlineStr">
        <is>
          <t>LIMA</t>
        </is>
      </c>
      <c r="C39" t="inlineStr">
        <is>
          <t>SAN MARTIN DE PORRES</t>
        </is>
      </c>
      <c r="D39" t="inlineStr">
        <is>
          <t>150135</t>
        </is>
      </c>
      <c r="E39" t="inlineStr">
        <is>
          <t>San Martin De Porres</t>
        </is>
      </c>
      <c r="F39" s="11" t="n">
        <v>0.0069</v>
      </c>
      <c r="G39" s="6">
        <f>IF($F$52=0,0,F39/$F$52)</f>
        <v/>
      </c>
      <c r="H39" s="5" t="n">
        <v>3692011.49</v>
      </c>
      <c r="I39" t="n">
        <v>2</v>
      </c>
      <c r="J39" t="n">
        <v>5</v>
      </c>
      <c r="L39" s="5" t="n">
        <v>12922040.22</v>
      </c>
    </row>
    <row r="40">
      <c r="A40" t="inlineStr">
        <is>
          <t>AYACUCHO</t>
        </is>
      </c>
      <c r="B40" t="inlineStr">
        <is>
          <t>PARINACOCHAS</t>
        </is>
      </c>
      <c r="C40" t="inlineStr">
        <is>
          <t>SAN FRANCISCO DE RAVACAYCO</t>
        </is>
      </c>
      <c r="D40" t="inlineStr">
        <is>
          <t>050707</t>
        </is>
      </c>
      <c r="E40" t="inlineStr">
        <is>
          <t>San Francisco De Ravacayco</t>
        </is>
      </c>
      <c r="F40" s="11" t="n">
        <v>0.0057</v>
      </c>
      <c r="G40" s="6">
        <f>IF($F$52=0,0,F40/$F$52)</f>
        <v/>
      </c>
      <c r="H40" s="5" t="n">
        <v>3056088.22</v>
      </c>
      <c r="I40" t="n">
        <v>4</v>
      </c>
      <c r="J40" t="n">
        <v>3</v>
      </c>
      <c r="K40" t="n">
        <v>4</v>
      </c>
      <c r="L40" s="5" t="n">
        <v>11205656.82</v>
      </c>
    </row>
    <row r="41">
      <c r="A41" t="inlineStr">
        <is>
          <t>SAN MARTIN</t>
        </is>
      </c>
      <c r="B41" t="inlineStr">
        <is>
          <t>SAN MARTIN</t>
        </is>
      </c>
      <c r="C41" t="inlineStr">
        <is>
          <t>TARAPOTO</t>
        </is>
      </c>
      <c r="D41" t="inlineStr">
        <is>
          <t>220901</t>
        </is>
      </c>
      <c r="E41" t="inlineStr">
        <is>
          <t>Tarapoto</t>
        </is>
      </c>
      <c r="F41" s="11" t="n">
        <v>0.0047</v>
      </c>
      <c r="G41" s="6">
        <f>IF($F$52=0,0,F41/$F$52)</f>
        <v/>
      </c>
      <c r="H41" s="5" t="n">
        <v>2527842.87</v>
      </c>
      <c r="I41" t="n">
        <v>4</v>
      </c>
      <c r="J41" t="n">
        <v>4</v>
      </c>
      <c r="K41" t="n">
        <v>2</v>
      </c>
      <c r="L41" s="5" t="n">
        <v>8426142.880000001</v>
      </c>
    </row>
    <row r="42">
      <c r="A42" t="inlineStr">
        <is>
          <t>AMAZONAS</t>
        </is>
      </c>
      <c r="B42" t="inlineStr">
        <is>
          <t>UTCUBAMBA</t>
        </is>
      </c>
      <c r="C42" t="inlineStr">
        <is>
          <t>BAGUA GRANDE</t>
        </is>
      </c>
      <c r="D42" t="inlineStr">
        <is>
          <t>010701</t>
        </is>
      </c>
      <c r="E42" t="inlineStr">
        <is>
          <t>Bagua Grande</t>
        </is>
      </c>
      <c r="F42" s="11" t="n">
        <v>0.0047</v>
      </c>
      <c r="G42" s="6">
        <f>IF($F$52=0,0,F42/$F$52)</f>
        <v/>
      </c>
      <c r="H42" s="5" t="n">
        <v>2527842.87</v>
      </c>
      <c r="I42" t="n">
        <v>5</v>
      </c>
      <c r="J42" t="n">
        <v>3</v>
      </c>
      <c r="K42" t="n">
        <v>3</v>
      </c>
      <c r="L42" s="5" t="n">
        <v>9268757.17</v>
      </c>
    </row>
    <row r="43">
      <c r="A43" t="inlineStr">
        <is>
          <t>MADRE DE DIOS</t>
        </is>
      </c>
      <c r="B43" t="inlineStr">
        <is>
          <t>TAMBOPATA</t>
        </is>
      </c>
      <c r="C43" t="inlineStr">
        <is>
          <t>TAMBOPATA</t>
        </is>
      </c>
      <c r="D43" t="inlineStr">
        <is>
          <t>170101</t>
        </is>
      </c>
      <c r="E43" t="inlineStr">
        <is>
          <t>Tambopata</t>
        </is>
      </c>
      <c r="F43" s="11" t="n">
        <v>0.0047</v>
      </c>
      <c r="G43" s="6">
        <f>IF($F$52=0,0,F43/$F$52)</f>
        <v/>
      </c>
      <c r="H43" s="5" t="n">
        <v>2527842.87</v>
      </c>
      <c r="I43" t="n">
        <v>3</v>
      </c>
      <c r="J43" t="n">
        <v>2</v>
      </c>
      <c r="K43" t="n">
        <v>2</v>
      </c>
      <c r="L43" s="5" t="n">
        <v>5898300.02</v>
      </c>
    </row>
    <row r="44">
      <c r="A44" t="inlineStr">
        <is>
          <t>LORETO</t>
        </is>
      </c>
      <c r="B44" t="inlineStr">
        <is>
          <t>MAYNAS</t>
        </is>
      </c>
      <c r="C44" t="inlineStr">
        <is>
          <t>IQUITOS</t>
        </is>
      </c>
      <c r="D44" t="inlineStr">
        <is>
          <t>160101</t>
        </is>
      </c>
      <c r="E44" t="inlineStr">
        <is>
          <t>Iquitos</t>
        </is>
      </c>
      <c r="F44" s="11" t="n">
        <v>0.0047</v>
      </c>
      <c r="G44" s="6">
        <f>IF($F$52=0,0,F44/$F$52)</f>
        <v/>
      </c>
      <c r="H44" s="5" t="n">
        <v>2527842.87</v>
      </c>
      <c r="I44" t="n">
        <v>3</v>
      </c>
      <c r="J44" t="n">
        <v>4</v>
      </c>
      <c r="K44" t="n">
        <v>2</v>
      </c>
      <c r="L44" s="5" t="n">
        <v>7583528.6</v>
      </c>
    </row>
    <row r="45">
      <c r="A45" t="inlineStr">
        <is>
          <t>HUANUCO</t>
        </is>
      </c>
      <c r="B45" t="inlineStr">
        <is>
          <t>HUANUCO</t>
        </is>
      </c>
      <c r="C45" t="inlineStr">
        <is>
          <t>AMARILIS</t>
        </is>
      </c>
      <c r="D45" t="inlineStr">
        <is>
          <t>100102</t>
        </is>
      </c>
      <c r="E45" t="inlineStr">
        <is>
          <t>Amarilis</t>
        </is>
      </c>
      <c r="F45" s="11" t="n">
        <v>0.0047</v>
      </c>
      <c r="G45" s="6">
        <f>IF($F$52=0,0,F45/$F$52)</f>
        <v/>
      </c>
      <c r="H45" s="5" t="n">
        <v>2527842.87</v>
      </c>
      <c r="I45" t="n">
        <v>5</v>
      </c>
      <c r="J45" t="n">
        <v>2</v>
      </c>
      <c r="K45" t="n">
        <v>3</v>
      </c>
      <c r="L45" s="5" t="n">
        <v>8426142.880000001</v>
      </c>
    </row>
    <row r="46">
      <c r="A46" t="inlineStr">
        <is>
          <t>UCAYALI</t>
        </is>
      </c>
      <c r="B46" t="inlineStr">
        <is>
          <t>CORONEL PORTILLO</t>
        </is>
      </c>
      <c r="C46" t="inlineStr">
        <is>
          <t>YARINACOCHA</t>
        </is>
      </c>
      <c r="D46" t="inlineStr">
        <is>
          <t>250105</t>
        </is>
      </c>
      <c r="E46" t="inlineStr">
        <is>
          <t>Yarinacocha</t>
        </is>
      </c>
      <c r="F46" s="11" t="n">
        <v>0.0047</v>
      </c>
      <c r="G46" s="6">
        <f>IF($F$52=0,0,F46/$F$52)</f>
        <v/>
      </c>
      <c r="H46" s="5" t="n">
        <v>2527842.87</v>
      </c>
      <c r="I46" t="n">
        <v>1</v>
      </c>
      <c r="J46" t="n">
        <v>5</v>
      </c>
      <c r="K46" t="n">
        <v>2</v>
      </c>
      <c r="L46" s="5" t="n">
        <v>6740914.31</v>
      </c>
    </row>
    <row r="47">
      <c r="A47" t="inlineStr">
        <is>
          <t>MOQUEGUA</t>
        </is>
      </c>
      <c r="B47" t="inlineStr">
        <is>
          <t>ILO</t>
        </is>
      </c>
      <c r="C47" t="inlineStr">
        <is>
          <t>ILO</t>
        </is>
      </c>
      <c r="D47" t="inlineStr">
        <is>
          <t>180301</t>
        </is>
      </c>
      <c r="E47" t="inlineStr">
        <is>
          <t>Ilo</t>
        </is>
      </c>
      <c r="F47" s="11" t="n">
        <v>0.0044</v>
      </c>
      <c r="G47" s="6">
        <f>IF($F$52=0,0,F47/$F$52)</f>
        <v/>
      </c>
      <c r="H47" s="5" t="n">
        <v>2377374.44</v>
      </c>
      <c r="I47" t="n">
        <v>4</v>
      </c>
      <c r="J47" t="n">
        <v>2</v>
      </c>
      <c r="L47" s="5" t="n">
        <v>7132123.32</v>
      </c>
    </row>
    <row r="48">
      <c r="A48" t="inlineStr">
        <is>
          <t>PIURA</t>
        </is>
      </c>
      <c r="B48" t="inlineStr">
        <is>
          <t>SECHURA</t>
        </is>
      </c>
      <c r="C48" t="inlineStr">
        <is>
          <t>SECHURA</t>
        </is>
      </c>
      <c r="D48" t="inlineStr">
        <is>
          <t>200801</t>
        </is>
      </c>
      <c r="E48" t="inlineStr">
        <is>
          <t>Sechura</t>
        </is>
      </c>
      <c r="F48" s="11" t="n">
        <v>0.0044</v>
      </c>
      <c r="G48" s="6">
        <f>IF($F$52=0,0,F48/$F$52)</f>
        <v/>
      </c>
      <c r="H48" s="5" t="n">
        <v>2377374.44</v>
      </c>
      <c r="I48" t="n">
        <v>2</v>
      </c>
      <c r="J48" t="n">
        <v>5</v>
      </c>
      <c r="L48" s="5" t="n">
        <v>8320810.54</v>
      </c>
    </row>
    <row r="49">
      <c r="A49" t="inlineStr">
        <is>
          <t>LIMA</t>
        </is>
      </c>
      <c r="B49" t="inlineStr">
        <is>
          <t>LIMA</t>
        </is>
      </c>
      <c r="C49" t="inlineStr">
        <is>
          <t>ATE</t>
        </is>
      </c>
      <c r="D49" t="inlineStr">
        <is>
          <t>150103</t>
        </is>
      </c>
      <c r="E49" t="inlineStr">
        <is>
          <t>Ate</t>
        </is>
      </c>
      <c r="F49" s="11" t="n">
        <v>0.0044</v>
      </c>
      <c r="G49" s="6">
        <f>IF($F$52=0,0,F49/$F$52)</f>
        <v/>
      </c>
      <c r="H49" s="5" t="n">
        <v>2377374.44</v>
      </c>
      <c r="I49" t="n">
        <v>4</v>
      </c>
      <c r="J49" t="n">
        <v>3</v>
      </c>
      <c r="L49" s="5" t="n">
        <v>8320810.54</v>
      </c>
    </row>
    <row r="50">
      <c r="A50" t="inlineStr">
        <is>
          <t>AYACUCHO</t>
        </is>
      </c>
      <c r="B50" t="inlineStr">
        <is>
          <t>HUAMANGA</t>
        </is>
      </c>
      <c r="C50" t="inlineStr">
        <is>
          <t>AYACUCHO</t>
        </is>
      </c>
      <c r="D50" t="inlineStr">
        <is>
          <t>050101</t>
        </is>
      </c>
      <c r="E50" t="inlineStr">
        <is>
          <t>Ayacucho</t>
        </is>
      </c>
      <c r="F50" s="11" t="n">
        <v>0.0044</v>
      </c>
      <c r="G50" s="6">
        <f>IF($F$52=0,0,F50/$F$52)</f>
        <v/>
      </c>
      <c r="H50" s="5" t="n">
        <v>2377374.44</v>
      </c>
      <c r="I50" t="n">
        <v>4</v>
      </c>
      <c r="J50" t="n">
        <v>3</v>
      </c>
      <c r="K50" t="n">
        <v>4</v>
      </c>
      <c r="L50" s="5" t="n">
        <v>8717039.609999999</v>
      </c>
    </row>
    <row r="51">
      <c r="A51" t="inlineStr">
        <is>
          <t>AREQUIPA</t>
        </is>
      </c>
      <c r="B51" t="inlineStr">
        <is>
          <t>AREQUIPA</t>
        </is>
      </c>
      <c r="C51" t="inlineStr">
        <is>
          <t>CERRO COLORADO</t>
        </is>
      </c>
      <c r="D51" t="inlineStr">
        <is>
          <t>040104</t>
        </is>
      </c>
      <c r="E51" t="inlineStr">
        <is>
          <t>Cerro Colorado</t>
        </is>
      </c>
      <c r="F51" s="11" t="n">
        <v>0.0044</v>
      </c>
      <c r="G51" s="6">
        <f>IF($F$52=0,0,F51/$F$52)</f>
        <v/>
      </c>
      <c r="H51" s="5" t="n">
        <v>2377374.44</v>
      </c>
      <c r="I51" t="n">
        <v>4</v>
      </c>
      <c r="J51" t="n">
        <v>4</v>
      </c>
      <c r="K51" t="n">
        <v>2</v>
      </c>
      <c r="L51" s="5" t="n">
        <v>7924581.46</v>
      </c>
    </row>
    <row r="52">
      <c r="A52" s="12" t="inlineStr">
        <is>
          <t>TOTAL</t>
        </is>
      </c>
      <c r="B52" t="inlineStr"/>
      <c r="C52" t="inlineStr"/>
      <c r="D52" t="inlineStr"/>
      <c r="E52" t="inlineStr"/>
      <c r="F52" s="13">
        <f>SUM(F5:F51)</f>
        <v/>
      </c>
      <c r="G52" t="inlineStr"/>
      <c r="H52" s="14">
        <f>SUM(H5:H51)</f>
        <v/>
      </c>
      <c r="I52" t="inlineStr"/>
      <c r="J52" t="inlineStr"/>
      <c r="K52" t="inlineStr"/>
      <c r="L52" s="14">
        <f>SUM(L5:L51)</f>
        <v/>
      </c>
    </row>
    <row r="55">
      <c r="A55" s="15" t="inlineStr">
        <is>
          <t>Detalle por ubicación (%)</t>
        </is>
      </c>
    </row>
    <row r="56">
      <c r="A56" s="3" t="inlineStr">
        <is>
          <t>Distrito</t>
        </is>
      </c>
      <c r="B56" s="3" t="inlineStr">
        <is>
          <t>Ubigeo</t>
        </is>
      </c>
      <c r="C56" s="3" t="inlineStr">
        <is>
          <t>Mineral</t>
        </is>
      </c>
      <c r="D56" s="3" t="inlineStr">
        <is>
          <t>Unidad</t>
        </is>
      </c>
      <c r="E56" s="3" t="inlineStr">
        <is>
          <t>Cantidad (orig.)</t>
        </is>
      </c>
      <c r="F56" s="3" t="inlineStr">
        <is>
          <t>TMF equiv.</t>
        </is>
      </c>
    </row>
    <row r="57">
      <c r="A57" t="inlineStr">
        <is>
          <t>LIMA</t>
        </is>
      </c>
      <c r="B57" t="inlineStr">
        <is>
          <t>150101</t>
        </is>
      </c>
      <c r="C57" t="inlineStr">
        <is>
          <t>Distribución</t>
        </is>
      </c>
      <c r="D57" t="inlineStr">
        <is>
          <t>%</t>
        </is>
      </c>
      <c r="E57" s="11" t="n">
        <v>0.0659</v>
      </c>
      <c r="F57" s="16" t="n">
        <v>0.06590799999999999</v>
      </c>
    </row>
    <row r="58">
      <c r="A58" t="inlineStr">
        <is>
          <t>TORATA</t>
        </is>
      </c>
      <c r="B58" t="inlineStr">
        <is>
          <t>180106</t>
        </is>
      </c>
      <c r="C58" t="inlineStr">
        <is>
          <t>Distribución</t>
        </is>
      </c>
      <c r="D58" t="inlineStr">
        <is>
          <t>%</t>
        </is>
      </c>
      <c r="E58" s="11" t="n">
        <v>0.0484</v>
      </c>
      <c r="F58" s="16" t="n">
        <v>0.04837</v>
      </c>
    </row>
    <row r="59">
      <c r="A59" t="inlineStr">
        <is>
          <t>MARCONA</t>
        </is>
      </c>
      <c r="B59" t="inlineStr">
        <is>
          <t>110304</t>
        </is>
      </c>
      <c r="C59" t="inlineStr">
        <is>
          <t>Distribución</t>
        </is>
      </c>
      <c r="D59" t="inlineStr">
        <is>
          <t>%</t>
        </is>
      </c>
      <c r="E59" s="11" t="n">
        <v>0.0439</v>
      </c>
      <c r="F59" s="16" t="n">
        <v>0.043939</v>
      </c>
    </row>
    <row r="60">
      <c r="A60" t="inlineStr">
        <is>
          <t>CALLAO</t>
        </is>
      </c>
      <c r="B60" t="inlineStr">
        <is>
          <t>070101</t>
        </is>
      </c>
      <c r="C60" t="inlineStr">
        <is>
          <t>Distribución</t>
        </is>
      </c>
      <c r="D60" t="inlineStr">
        <is>
          <t>%</t>
        </is>
      </c>
      <c r="E60" s="11" t="n">
        <v>0.0424</v>
      </c>
      <c r="F60" s="16" t="n">
        <v>0.042438</v>
      </c>
    </row>
    <row r="61">
      <c r="A61" t="inlineStr">
        <is>
          <t>LIVITACA</t>
        </is>
      </c>
      <c r="B61" t="inlineStr">
        <is>
          <t>080705</t>
        </is>
      </c>
      <c r="C61" t="inlineStr">
        <is>
          <t>Distribución</t>
        </is>
      </c>
      <c r="D61" t="inlineStr">
        <is>
          <t>%</t>
        </is>
      </c>
      <c r="E61" s="11" t="n">
        <v>0.0422</v>
      </c>
      <c r="F61" s="16" t="n">
        <v>0.042223</v>
      </c>
    </row>
    <row r="62">
      <c r="A62" t="inlineStr">
        <is>
          <t>TRUJILLO</t>
        </is>
      </c>
      <c r="B62" t="inlineStr">
        <is>
          <t>130101</t>
        </is>
      </c>
      <c r="C62" t="inlineStr">
        <is>
          <t>Distribución</t>
        </is>
      </c>
      <c r="D62" t="inlineStr">
        <is>
          <t>%</t>
        </is>
      </c>
      <c r="E62" s="11" t="n">
        <v>0.0321</v>
      </c>
      <c r="F62" s="16" t="n">
        <v>0.032096</v>
      </c>
    </row>
    <row r="63">
      <c r="A63" t="inlineStr">
        <is>
          <t>PIURA</t>
        </is>
      </c>
      <c r="B63" t="inlineStr">
        <is>
          <t>200101</t>
        </is>
      </c>
      <c r="C63" t="inlineStr">
        <is>
          <t>Distribución</t>
        </is>
      </c>
      <c r="D63" t="inlineStr">
        <is>
          <t>%</t>
        </is>
      </c>
      <c r="E63" s="11" t="n">
        <v>0.0321</v>
      </c>
      <c r="F63" s="16" t="n">
        <v>0.032096</v>
      </c>
    </row>
    <row r="64">
      <c r="A64" t="inlineStr">
        <is>
          <t>SANTIAGO DE SURCO</t>
        </is>
      </c>
      <c r="B64" t="inlineStr">
        <is>
          <t>150140</t>
        </is>
      </c>
      <c r="C64" t="inlineStr">
        <is>
          <t>Distribución</t>
        </is>
      </c>
      <c r="D64" t="inlineStr">
        <is>
          <t>%</t>
        </is>
      </c>
      <c r="E64" s="11" t="n">
        <v>0.0312</v>
      </c>
      <c r="F64" s="16" t="n">
        <v>0.03122</v>
      </c>
    </row>
    <row r="65">
      <c r="A65" t="inlineStr">
        <is>
          <t>CARMEN DE LA LEGUA REYNOSO</t>
        </is>
      </c>
      <c r="B65" t="inlineStr">
        <is>
          <t>070103</t>
        </is>
      </c>
      <c r="C65" t="inlineStr">
        <is>
          <t>Distribución</t>
        </is>
      </c>
      <c r="D65" t="inlineStr">
        <is>
          <t>%</t>
        </is>
      </c>
      <c r="E65" s="11" t="n">
        <v>0.0277</v>
      </c>
      <c r="F65" s="16" t="n">
        <v>0.027665</v>
      </c>
    </row>
    <row r="66">
      <c r="A66" t="inlineStr">
        <is>
          <t>LAMBAYEQUE</t>
        </is>
      </c>
      <c r="B66" t="inlineStr">
        <is>
          <t>140301</t>
        </is>
      </c>
      <c r="C66" t="inlineStr">
        <is>
          <t>Distribución</t>
        </is>
      </c>
      <c r="D66" t="inlineStr">
        <is>
          <t>%</t>
        </is>
      </c>
      <c r="E66" s="11" t="n">
        <v>0.0264</v>
      </c>
      <c r="F66" s="16" t="n">
        <v>0.0264</v>
      </c>
    </row>
    <row r="67">
      <c r="A67" t="inlineStr">
        <is>
          <t>CHALLHUAHUACHO</t>
        </is>
      </c>
      <c r="B67" t="inlineStr">
        <is>
          <t>030506</t>
        </is>
      </c>
      <c r="C67" t="inlineStr">
        <is>
          <t>Distribución</t>
        </is>
      </c>
      <c r="D67" t="inlineStr">
        <is>
          <t>%</t>
        </is>
      </c>
      <c r="E67" s="11" t="n">
        <v>0.0264</v>
      </c>
      <c r="F67" s="16" t="n">
        <v>0.0264</v>
      </c>
    </row>
    <row r="68">
      <c r="A68" t="inlineStr">
        <is>
          <t>CHAUPIMARCA</t>
        </is>
      </c>
      <c r="B68" t="inlineStr">
        <is>
          <t>190101</t>
        </is>
      </c>
      <c r="C68" t="inlineStr">
        <is>
          <t>Distribución</t>
        </is>
      </c>
      <c r="D68" t="inlineStr">
        <is>
          <t>%</t>
        </is>
      </c>
      <c r="E68" s="11" t="n">
        <v>0.0264</v>
      </c>
      <c r="F68" s="16" t="n">
        <v>0.0264</v>
      </c>
    </row>
    <row r="69">
      <c r="A69" t="inlineStr">
        <is>
          <t>EL TAMBO</t>
        </is>
      </c>
      <c r="B69" t="inlineStr">
        <is>
          <t>120114</t>
        </is>
      </c>
      <c r="C69" t="inlineStr">
        <is>
          <t>Distribución</t>
        </is>
      </c>
      <c r="D69" t="inlineStr">
        <is>
          <t>%</t>
        </is>
      </c>
      <c r="E69" s="11" t="n">
        <v>0.0264</v>
      </c>
      <c r="F69" s="16" t="n">
        <v>0.0264</v>
      </c>
    </row>
    <row r="70">
      <c r="A70" t="inlineStr">
        <is>
          <t>INDEPENDENCIA</t>
        </is>
      </c>
      <c r="B70" t="inlineStr">
        <is>
          <t>020105</t>
        </is>
      </c>
      <c r="C70" t="inlineStr">
        <is>
          <t>Distribución</t>
        </is>
      </c>
      <c r="D70" t="inlineStr">
        <is>
          <t>%</t>
        </is>
      </c>
      <c r="E70" s="11" t="n">
        <v>0.0264</v>
      </c>
      <c r="F70" s="16" t="n">
        <v>0.0264</v>
      </c>
    </row>
    <row r="71">
      <c r="A71" t="inlineStr">
        <is>
          <t>SUBTANJALLA</t>
        </is>
      </c>
      <c r="B71" t="inlineStr">
        <is>
          <t>110112</t>
        </is>
      </c>
      <c r="C71" t="inlineStr">
        <is>
          <t>Distribución</t>
        </is>
      </c>
      <c r="D71" t="inlineStr">
        <is>
          <t>%</t>
        </is>
      </c>
      <c r="E71" s="11" t="n">
        <v>0.0264</v>
      </c>
      <c r="F71" s="16" t="n">
        <v>0.0264</v>
      </c>
    </row>
    <row r="72">
      <c r="A72" t="inlineStr">
        <is>
          <t>LURIN</t>
        </is>
      </c>
      <c r="B72" t="inlineStr">
        <is>
          <t>150119</t>
        </is>
      </c>
      <c r="C72" t="inlineStr">
        <is>
          <t>Distribución</t>
        </is>
      </c>
      <c r="D72" t="inlineStr">
        <is>
          <t>%</t>
        </is>
      </c>
      <c r="E72" s="11" t="n">
        <v>0.0264</v>
      </c>
      <c r="F72" s="16" t="n">
        <v>0.0264</v>
      </c>
    </row>
    <row r="73">
      <c r="A73" t="inlineStr">
        <is>
          <t>UCHUMAYO</t>
        </is>
      </c>
      <c r="B73" t="inlineStr">
        <is>
          <t>040124</t>
        </is>
      </c>
      <c r="C73" t="inlineStr">
        <is>
          <t>Distribución</t>
        </is>
      </c>
      <c r="D73" t="inlineStr">
        <is>
          <t>%</t>
        </is>
      </c>
      <c r="E73" s="11" t="n">
        <v>0.0264</v>
      </c>
      <c r="F73" s="16" t="n">
        <v>0.0264</v>
      </c>
    </row>
    <row r="74">
      <c r="A74" t="inlineStr">
        <is>
          <t>JULIACA</t>
        </is>
      </c>
      <c r="B74" t="inlineStr">
        <is>
          <t>211101</t>
        </is>
      </c>
      <c r="C74" t="inlineStr">
        <is>
          <t>Distribución</t>
        </is>
      </c>
      <c r="D74" t="inlineStr">
        <is>
          <t>%</t>
        </is>
      </c>
      <c r="E74" s="11" t="n">
        <v>0.0264</v>
      </c>
      <c r="F74" s="16" t="n">
        <v>0.0264</v>
      </c>
    </row>
    <row r="75">
      <c r="A75" t="inlineStr">
        <is>
          <t>MOQUEGUA</t>
        </is>
      </c>
      <c r="B75" t="inlineStr">
        <is>
          <t>180101</t>
        </is>
      </c>
      <c r="C75" t="inlineStr">
        <is>
          <t>Distribución</t>
        </is>
      </c>
      <c r="D75" t="inlineStr">
        <is>
          <t>%</t>
        </is>
      </c>
      <c r="E75" s="11" t="n">
        <v>0.0264</v>
      </c>
      <c r="F75" s="16" t="n">
        <v>0.0264</v>
      </c>
    </row>
    <row r="76">
      <c r="A76" t="inlineStr">
        <is>
          <t>MOROCOCHA</t>
        </is>
      </c>
      <c r="B76" t="inlineStr">
        <is>
          <t>120805</t>
        </is>
      </c>
      <c r="C76" t="inlineStr">
        <is>
          <t>Distribución</t>
        </is>
      </c>
      <c r="D76" t="inlineStr">
        <is>
          <t>%</t>
        </is>
      </c>
      <c r="E76" s="11" t="n">
        <v>0.022</v>
      </c>
      <c r="F76" s="16" t="n">
        <v>0.021969</v>
      </c>
    </row>
    <row r="77">
      <c r="A77" t="inlineStr">
        <is>
          <t>SAN MARCOS</t>
        </is>
      </c>
      <c r="B77" t="inlineStr">
        <is>
          <t>021014</t>
        </is>
      </c>
      <c r="C77" t="inlineStr">
        <is>
          <t>Distribución</t>
        </is>
      </c>
      <c r="D77" t="inlineStr">
        <is>
          <t>%</t>
        </is>
      </c>
      <c r="E77" s="11" t="n">
        <v>0.022</v>
      </c>
      <c r="F77" s="16" t="n">
        <v>0.021969</v>
      </c>
    </row>
    <row r="78">
      <c r="A78" t="inlineStr">
        <is>
          <t>NUEVO CHIMBOTE</t>
        </is>
      </c>
      <c r="B78" t="inlineStr">
        <is>
          <t>021809</t>
        </is>
      </c>
      <c r="C78" t="inlineStr">
        <is>
          <t>Distribución</t>
        </is>
      </c>
      <c r="D78" t="inlineStr">
        <is>
          <t>%</t>
        </is>
      </c>
      <c r="E78" s="11" t="n">
        <v>0.022</v>
      </c>
      <c r="F78" s="16" t="n">
        <v>0.021969</v>
      </c>
    </row>
    <row r="79">
      <c r="A79" t="inlineStr">
        <is>
          <t>ESPINAR</t>
        </is>
      </c>
      <c r="B79" t="inlineStr">
        <is>
          <t>080801</t>
        </is>
      </c>
      <c r="C79" t="inlineStr">
        <is>
          <t>Distribución</t>
        </is>
      </c>
      <c r="D79" t="inlineStr">
        <is>
          <t>%</t>
        </is>
      </c>
      <c r="E79" s="11" t="n">
        <v>0.022</v>
      </c>
      <c r="F79" s="16" t="n">
        <v>0.021969</v>
      </c>
    </row>
    <row r="80">
      <c r="A80" t="inlineStr">
        <is>
          <t>TACNA</t>
        </is>
      </c>
      <c r="B80" t="inlineStr">
        <is>
          <t>230101</t>
        </is>
      </c>
      <c r="C80" t="inlineStr">
        <is>
          <t>Distribución</t>
        </is>
      </c>
      <c r="D80" t="inlineStr">
        <is>
          <t>%</t>
        </is>
      </c>
      <c r="E80" s="11" t="n">
        <v>0.022</v>
      </c>
      <c r="F80" s="16" t="n">
        <v>0.021969</v>
      </c>
    </row>
    <row r="81">
      <c r="A81" t="inlineStr">
        <is>
          <t>TUMBADEN</t>
        </is>
      </c>
      <c r="B81" t="inlineStr">
        <is>
          <t>061204</t>
        </is>
      </c>
      <c r="C81" t="inlineStr">
        <is>
          <t>Distribución</t>
        </is>
      </c>
      <c r="D81" t="inlineStr">
        <is>
          <t>%</t>
        </is>
      </c>
      <c r="E81" s="11" t="n">
        <v>0.022</v>
      </c>
      <c r="F81" s="16" t="n">
        <v>0.021969</v>
      </c>
    </row>
    <row r="82">
      <c r="A82" t="inlineStr">
        <is>
          <t>LOS BAÑOS DEL INCA</t>
        </is>
      </c>
      <c r="B82" t="inlineStr">
        <is>
          <t>060108</t>
        </is>
      </c>
      <c r="C82" t="inlineStr">
        <is>
          <t>Distribución</t>
        </is>
      </c>
      <c r="D82" t="inlineStr">
        <is>
          <t>%</t>
        </is>
      </c>
      <c r="E82" s="11" t="n">
        <v>0.022</v>
      </c>
      <c r="F82" s="16" t="n">
        <v>0.021969</v>
      </c>
    </row>
    <row r="83">
      <c r="A83" t="inlineStr">
        <is>
          <t>ILABAYA</t>
        </is>
      </c>
      <c r="B83" t="inlineStr">
        <is>
          <t>230302</t>
        </is>
      </c>
      <c r="C83" t="inlineStr">
        <is>
          <t>Distribución</t>
        </is>
      </c>
      <c r="D83" t="inlineStr">
        <is>
          <t>%</t>
        </is>
      </c>
      <c r="E83" s="11" t="n">
        <v>0.022</v>
      </c>
      <c r="F83" s="16" t="n">
        <v>0.021969</v>
      </c>
    </row>
    <row r="84">
      <c r="A84" t="inlineStr">
        <is>
          <t>JOSE LUIS BUSTAMANTE Y RIVERO</t>
        </is>
      </c>
      <c r="B84" t="inlineStr">
        <is>
          <t>040129</t>
        </is>
      </c>
      <c r="C84" t="inlineStr">
        <is>
          <t>Distribución</t>
        </is>
      </c>
      <c r="D84" t="inlineStr">
        <is>
          <t>%</t>
        </is>
      </c>
      <c r="E84" s="11" t="n">
        <v>0.022</v>
      </c>
      <c r="F84" s="16" t="n">
        <v>0.021969</v>
      </c>
    </row>
    <row r="85">
      <c r="A85" t="inlineStr">
        <is>
          <t>LA JOYA</t>
        </is>
      </c>
      <c r="B85" t="inlineStr">
        <is>
          <t>040108</t>
        </is>
      </c>
      <c r="C85" t="inlineStr">
        <is>
          <t>Distribución</t>
        </is>
      </c>
      <c r="D85" t="inlineStr">
        <is>
          <t>%</t>
        </is>
      </c>
      <c r="E85" s="11" t="n">
        <v>0.022</v>
      </c>
      <c r="F85" s="16" t="n">
        <v>0.021969</v>
      </c>
    </row>
    <row r="86">
      <c r="A86" t="inlineStr">
        <is>
          <t>TUMBES</t>
        </is>
      </c>
      <c r="B86" t="inlineStr">
        <is>
          <t>240101</t>
        </is>
      </c>
      <c r="C86" t="inlineStr">
        <is>
          <t>Distribución</t>
        </is>
      </c>
      <c r="D86" t="inlineStr">
        <is>
          <t>%</t>
        </is>
      </c>
      <c r="E86" s="11" t="n">
        <v>0.022</v>
      </c>
      <c r="F86" s="16" t="n">
        <v>0.021969</v>
      </c>
    </row>
    <row r="87">
      <c r="A87" t="inlineStr">
        <is>
          <t>AREQUIPA</t>
        </is>
      </c>
      <c r="B87" t="inlineStr">
        <is>
          <t>040101</t>
        </is>
      </c>
      <c r="C87" t="inlineStr">
        <is>
          <t>Distribución</t>
        </is>
      </c>
      <c r="D87" t="inlineStr">
        <is>
          <t>%</t>
        </is>
      </c>
      <c r="E87" s="11" t="n">
        <v>0.022</v>
      </c>
      <c r="F87" s="16" t="n">
        <v>0.021969</v>
      </c>
    </row>
    <row r="88">
      <c r="A88" t="inlineStr">
        <is>
          <t>CACHIMAYO</t>
        </is>
      </c>
      <c r="B88" t="inlineStr">
        <is>
          <t>080303</t>
        </is>
      </c>
      <c r="C88" t="inlineStr">
        <is>
          <t>Distribución</t>
        </is>
      </c>
      <c r="D88" t="inlineStr">
        <is>
          <t>%</t>
        </is>
      </c>
      <c r="E88" s="11" t="n">
        <v>0.022</v>
      </c>
      <c r="F88" s="16" t="n">
        <v>0.021969</v>
      </c>
    </row>
    <row r="89">
      <c r="A89" t="inlineStr">
        <is>
          <t>SACHACA</t>
        </is>
      </c>
      <c r="B89" t="inlineStr">
        <is>
          <t>040117</t>
        </is>
      </c>
      <c r="C89" t="inlineStr">
        <is>
          <t>Distribución</t>
        </is>
      </c>
      <c r="D89" t="inlineStr">
        <is>
          <t>%</t>
        </is>
      </c>
      <c r="E89" s="11" t="n">
        <v>0.0126</v>
      </c>
      <c r="F89" s="16" t="n">
        <v>0.012577</v>
      </c>
    </row>
    <row r="90">
      <c r="A90" t="inlineStr">
        <is>
          <t>SAN JERONIMO</t>
        </is>
      </c>
      <c r="B90" t="inlineStr">
        <is>
          <t>080104</t>
        </is>
      </c>
      <c r="C90" t="inlineStr">
        <is>
          <t>Distribución</t>
        </is>
      </c>
      <c r="D90" t="inlineStr">
        <is>
          <t>%</t>
        </is>
      </c>
      <c r="E90" s="11" t="n">
        <v>0.0089</v>
      </c>
      <c r="F90" s="16" t="n">
        <v>0.008862</v>
      </c>
    </row>
    <row r="91">
      <c r="A91" t="inlineStr">
        <is>
          <t>SAN MARTIN DE PORRES</t>
        </is>
      </c>
      <c r="B91" t="inlineStr">
        <is>
          <t>150135</t>
        </is>
      </c>
      <c r="C91" t="inlineStr">
        <is>
          <t>Distribución</t>
        </is>
      </c>
      <c r="D91" t="inlineStr">
        <is>
          <t>%</t>
        </is>
      </c>
      <c r="E91" s="11" t="n">
        <v>0.0069</v>
      </c>
      <c r="F91" s="16" t="n">
        <v>0.006881</v>
      </c>
    </row>
    <row r="92">
      <c r="A92" t="inlineStr">
        <is>
          <t>SAN FRANCISCO DE RAVACAYCO</t>
        </is>
      </c>
      <c r="B92" t="inlineStr">
        <is>
          <t>050707</t>
        </is>
      </c>
      <c r="C92" t="inlineStr">
        <is>
          <t>Distribución</t>
        </is>
      </c>
      <c r="D92" t="inlineStr">
        <is>
          <t>%</t>
        </is>
      </c>
      <c r="E92" s="11" t="n">
        <v>0.0057</v>
      </c>
      <c r="F92" s="16" t="n">
        <v>0.005696</v>
      </c>
    </row>
    <row r="93">
      <c r="A93" t="inlineStr">
        <is>
          <t>TARAPOTO</t>
        </is>
      </c>
      <c r="B93" t="inlineStr">
        <is>
          <t>220901</t>
        </is>
      </c>
      <c r="C93" t="inlineStr">
        <is>
          <t>Distribución</t>
        </is>
      </c>
      <c r="D93" t="inlineStr">
        <is>
          <t>%</t>
        </is>
      </c>
      <c r="E93" s="11" t="n">
        <v>0.0047</v>
      </c>
      <c r="F93" s="16" t="n">
        <v>0.004711</v>
      </c>
    </row>
    <row r="94">
      <c r="A94" t="inlineStr">
        <is>
          <t>BAGUA GRANDE</t>
        </is>
      </c>
      <c r="B94" t="inlineStr">
        <is>
          <t>010701</t>
        </is>
      </c>
      <c r="C94" t="inlineStr">
        <is>
          <t>Distribución</t>
        </is>
      </c>
      <c r="D94" t="inlineStr">
        <is>
          <t>%</t>
        </is>
      </c>
      <c r="E94" s="11" t="n">
        <v>0.0047</v>
      </c>
      <c r="F94" s="16" t="n">
        <v>0.004711</v>
      </c>
    </row>
    <row r="95">
      <c r="A95" t="inlineStr">
        <is>
          <t>TAMBOPATA</t>
        </is>
      </c>
      <c r="B95" t="inlineStr">
        <is>
          <t>170101</t>
        </is>
      </c>
      <c r="C95" t="inlineStr">
        <is>
          <t>Distribución</t>
        </is>
      </c>
      <c r="D95" t="inlineStr">
        <is>
          <t>%</t>
        </is>
      </c>
      <c r="E95" s="11" t="n">
        <v>0.0047</v>
      </c>
      <c r="F95" s="16" t="n">
        <v>0.004711</v>
      </c>
    </row>
    <row r="96">
      <c r="A96" t="inlineStr">
        <is>
          <t>IQUITOS</t>
        </is>
      </c>
      <c r="B96" t="inlineStr">
        <is>
          <t>160101</t>
        </is>
      </c>
      <c r="C96" t="inlineStr">
        <is>
          <t>Distribución</t>
        </is>
      </c>
      <c r="D96" t="inlineStr">
        <is>
          <t>%</t>
        </is>
      </c>
      <c r="E96" s="11" t="n">
        <v>0.0047</v>
      </c>
      <c r="F96" s="16" t="n">
        <v>0.004711</v>
      </c>
    </row>
    <row r="97">
      <c r="A97" t="inlineStr">
        <is>
          <t>AMARILIS</t>
        </is>
      </c>
      <c r="B97" t="inlineStr">
        <is>
          <t>100102</t>
        </is>
      </c>
      <c r="C97" t="inlineStr">
        <is>
          <t>Distribución</t>
        </is>
      </c>
      <c r="D97" t="inlineStr">
        <is>
          <t>%</t>
        </is>
      </c>
      <c r="E97" s="11" t="n">
        <v>0.0047</v>
      </c>
      <c r="F97" s="16" t="n">
        <v>0.004711</v>
      </c>
    </row>
    <row r="98">
      <c r="A98" t="inlineStr">
        <is>
          <t>YARINACOCHA</t>
        </is>
      </c>
      <c r="B98" t="inlineStr">
        <is>
          <t>250105</t>
        </is>
      </c>
      <c r="C98" t="inlineStr">
        <is>
          <t>Distribución</t>
        </is>
      </c>
      <c r="D98" t="inlineStr">
        <is>
          <t>%</t>
        </is>
      </c>
      <c r="E98" s="11" t="n">
        <v>0.0047</v>
      </c>
      <c r="F98" s="16" t="n">
        <v>0.004711</v>
      </c>
    </row>
    <row r="99">
      <c r="A99" t="inlineStr">
        <is>
          <t>ILO</t>
        </is>
      </c>
      <c r="B99" t="inlineStr">
        <is>
          <t>180301</t>
        </is>
      </c>
      <c r="C99" t="inlineStr">
        <is>
          <t>Distribución</t>
        </is>
      </c>
      <c r="D99" t="inlineStr">
        <is>
          <t>%</t>
        </is>
      </c>
      <c r="E99" s="11" t="n">
        <v>0.0044</v>
      </c>
      <c r="F99" s="16" t="n">
        <v>0.004431</v>
      </c>
    </row>
    <row r="100">
      <c r="A100" t="inlineStr">
        <is>
          <t>SECHURA</t>
        </is>
      </c>
      <c r="B100" t="inlineStr">
        <is>
          <t>200801</t>
        </is>
      </c>
      <c r="C100" t="inlineStr">
        <is>
          <t>Distribución</t>
        </is>
      </c>
      <c r="D100" t="inlineStr">
        <is>
          <t>%</t>
        </is>
      </c>
      <c r="E100" s="11" t="n">
        <v>0.0044</v>
      </c>
      <c r="F100" s="16" t="n">
        <v>0.004431</v>
      </c>
    </row>
    <row r="101">
      <c r="A101" t="inlineStr">
        <is>
          <t>ATE</t>
        </is>
      </c>
      <c r="B101" t="inlineStr">
        <is>
          <t>150103</t>
        </is>
      </c>
      <c r="C101" t="inlineStr">
        <is>
          <t>Distribución</t>
        </is>
      </c>
      <c r="D101" t="inlineStr">
        <is>
          <t>%</t>
        </is>
      </c>
      <c r="E101" s="11" t="n">
        <v>0.0044</v>
      </c>
      <c r="F101" s="16" t="n">
        <v>0.004431</v>
      </c>
    </row>
    <row r="102">
      <c r="A102" t="inlineStr">
        <is>
          <t>AYACUCHO</t>
        </is>
      </c>
      <c r="B102" t="inlineStr">
        <is>
          <t>050101</t>
        </is>
      </c>
      <c r="C102" t="inlineStr">
        <is>
          <t>Distribución</t>
        </is>
      </c>
      <c r="D102" t="inlineStr">
        <is>
          <t>%</t>
        </is>
      </c>
      <c r="E102" s="11" t="n">
        <v>0.0044</v>
      </c>
      <c r="F102" s="16" t="n">
        <v>0.004431</v>
      </c>
    </row>
    <row r="103">
      <c r="A103" t="inlineStr">
        <is>
          <t>CERRO COLORADO</t>
        </is>
      </c>
      <c r="B103" t="inlineStr">
        <is>
          <t>040104</t>
        </is>
      </c>
      <c r="C103" t="inlineStr">
        <is>
          <t>Distribución</t>
        </is>
      </c>
      <c r="D103" t="inlineStr">
        <is>
          <t>%</t>
        </is>
      </c>
      <c r="E103" s="11" t="n">
        <v>0.0044</v>
      </c>
      <c r="F103" s="16" t="n">
        <v>0.004431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Puerto Chancay — Distribución por distrito y exposición asignada</t>
        </is>
      </c>
    </row>
    <row r="2">
      <c r="A2" s="2" t="inlineStr">
        <is>
          <t>Distribución total: 1.00 %   ·   Exposición en cartera: S/ 54,821,451   ·   Asignación: tmf_share</t>
        </is>
      </c>
    </row>
    <row r="4">
      <c r="A4" s="3" t="inlineStr">
        <is>
          <t>Departamento</t>
        </is>
      </c>
      <c r="B4" s="3" t="inlineStr">
        <is>
          <t>Provincia</t>
        </is>
      </c>
      <c r="C4" s="3" t="inlineStr">
        <is>
          <t>Distrito</t>
        </is>
      </c>
      <c r="D4" s="3" t="inlineStr">
        <is>
          <t>Ubigeo</t>
        </is>
      </c>
      <c r="E4" s="3" t="inlineStr">
        <is>
          <t>Activos / concesiones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HUARAL</t>
        </is>
      </c>
      <c r="C5" t="inlineStr">
        <is>
          <t>CHANCAY</t>
        </is>
      </c>
      <c r="D5" t="inlineStr">
        <is>
          <t>150605</t>
        </is>
      </c>
      <c r="E5" t="inlineStr">
        <is>
          <t>Chancay</t>
        </is>
      </c>
      <c r="F5" s="11" t="n">
        <v>1</v>
      </c>
      <c r="G5" s="6">
        <f>IF($F$6=0,0,F5/$F$6)</f>
        <v/>
      </c>
      <c r="H5" s="5" t="n">
        <v>54821451.5</v>
      </c>
      <c r="I5" t="n">
        <v>3</v>
      </c>
      <c r="J5" t="n">
        <v>4</v>
      </c>
      <c r="L5" s="5" t="n">
        <v>191875080.25</v>
      </c>
    </row>
    <row r="6">
      <c r="A6" s="12" t="inlineStr">
        <is>
          <t>TOTAL</t>
        </is>
      </c>
      <c r="B6" t="inlineStr"/>
      <c r="C6" t="inlineStr"/>
      <c r="D6" t="inlineStr"/>
      <c r="E6" t="inlineStr"/>
      <c r="F6" s="13">
        <f>SUM(F5:F5)</f>
        <v/>
      </c>
      <c r="G6" t="inlineStr"/>
      <c r="H6" s="14">
        <f>SUM(H5:H5)</f>
        <v/>
      </c>
      <c r="I6" t="inlineStr"/>
      <c r="J6" t="inlineStr"/>
      <c r="K6" t="inlineStr"/>
      <c r="L6" s="14">
        <f>SUM(L5:L5)</f>
        <v/>
      </c>
    </row>
    <row r="9">
      <c r="A9" s="15" t="inlineStr">
        <is>
          <t>Detalle por ubicación (%)</t>
        </is>
      </c>
    </row>
    <row r="10">
      <c r="A10" s="3" t="inlineStr">
        <is>
          <t>Distrito</t>
        </is>
      </c>
      <c r="B10" s="3" t="inlineStr">
        <is>
          <t>Ubigeo</t>
        </is>
      </c>
      <c r="C10" s="3" t="inlineStr">
        <is>
          <t>Mineral</t>
        </is>
      </c>
      <c r="D10" s="3" t="inlineStr">
        <is>
          <t>Unidad</t>
        </is>
      </c>
      <c r="E10" s="3" t="inlineStr">
        <is>
          <t>Cantidad (orig.)</t>
        </is>
      </c>
      <c r="F10" s="3" t="inlineStr">
        <is>
          <t>TMF equiv.</t>
        </is>
      </c>
    </row>
    <row r="11">
      <c r="A11" t="inlineStr">
        <is>
          <t>CHANCAY</t>
        </is>
      </c>
      <c r="B11" t="inlineStr">
        <is>
          <t>150605</t>
        </is>
      </c>
      <c r="C11" t="inlineStr">
        <is>
          <t>Distribución</t>
        </is>
      </c>
      <c r="D11" t="inlineStr">
        <is>
          <t>%</t>
        </is>
      </c>
      <c r="E11" s="11" t="n">
        <v>1</v>
      </c>
      <c r="F11" s="1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47"/>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Hermes — Distribución por distrito y exposición asignada</t>
        </is>
      </c>
    </row>
    <row r="2">
      <c r="A2" s="2" t="inlineStr">
        <is>
          <t>Distribución total: 1.00 %   ·   Exposición en cartera: S/ 6,957,636   ·   Asignación: tmf_share</t>
        </is>
      </c>
    </row>
    <row r="4">
      <c r="A4" s="3" t="inlineStr">
        <is>
          <t>Departamento</t>
        </is>
      </c>
      <c r="B4" s="3" t="inlineStr">
        <is>
          <t>Provincia</t>
        </is>
      </c>
      <c r="C4" s="3" t="inlineStr">
        <is>
          <t>Distrito</t>
        </is>
      </c>
      <c r="D4" s="3" t="inlineStr">
        <is>
          <t>Ubigeo</t>
        </is>
      </c>
      <c r="E4" s="3" t="inlineStr">
        <is>
          <t>Activos / concesiones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ANCASH</t>
        </is>
      </c>
      <c r="B5" t="inlineStr">
        <is>
          <t>HUARAZ</t>
        </is>
      </c>
      <c r="C5" t="inlineStr">
        <is>
          <t>INDEPENDENCIA</t>
        </is>
      </c>
      <c r="D5" t="inlineStr">
        <is>
          <t>020105</t>
        </is>
      </c>
      <c r="E5" t="inlineStr">
        <is>
          <t>Huaraz</t>
        </is>
      </c>
      <c r="F5" s="11" t="n">
        <v>0.0526</v>
      </c>
      <c r="G5" s="6">
        <f>IF($F$24=0,0,F5/$F$24)</f>
        <v/>
      </c>
      <c r="H5" s="5" t="n">
        <v>366191.39</v>
      </c>
      <c r="I5" t="n">
        <v>4</v>
      </c>
      <c r="J5" t="n">
        <v>3</v>
      </c>
      <c r="K5" t="n">
        <v>3</v>
      </c>
      <c r="L5" s="5" t="n">
        <v>1220637.96</v>
      </c>
    </row>
    <row r="6">
      <c r="A6" t="inlineStr">
        <is>
          <t>LA LIBERTAD</t>
        </is>
      </c>
      <c r="B6" t="inlineStr">
        <is>
          <t>TRUJILLO</t>
        </is>
      </c>
      <c r="C6" t="inlineStr">
        <is>
          <t>TRUJILLO</t>
        </is>
      </c>
      <c r="D6" t="inlineStr">
        <is>
          <t>130101</t>
        </is>
      </c>
      <c r="E6" t="inlineStr">
        <is>
          <t>Trujillo</t>
        </is>
      </c>
      <c r="F6" s="11" t="n">
        <v>0.0526</v>
      </c>
      <c r="G6" s="6">
        <f>IF($F$24=0,0,F6/$F$24)</f>
        <v/>
      </c>
      <c r="H6" s="5" t="n">
        <v>366191.39</v>
      </c>
      <c r="I6" t="n">
        <v>1</v>
      </c>
      <c r="J6" t="n">
        <v>5</v>
      </c>
      <c r="L6" s="5" t="n">
        <v>1098574.16</v>
      </c>
    </row>
    <row r="7">
      <c r="A7" t="inlineStr">
        <is>
          <t>TACNA</t>
        </is>
      </c>
      <c r="B7" t="inlineStr">
        <is>
          <t>TACNA</t>
        </is>
      </c>
      <c r="C7" t="inlineStr">
        <is>
          <t>TACNA</t>
        </is>
      </c>
      <c r="D7" t="inlineStr">
        <is>
          <t>230101</t>
        </is>
      </c>
      <c r="E7" t="inlineStr">
        <is>
          <t>Tacna</t>
        </is>
      </c>
      <c r="F7" s="11" t="n">
        <v>0.0526</v>
      </c>
      <c r="G7" s="6">
        <f>IF($F$24=0,0,F7/$F$24)</f>
        <v/>
      </c>
      <c r="H7" s="5" t="n">
        <v>366191.39</v>
      </c>
      <c r="I7" t="n">
        <v>3</v>
      </c>
      <c r="J7" t="n">
        <v>3</v>
      </c>
      <c r="L7" s="5" t="n">
        <v>1098574.16</v>
      </c>
    </row>
    <row r="8">
      <c r="A8" t="inlineStr">
        <is>
          <t>PIURA</t>
        </is>
      </c>
      <c r="B8" t="inlineStr">
        <is>
          <t>PIURA</t>
        </is>
      </c>
      <c r="C8" t="inlineStr">
        <is>
          <t>PIURA</t>
        </is>
      </c>
      <c r="D8" t="inlineStr">
        <is>
          <t>200101</t>
        </is>
      </c>
      <c r="E8" t="inlineStr">
        <is>
          <t>Piura</t>
        </is>
      </c>
      <c r="F8" s="11" t="n">
        <v>0.0526</v>
      </c>
      <c r="G8" s="6">
        <f>IF($F$24=0,0,F8/$F$24)</f>
        <v/>
      </c>
      <c r="H8" s="5" t="n">
        <v>366191.39</v>
      </c>
      <c r="I8" t="n">
        <v>1</v>
      </c>
      <c r="J8" t="n">
        <v>5</v>
      </c>
      <c r="L8" s="5" t="n">
        <v>1098574.16</v>
      </c>
    </row>
    <row r="9">
      <c r="A9" t="inlineStr">
        <is>
          <t>MADRE DE DIOS</t>
        </is>
      </c>
      <c r="B9" t="inlineStr">
        <is>
          <t>TAMBOPATA</t>
        </is>
      </c>
      <c r="C9" t="inlineStr">
        <is>
          <t>TAMBOPATA</t>
        </is>
      </c>
      <c r="D9" t="inlineStr">
        <is>
          <t>170101</t>
        </is>
      </c>
      <c r="E9" t="inlineStr">
        <is>
          <t>Puerto Maldonado</t>
        </is>
      </c>
      <c r="F9" s="11" t="n">
        <v>0.0526</v>
      </c>
      <c r="G9" s="6">
        <f>IF($F$24=0,0,F9/$F$24)</f>
        <v/>
      </c>
      <c r="H9" s="5" t="n">
        <v>366191.39</v>
      </c>
      <c r="I9" t="n">
        <v>3</v>
      </c>
      <c r="J9" t="n">
        <v>2</v>
      </c>
      <c r="K9" t="n">
        <v>2</v>
      </c>
      <c r="L9" s="5" t="n">
        <v>854446.5699999999</v>
      </c>
    </row>
    <row r="10">
      <c r="A10" t="inlineStr">
        <is>
          <t>LORETO</t>
        </is>
      </c>
      <c r="B10" t="inlineStr">
        <is>
          <t>MAYNAS</t>
        </is>
      </c>
      <c r="C10" t="inlineStr">
        <is>
          <t>IQUITOS</t>
        </is>
      </c>
      <c r="D10" t="inlineStr">
        <is>
          <t>160101</t>
        </is>
      </c>
      <c r="E10" t="inlineStr">
        <is>
          <t>Iquitos</t>
        </is>
      </c>
      <c r="F10" s="11" t="n">
        <v>0.0526</v>
      </c>
      <c r="G10" s="6">
        <f>IF($F$24=0,0,F10/$F$24)</f>
        <v/>
      </c>
      <c r="H10" s="5" t="n">
        <v>366191.39</v>
      </c>
      <c r="I10" t="n">
        <v>3</v>
      </c>
      <c r="J10" t="n">
        <v>4</v>
      </c>
      <c r="K10" t="n">
        <v>2</v>
      </c>
      <c r="L10" s="5" t="n">
        <v>1098574.16</v>
      </c>
    </row>
    <row r="11">
      <c r="A11" t="inlineStr">
        <is>
          <t>LIMA</t>
        </is>
      </c>
      <c r="B11" t="inlineStr">
        <is>
          <t>HUAURA</t>
        </is>
      </c>
      <c r="C11" t="inlineStr">
        <is>
          <t>SANTA MARIA</t>
        </is>
      </c>
      <c r="D11" t="inlineStr">
        <is>
          <t>150810</t>
        </is>
      </c>
      <c r="E11" t="inlineStr">
        <is>
          <t>Huacho</t>
        </is>
      </c>
      <c r="F11" s="11" t="n">
        <v>0.0526</v>
      </c>
      <c r="G11" s="6">
        <f>IF($F$24=0,0,F11/$F$24)</f>
        <v/>
      </c>
      <c r="H11" s="5" t="n">
        <v>366191.39</v>
      </c>
      <c r="I11" t="n">
        <v>3</v>
      </c>
      <c r="J11" t="n">
        <v>3</v>
      </c>
      <c r="L11" s="5" t="n">
        <v>1098574.16</v>
      </c>
    </row>
    <row r="12">
      <c r="A12" t="inlineStr">
        <is>
          <t>LIMA</t>
        </is>
      </c>
      <c r="B12" t="inlineStr">
        <is>
          <t>LIMA</t>
        </is>
      </c>
      <c r="C12" t="inlineStr">
        <is>
          <t>CHORRILLOS</t>
        </is>
      </c>
      <c r="D12" t="inlineStr">
        <is>
          <t>150108</t>
        </is>
      </c>
      <c r="E12" t="inlineStr">
        <is>
          <t>Lima</t>
        </is>
      </c>
      <c r="F12" s="11" t="n">
        <v>0.0526</v>
      </c>
      <c r="G12" s="6">
        <f>IF($F$24=0,0,F12/$F$24)</f>
        <v/>
      </c>
      <c r="H12" s="5" t="n">
        <v>366191.39</v>
      </c>
      <c r="I12" t="n">
        <v>2</v>
      </c>
      <c r="J12" t="n">
        <v>4</v>
      </c>
      <c r="L12" s="5" t="n">
        <v>1098574.16</v>
      </c>
    </row>
    <row r="13">
      <c r="A13" t="inlineStr">
        <is>
          <t>LAMBAYEQUE</t>
        </is>
      </c>
      <c r="B13" t="inlineStr">
        <is>
          <t>CHICLAYO</t>
        </is>
      </c>
      <c r="C13" t="inlineStr">
        <is>
          <t>CHICLAYO</t>
        </is>
      </c>
      <c r="D13" t="inlineStr">
        <is>
          <t>140101</t>
        </is>
      </c>
      <c r="E13" t="inlineStr">
        <is>
          <t>Chiclayo</t>
        </is>
      </c>
      <c r="F13" s="11" t="n">
        <v>0.0526</v>
      </c>
      <c r="G13" s="6">
        <f>IF($F$24=0,0,F13/$F$24)</f>
        <v/>
      </c>
      <c r="H13" s="5" t="n">
        <v>366191.39</v>
      </c>
      <c r="I13" t="n">
        <v>1</v>
      </c>
      <c r="J13" t="n">
        <v>4</v>
      </c>
      <c r="L13" s="5" t="n">
        <v>915478.47</v>
      </c>
    </row>
    <row r="14">
      <c r="A14" t="inlineStr">
        <is>
          <t>JUNIN</t>
        </is>
      </c>
      <c r="B14" t="inlineStr">
        <is>
          <t>HUANCAYO</t>
        </is>
      </c>
      <c r="C14" t="inlineStr">
        <is>
          <t>HUANCAYO</t>
        </is>
      </c>
      <c r="D14" t="inlineStr">
        <is>
          <t>120101</t>
        </is>
      </c>
      <c r="E14" t="inlineStr">
        <is>
          <t>Huancayo</t>
        </is>
      </c>
      <c r="F14" s="11" t="n">
        <v>0.0526</v>
      </c>
      <c r="G14" s="6">
        <f>IF($F$24=0,0,F14/$F$24)</f>
        <v/>
      </c>
      <c r="H14" s="5" t="n">
        <v>366191.39</v>
      </c>
      <c r="I14" t="n">
        <v>4</v>
      </c>
      <c r="J14" t="n">
        <v>2</v>
      </c>
      <c r="K14" t="n">
        <v>3</v>
      </c>
      <c r="L14" s="5" t="n">
        <v>1098574.16</v>
      </c>
    </row>
    <row r="15">
      <c r="A15" t="inlineStr">
        <is>
          <t>ANCASH</t>
        </is>
      </c>
      <c r="B15" t="inlineStr">
        <is>
          <t>SANTA</t>
        </is>
      </c>
      <c r="C15" t="inlineStr">
        <is>
          <t>CHIMBOTE</t>
        </is>
      </c>
      <c r="D15" t="inlineStr">
        <is>
          <t>021801</t>
        </is>
      </c>
      <c r="E15" t="inlineStr">
        <is>
          <t>Chimbote</t>
        </is>
      </c>
      <c r="F15" s="11" t="n">
        <v>0.0526</v>
      </c>
      <c r="G15" s="6">
        <f>IF($F$24=0,0,F15/$F$24)</f>
        <v/>
      </c>
      <c r="H15" s="5" t="n">
        <v>366191.39</v>
      </c>
      <c r="I15" t="n">
        <v>5</v>
      </c>
      <c r="J15" t="n">
        <v>4</v>
      </c>
      <c r="K15" t="n">
        <v>3</v>
      </c>
      <c r="L15" s="5" t="n">
        <v>1464765.55</v>
      </c>
    </row>
    <row r="16">
      <c r="A16" t="inlineStr">
        <is>
          <t>ICA</t>
        </is>
      </c>
      <c r="B16" t="inlineStr">
        <is>
          <t>ICA</t>
        </is>
      </c>
      <c r="C16" t="inlineStr">
        <is>
          <t>ICA</t>
        </is>
      </c>
      <c r="D16" t="inlineStr">
        <is>
          <t>110101</t>
        </is>
      </c>
      <c r="E16" t="inlineStr">
        <is>
          <t>Ica</t>
        </is>
      </c>
      <c r="F16" s="11" t="n">
        <v>0.0526</v>
      </c>
      <c r="G16" s="6">
        <f>IF($F$24=0,0,F16/$F$24)</f>
        <v/>
      </c>
      <c r="H16" s="5" t="n">
        <v>366191.39</v>
      </c>
      <c r="I16" t="n">
        <v>1</v>
      </c>
      <c r="J16" t="n">
        <v>5</v>
      </c>
      <c r="L16" s="5" t="n">
        <v>1098574.16</v>
      </c>
    </row>
    <row r="17">
      <c r="A17" t="inlineStr">
        <is>
          <t>HUANUCO</t>
        </is>
      </c>
      <c r="B17" t="inlineStr">
        <is>
          <t>HUANUCO</t>
        </is>
      </c>
      <c r="C17" t="inlineStr">
        <is>
          <t>AMARILIS</t>
        </is>
      </c>
      <c r="D17" t="inlineStr">
        <is>
          <t>100102</t>
        </is>
      </c>
      <c r="E17" t="inlineStr">
        <is>
          <t>Huánuco</t>
        </is>
      </c>
      <c r="F17" s="11" t="n">
        <v>0.0526</v>
      </c>
      <c r="G17" s="6">
        <f>IF($F$24=0,0,F17/$F$24)</f>
        <v/>
      </c>
      <c r="H17" s="5" t="n">
        <v>366191.39</v>
      </c>
      <c r="I17" t="n">
        <v>5</v>
      </c>
      <c r="J17" t="n">
        <v>2</v>
      </c>
      <c r="K17" t="n">
        <v>3</v>
      </c>
      <c r="L17" s="5" t="n">
        <v>1220637.96</v>
      </c>
    </row>
    <row r="18">
      <c r="A18" t="inlineStr">
        <is>
          <t>CUSCO</t>
        </is>
      </c>
      <c r="B18" t="inlineStr">
        <is>
          <t>CUSCO</t>
        </is>
      </c>
      <c r="C18" t="inlineStr">
        <is>
          <t>SANTIAGO</t>
        </is>
      </c>
      <c r="D18" t="inlineStr">
        <is>
          <t>080106</t>
        </is>
      </c>
      <c r="E18" t="inlineStr">
        <is>
          <t>Cusco</t>
        </is>
      </c>
      <c r="F18" s="11" t="n">
        <v>0.0526</v>
      </c>
      <c r="G18" s="6">
        <f>IF($F$24=0,0,F18/$F$24)</f>
        <v/>
      </c>
      <c r="H18" s="5" t="n">
        <v>366191.39</v>
      </c>
      <c r="I18" t="n">
        <v>4</v>
      </c>
      <c r="J18" t="n">
        <v>2</v>
      </c>
      <c r="K18" t="n">
        <v>3</v>
      </c>
      <c r="L18" s="5" t="n">
        <v>1098574.16</v>
      </c>
    </row>
    <row r="19">
      <c r="A19" t="inlineStr">
        <is>
          <t>CAJAMARCA</t>
        </is>
      </c>
      <c r="B19" t="inlineStr">
        <is>
          <t>JAEN</t>
        </is>
      </c>
      <c r="C19" t="inlineStr">
        <is>
          <t>JAEN</t>
        </is>
      </c>
      <c r="D19" t="inlineStr">
        <is>
          <t>060801</t>
        </is>
      </c>
      <c r="E19" t="inlineStr">
        <is>
          <t>Jaén</t>
        </is>
      </c>
      <c r="F19" s="11" t="n">
        <v>0.0526</v>
      </c>
      <c r="G19" s="6">
        <f>IF($F$24=0,0,F19/$F$24)</f>
        <v/>
      </c>
      <c r="H19" s="5" t="n">
        <v>366191.39</v>
      </c>
      <c r="I19" t="n">
        <v>4</v>
      </c>
      <c r="J19" t="n">
        <v>3</v>
      </c>
      <c r="K19" t="n">
        <v>2</v>
      </c>
      <c r="L19" s="5" t="n">
        <v>1098574.16</v>
      </c>
    </row>
    <row r="20">
      <c r="A20" t="inlineStr">
        <is>
          <t>CAJAMARCA</t>
        </is>
      </c>
      <c r="B20" t="inlineStr">
        <is>
          <t>CAJAMARCA</t>
        </is>
      </c>
      <c r="C20" t="inlineStr">
        <is>
          <t>CAJAMARCA</t>
        </is>
      </c>
      <c r="D20" t="inlineStr">
        <is>
          <t>060101</t>
        </is>
      </c>
      <c r="E20" t="inlineStr">
        <is>
          <t>Cajamarca</t>
        </is>
      </c>
      <c r="F20" s="11" t="n">
        <v>0.0526</v>
      </c>
      <c r="G20" s="6">
        <f>IF($F$24=0,0,F20/$F$24)</f>
        <v/>
      </c>
      <c r="H20" s="5" t="n">
        <v>366191.39</v>
      </c>
      <c r="I20" t="n">
        <v>4</v>
      </c>
      <c r="J20" t="n">
        <v>4</v>
      </c>
      <c r="K20" t="n">
        <v>3</v>
      </c>
      <c r="L20" s="5" t="n">
        <v>1342701.75</v>
      </c>
    </row>
    <row r="21">
      <c r="A21" t="inlineStr">
        <is>
          <t>AREQUIPA</t>
        </is>
      </c>
      <c r="B21" t="inlineStr">
        <is>
          <t>AREQUIPA</t>
        </is>
      </c>
      <c r="C21" t="inlineStr">
        <is>
          <t>YANAHUARA</t>
        </is>
      </c>
      <c r="D21" t="inlineStr">
        <is>
          <t>040126</t>
        </is>
      </c>
      <c r="E21" t="inlineStr">
        <is>
          <t>Arequipa</t>
        </is>
      </c>
      <c r="F21" s="11" t="n">
        <v>0.0526</v>
      </c>
      <c r="G21" s="6">
        <f>IF($F$24=0,0,F21/$F$24)</f>
        <v/>
      </c>
      <c r="H21" s="5" t="n">
        <v>366191.39</v>
      </c>
      <c r="I21" t="n">
        <v>2</v>
      </c>
      <c r="J21" t="n">
        <v>5</v>
      </c>
      <c r="L21" s="5" t="n">
        <v>1281669.85</v>
      </c>
    </row>
    <row r="22">
      <c r="A22" t="inlineStr">
        <is>
          <t>APURIMAC</t>
        </is>
      </c>
      <c r="B22" t="inlineStr">
        <is>
          <t>ANDAHUAYLAS</t>
        </is>
      </c>
      <c r="C22" t="inlineStr">
        <is>
          <t>ANDAHUAYLAS</t>
        </is>
      </c>
      <c r="D22" t="inlineStr">
        <is>
          <t>030201</t>
        </is>
      </c>
      <c r="E22" t="inlineStr">
        <is>
          <t>Andahuaylas</t>
        </is>
      </c>
      <c r="F22" s="11" t="n">
        <v>0.0526</v>
      </c>
      <c r="G22" s="6">
        <f>IF($F$24=0,0,F22/$F$24)</f>
        <v/>
      </c>
      <c r="H22" s="5" t="n">
        <v>366191.39</v>
      </c>
      <c r="I22" t="n">
        <v>3</v>
      </c>
      <c r="J22" t="n">
        <v>3</v>
      </c>
      <c r="K22" t="n">
        <v>3</v>
      </c>
      <c r="L22" s="5" t="n">
        <v>1098574.16</v>
      </c>
    </row>
    <row r="23">
      <c r="A23" t="inlineStr">
        <is>
          <t>TUMBES</t>
        </is>
      </c>
      <c r="B23" t="inlineStr">
        <is>
          <t>TUMBES</t>
        </is>
      </c>
      <c r="C23" t="inlineStr">
        <is>
          <t>TUMBES</t>
        </is>
      </c>
      <c r="D23" t="inlineStr">
        <is>
          <t>240101</t>
        </is>
      </c>
      <c r="E23" t="inlineStr">
        <is>
          <t>Tumbes</t>
        </is>
      </c>
      <c r="F23" s="11" t="n">
        <v>0.0526</v>
      </c>
      <c r="G23" s="6">
        <f>IF($F$24=0,0,F23/$F$24)</f>
        <v/>
      </c>
      <c r="H23" s="5" t="n">
        <v>366191.39</v>
      </c>
      <c r="I23" t="n">
        <v>3</v>
      </c>
      <c r="J23" t="n">
        <v>5</v>
      </c>
      <c r="K23" t="n">
        <v>4</v>
      </c>
      <c r="L23" s="5" t="n">
        <v>1464765.55</v>
      </c>
    </row>
    <row r="24">
      <c r="A24" s="12" t="inlineStr">
        <is>
          <t>TOTAL</t>
        </is>
      </c>
      <c r="B24" t="inlineStr"/>
      <c r="C24" t="inlineStr"/>
      <c r="D24" t="inlineStr"/>
      <c r="E24" t="inlineStr"/>
      <c r="F24" s="13">
        <f>SUM(F5:F23)</f>
        <v/>
      </c>
      <c r="G24" t="inlineStr"/>
      <c r="H24" s="14">
        <f>SUM(H5:H23)</f>
        <v/>
      </c>
      <c r="I24" t="inlineStr"/>
      <c r="J24" t="inlineStr"/>
      <c r="K24" t="inlineStr"/>
      <c r="L24" s="14">
        <f>SUM(L5:L23)</f>
        <v/>
      </c>
    </row>
    <row r="27">
      <c r="A27" s="15" t="inlineStr">
        <is>
          <t>Detalle por ubicación (%)</t>
        </is>
      </c>
    </row>
    <row r="28">
      <c r="A28" s="3" t="inlineStr">
        <is>
          <t>Distrito</t>
        </is>
      </c>
      <c r="B28" s="3" t="inlineStr">
        <is>
          <t>Ubigeo</t>
        </is>
      </c>
      <c r="C28" s="3" t="inlineStr">
        <is>
          <t>Mineral</t>
        </is>
      </c>
      <c r="D28" s="3" t="inlineStr">
        <is>
          <t>Unidad</t>
        </is>
      </c>
      <c r="E28" s="3" t="inlineStr">
        <is>
          <t>Cantidad (orig.)</t>
        </is>
      </c>
      <c r="F28" s="3" t="inlineStr">
        <is>
          <t>TMF equiv.</t>
        </is>
      </c>
    </row>
    <row r="29">
      <c r="A29" t="inlineStr">
        <is>
          <t>INDEPENDENCIA</t>
        </is>
      </c>
      <c r="B29" t="inlineStr">
        <is>
          <t>020105</t>
        </is>
      </c>
      <c r="C29" t="inlineStr">
        <is>
          <t>Distribución</t>
        </is>
      </c>
      <c r="D29" t="inlineStr">
        <is>
          <t>%</t>
        </is>
      </c>
      <c r="E29" s="11" t="n">
        <v>0.0526</v>
      </c>
      <c r="F29" s="16" t="n">
        <v>0.052632</v>
      </c>
    </row>
    <row r="30">
      <c r="A30" t="inlineStr">
        <is>
          <t>TRUJILLO</t>
        </is>
      </c>
      <c r="B30" t="inlineStr">
        <is>
          <t>130101</t>
        </is>
      </c>
      <c r="C30" t="inlineStr">
        <is>
          <t>Distribución</t>
        </is>
      </c>
      <c r="D30" t="inlineStr">
        <is>
          <t>%</t>
        </is>
      </c>
      <c r="E30" s="11" t="n">
        <v>0.0526</v>
      </c>
      <c r="F30" s="16" t="n">
        <v>0.052632</v>
      </c>
    </row>
    <row r="31">
      <c r="A31" t="inlineStr">
        <is>
          <t>TACNA</t>
        </is>
      </c>
      <c r="B31" t="inlineStr">
        <is>
          <t>230101</t>
        </is>
      </c>
      <c r="C31" t="inlineStr">
        <is>
          <t>Distribución</t>
        </is>
      </c>
      <c r="D31" t="inlineStr">
        <is>
          <t>%</t>
        </is>
      </c>
      <c r="E31" s="11" t="n">
        <v>0.0526</v>
      </c>
      <c r="F31" s="16" t="n">
        <v>0.052632</v>
      </c>
    </row>
    <row r="32">
      <c r="A32" t="inlineStr">
        <is>
          <t>PIURA</t>
        </is>
      </c>
      <c r="B32" t="inlineStr">
        <is>
          <t>200101</t>
        </is>
      </c>
      <c r="C32" t="inlineStr">
        <is>
          <t>Distribución</t>
        </is>
      </c>
      <c r="D32" t="inlineStr">
        <is>
          <t>%</t>
        </is>
      </c>
      <c r="E32" s="11" t="n">
        <v>0.0526</v>
      </c>
      <c r="F32" s="16" t="n">
        <v>0.052632</v>
      </c>
    </row>
    <row r="33">
      <c r="A33" t="inlineStr">
        <is>
          <t>TAMBOPATA</t>
        </is>
      </c>
      <c r="B33" t="inlineStr">
        <is>
          <t>170101</t>
        </is>
      </c>
      <c r="C33" t="inlineStr">
        <is>
          <t>Distribución</t>
        </is>
      </c>
      <c r="D33" t="inlineStr">
        <is>
          <t>%</t>
        </is>
      </c>
      <c r="E33" s="11" t="n">
        <v>0.0526</v>
      </c>
      <c r="F33" s="16" t="n">
        <v>0.052632</v>
      </c>
    </row>
    <row r="34">
      <c r="A34" t="inlineStr">
        <is>
          <t>IQUITOS</t>
        </is>
      </c>
      <c r="B34" t="inlineStr">
        <is>
          <t>160101</t>
        </is>
      </c>
      <c r="C34" t="inlineStr">
        <is>
          <t>Distribución</t>
        </is>
      </c>
      <c r="D34" t="inlineStr">
        <is>
          <t>%</t>
        </is>
      </c>
      <c r="E34" s="11" t="n">
        <v>0.0526</v>
      </c>
      <c r="F34" s="16" t="n">
        <v>0.052632</v>
      </c>
    </row>
    <row r="35">
      <c r="A35" t="inlineStr">
        <is>
          <t>SANTA MARIA</t>
        </is>
      </c>
      <c r="B35" t="inlineStr">
        <is>
          <t>150810</t>
        </is>
      </c>
      <c r="C35" t="inlineStr">
        <is>
          <t>Distribución</t>
        </is>
      </c>
      <c r="D35" t="inlineStr">
        <is>
          <t>%</t>
        </is>
      </c>
      <c r="E35" s="11" t="n">
        <v>0.0526</v>
      </c>
      <c r="F35" s="16" t="n">
        <v>0.052632</v>
      </c>
    </row>
    <row r="36">
      <c r="A36" t="inlineStr">
        <is>
          <t>CHORRILLOS</t>
        </is>
      </c>
      <c r="B36" t="inlineStr">
        <is>
          <t>150108</t>
        </is>
      </c>
      <c r="C36" t="inlineStr">
        <is>
          <t>Distribución</t>
        </is>
      </c>
      <c r="D36" t="inlineStr">
        <is>
          <t>%</t>
        </is>
      </c>
      <c r="E36" s="11" t="n">
        <v>0.0526</v>
      </c>
      <c r="F36" s="16" t="n">
        <v>0.052632</v>
      </c>
    </row>
    <row r="37">
      <c r="A37" t="inlineStr">
        <is>
          <t>CHICLAYO</t>
        </is>
      </c>
      <c r="B37" t="inlineStr">
        <is>
          <t>140101</t>
        </is>
      </c>
      <c r="C37" t="inlineStr">
        <is>
          <t>Distribución</t>
        </is>
      </c>
      <c r="D37" t="inlineStr">
        <is>
          <t>%</t>
        </is>
      </c>
      <c r="E37" s="11" t="n">
        <v>0.0526</v>
      </c>
      <c r="F37" s="16" t="n">
        <v>0.052632</v>
      </c>
    </row>
    <row r="38">
      <c r="A38" t="inlineStr">
        <is>
          <t>HUANCAYO</t>
        </is>
      </c>
      <c r="B38" t="inlineStr">
        <is>
          <t>120101</t>
        </is>
      </c>
      <c r="C38" t="inlineStr">
        <is>
          <t>Distribución</t>
        </is>
      </c>
      <c r="D38" t="inlineStr">
        <is>
          <t>%</t>
        </is>
      </c>
      <c r="E38" s="11" t="n">
        <v>0.0526</v>
      </c>
      <c r="F38" s="16" t="n">
        <v>0.052632</v>
      </c>
    </row>
    <row r="39">
      <c r="A39" t="inlineStr">
        <is>
          <t>CHIMBOTE</t>
        </is>
      </c>
      <c r="B39" t="inlineStr">
        <is>
          <t>021801</t>
        </is>
      </c>
      <c r="C39" t="inlineStr">
        <is>
          <t>Distribución</t>
        </is>
      </c>
      <c r="D39" t="inlineStr">
        <is>
          <t>%</t>
        </is>
      </c>
      <c r="E39" s="11" t="n">
        <v>0.0526</v>
      </c>
      <c r="F39" s="16" t="n">
        <v>0.052632</v>
      </c>
    </row>
    <row r="40">
      <c r="A40" t="inlineStr">
        <is>
          <t>ICA</t>
        </is>
      </c>
      <c r="B40" t="inlineStr">
        <is>
          <t>110101</t>
        </is>
      </c>
      <c r="C40" t="inlineStr">
        <is>
          <t>Distribución</t>
        </is>
      </c>
      <c r="D40" t="inlineStr">
        <is>
          <t>%</t>
        </is>
      </c>
      <c r="E40" s="11" t="n">
        <v>0.0526</v>
      </c>
      <c r="F40" s="16" t="n">
        <v>0.052632</v>
      </c>
    </row>
    <row r="41">
      <c r="A41" t="inlineStr">
        <is>
          <t>AMARILIS</t>
        </is>
      </c>
      <c r="B41" t="inlineStr">
        <is>
          <t>100102</t>
        </is>
      </c>
      <c r="C41" t="inlineStr">
        <is>
          <t>Distribución</t>
        </is>
      </c>
      <c r="D41" t="inlineStr">
        <is>
          <t>%</t>
        </is>
      </c>
      <c r="E41" s="11" t="n">
        <v>0.0526</v>
      </c>
      <c r="F41" s="16" t="n">
        <v>0.052632</v>
      </c>
    </row>
    <row r="42">
      <c r="A42" t="inlineStr">
        <is>
          <t>SANTIAGO</t>
        </is>
      </c>
      <c r="B42" t="inlineStr">
        <is>
          <t>080106</t>
        </is>
      </c>
      <c r="C42" t="inlineStr">
        <is>
          <t>Distribución</t>
        </is>
      </c>
      <c r="D42" t="inlineStr">
        <is>
          <t>%</t>
        </is>
      </c>
      <c r="E42" s="11" t="n">
        <v>0.0526</v>
      </c>
      <c r="F42" s="16" t="n">
        <v>0.052632</v>
      </c>
    </row>
    <row r="43">
      <c r="A43" t="inlineStr">
        <is>
          <t>JAEN</t>
        </is>
      </c>
      <c r="B43" t="inlineStr">
        <is>
          <t>060801</t>
        </is>
      </c>
      <c r="C43" t="inlineStr">
        <is>
          <t>Distribución</t>
        </is>
      </c>
      <c r="D43" t="inlineStr">
        <is>
          <t>%</t>
        </is>
      </c>
      <c r="E43" s="11" t="n">
        <v>0.0526</v>
      </c>
      <c r="F43" s="16" t="n">
        <v>0.052632</v>
      </c>
    </row>
    <row r="44">
      <c r="A44" t="inlineStr">
        <is>
          <t>CAJAMARCA</t>
        </is>
      </c>
      <c r="B44" t="inlineStr">
        <is>
          <t>060101</t>
        </is>
      </c>
      <c r="C44" t="inlineStr">
        <is>
          <t>Distribución</t>
        </is>
      </c>
      <c r="D44" t="inlineStr">
        <is>
          <t>%</t>
        </is>
      </c>
      <c r="E44" s="11" t="n">
        <v>0.0526</v>
      </c>
      <c r="F44" s="16" t="n">
        <v>0.052632</v>
      </c>
    </row>
    <row r="45">
      <c r="A45" t="inlineStr">
        <is>
          <t>YANAHUARA</t>
        </is>
      </c>
      <c r="B45" t="inlineStr">
        <is>
          <t>040126</t>
        </is>
      </c>
      <c r="C45" t="inlineStr">
        <is>
          <t>Distribución</t>
        </is>
      </c>
      <c r="D45" t="inlineStr">
        <is>
          <t>%</t>
        </is>
      </c>
      <c r="E45" s="11" t="n">
        <v>0.0526</v>
      </c>
      <c r="F45" s="16" t="n">
        <v>0.052632</v>
      </c>
    </row>
    <row r="46">
      <c r="A46" t="inlineStr">
        <is>
          <t>ANDAHUAYLAS</t>
        </is>
      </c>
      <c r="B46" t="inlineStr">
        <is>
          <t>030201</t>
        </is>
      </c>
      <c r="C46" t="inlineStr">
        <is>
          <t>Distribución</t>
        </is>
      </c>
      <c r="D46" t="inlineStr">
        <is>
          <t>%</t>
        </is>
      </c>
      <c r="E46" s="11" t="n">
        <v>0.0526</v>
      </c>
      <c r="F46" s="16" t="n">
        <v>0.052632</v>
      </c>
    </row>
    <row r="47">
      <c r="A47" t="inlineStr">
        <is>
          <t>TUMBES</t>
        </is>
      </c>
      <c r="B47" t="inlineStr">
        <is>
          <t>240101</t>
        </is>
      </c>
      <c r="C47" t="inlineStr">
        <is>
          <t>Distribución</t>
        </is>
      </c>
      <c r="D47" t="inlineStr">
        <is>
          <t>%</t>
        </is>
      </c>
      <c r="E47" s="11" t="n">
        <v>0.0526</v>
      </c>
      <c r="F47" s="16" t="n">
        <v>0.052632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7"/>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Inca Rail — Distribución por distrito y exposición asignada</t>
        </is>
      </c>
    </row>
    <row r="2">
      <c r="A2" s="2" t="inlineStr">
        <is>
          <t>Distribución total: 1.00 %   ·   Exposición en cartera: S/ 30,547,552   ·   Asignación: tmf_share</t>
        </is>
      </c>
    </row>
    <row r="4">
      <c r="A4" s="3" t="inlineStr">
        <is>
          <t>Departamento</t>
        </is>
      </c>
      <c r="B4" s="3" t="inlineStr">
        <is>
          <t>Provincia</t>
        </is>
      </c>
      <c r="C4" s="3" t="inlineStr">
        <is>
          <t>Distrito</t>
        </is>
      </c>
      <c r="D4" s="3" t="inlineStr">
        <is>
          <t>Ubigeo</t>
        </is>
      </c>
      <c r="E4" s="3" t="inlineStr">
        <is>
          <t>Activos / concesiones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CUSCO</t>
        </is>
      </c>
      <c r="B5" t="inlineStr">
        <is>
          <t>CUSCO</t>
        </is>
      </c>
      <c r="C5" t="inlineStr">
        <is>
          <t>POROY</t>
        </is>
      </c>
      <c r="D5" t="inlineStr">
        <is>
          <t>080103</t>
        </is>
      </c>
      <c r="E5" t="inlineStr">
        <is>
          <t>Poroy (fuera de Cusco)</t>
        </is>
      </c>
      <c r="F5" s="11" t="n">
        <v>0.25</v>
      </c>
      <c r="G5" s="6">
        <f>IF($F$9=0,0,F5/$F$9)</f>
        <v/>
      </c>
      <c r="H5" s="5" t="n">
        <v>7636888.1</v>
      </c>
      <c r="L5" s="5" t="n">
        <v>0</v>
      </c>
    </row>
    <row r="6">
      <c r="A6" t="inlineStr">
        <is>
          <t>CUSCO</t>
        </is>
      </c>
      <c r="B6" t="inlineStr">
        <is>
          <t>CUSCO</t>
        </is>
      </c>
      <c r="C6" t="inlineStr">
        <is>
          <t>SANTIAGO</t>
        </is>
      </c>
      <c r="D6" t="inlineStr">
        <is>
          <t>080106</t>
        </is>
      </c>
      <c r="E6" t="inlineStr">
        <is>
          <t>San Pedro (Cusco)</t>
        </is>
      </c>
      <c r="F6" s="11" t="n">
        <v>0.25</v>
      </c>
      <c r="G6" s="6">
        <f>IF($F$9=0,0,F6/$F$9)</f>
        <v/>
      </c>
      <c r="H6" s="5" t="n">
        <v>7636888.1</v>
      </c>
      <c r="I6" t="n">
        <v>4</v>
      </c>
      <c r="J6" t="n">
        <v>2</v>
      </c>
      <c r="K6" t="n">
        <v>3</v>
      </c>
      <c r="L6" s="5" t="n">
        <v>22910664.31</v>
      </c>
    </row>
    <row r="7">
      <c r="A7" t="inlineStr">
        <is>
          <t>CUSCO</t>
        </is>
      </c>
      <c r="B7" t="inlineStr">
        <is>
          <t>URUBAMBA</t>
        </is>
      </c>
      <c r="C7" t="inlineStr">
        <is>
          <t>MACHUPICCHU</t>
        </is>
      </c>
      <c r="D7" t="inlineStr">
        <is>
          <t>081304</t>
        </is>
      </c>
      <c r="E7" t="inlineStr">
        <is>
          <t>Machu Picchu Pueblo (Aguas Calientes)</t>
        </is>
      </c>
      <c r="F7" s="11" t="n">
        <v>0.25</v>
      </c>
      <c r="G7" s="6">
        <f>IF($F$9=0,0,F7/$F$9)</f>
        <v/>
      </c>
      <c r="H7" s="5" t="n">
        <v>7636888.1</v>
      </c>
      <c r="I7" t="n">
        <v>4</v>
      </c>
      <c r="J7" t="n">
        <v>2</v>
      </c>
      <c r="K7" t="n">
        <v>3</v>
      </c>
      <c r="L7" s="5" t="n">
        <v>22910664.31</v>
      </c>
    </row>
    <row r="8">
      <c r="A8" t="inlineStr">
        <is>
          <t>CUSCO</t>
        </is>
      </c>
      <c r="B8" t="inlineStr">
        <is>
          <t>URUBAMBA</t>
        </is>
      </c>
      <c r="C8" t="inlineStr">
        <is>
          <t>OLLANTAYTAMBO</t>
        </is>
      </c>
      <c r="D8" t="inlineStr">
        <is>
          <t>081306</t>
        </is>
      </c>
      <c r="E8" t="inlineStr">
        <is>
          <t>Ollantaytambo (Valle Sagrado)</t>
        </is>
      </c>
      <c r="F8" s="11" t="n">
        <v>0.25</v>
      </c>
      <c r="G8" s="6">
        <f>IF($F$9=0,0,F8/$F$9)</f>
        <v/>
      </c>
      <c r="H8" s="5" t="n">
        <v>7636888.1</v>
      </c>
      <c r="L8" s="5" t="n">
        <v>0</v>
      </c>
    </row>
    <row r="9">
      <c r="A9" s="12" t="inlineStr">
        <is>
          <t>TOTAL</t>
        </is>
      </c>
      <c r="B9" t="inlineStr"/>
      <c r="C9" t="inlineStr"/>
      <c r="D9" t="inlineStr"/>
      <c r="E9" t="inlineStr"/>
      <c r="F9" s="13">
        <f>SUM(F5:F8)</f>
        <v/>
      </c>
      <c r="G9" t="inlineStr"/>
      <c r="H9" s="14">
        <f>SUM(H5:H8)</f>
        <v/>
      </c>
      <c r="I9" t="inlineStr"/>
      <c r="J9" t="inlineStr"/>
      <c r="K9" t="inlineStr"/>
      <c r="L9" s="14">
        <f>SUM(L5:L8)</f>
        <v/>
      </c>
    </row>
    <row r="12">
      <c r="A12" s="15" t="inlineStr">
        <is>
          <t>Detalle por ubicación (%)</t>
        </is>
      </c>
    </row>
    <row r="13">
      <c r="A13" s="3" t="inlineStr">
        <is>
          <t>Distrito</t>
        </is>
      </c>
      <c r="B13" s="3" t="inlineStr">
        <is>
          <t>Ubigeo</t>
        </is>
      </c>
      <c r="C13" s="3" t="inlineStr">
        <is>
          <t>Mineral</t>
        </is>
      </c>
      <c r="D13" s="3" t="inlineStr">
        <is>
          <t>Unidad</t>
        </is>
      </c>
      <c r="E13" s="3" t="inlineStr">
        <is>
          <t>Cantidad (orig.)</t>
        </is>
      </c>
      <c r="F13" s="3" t="inlineStr">
        <is>
          <t>TMF equiv.</t>
        </is>
      </c>
    </row>
    <row r="14">
      <c r="A14" t="inlineStr">
        <is>
          <t>POROY</t>
        </is>
      </c>
      <c r="B14" t="inlineStr">
        <is>
          <t>080103</t>
        </is>
      </c>
      <c r="C14" t="inlineStr">
        <is>
          <t>Distribución</t>
        </is>
      </c>
      <c r="D14" t="inlineStr">
        <is>
          <t>%</t>
        </is>
      </c>
      <c r="E14" s="11" t="n">
        <v>0.25</v>
      </c>
      <c r="F14" s="16" t="n">
        <v>0.25</v>
      </c>
    </row>
    <row r="15">
      <c r="A15" t="inlineStr">
        <is>
          <t>SANTIAGO</t>
        </is>
      </c>
      <c r="B15" t="inlineStr">
        <is>
          <t>080106</t>
        </is>
      </c>
      <c r="C15" t="inlineStr">
        <is>
          <t>Distribución</t>
        </is>
      </c>
      <c r="D15" t="inlineStr">
        <is>
          <t>%</t>
        </is>
      </c>
      <c r="E15" s="11" t="n">
        <v>0.25</v>
      </c>
      <c r="F15" s="16" t="n">
        <v>0.25</v>
      </c>
    </row>
    <row r="16">
      <c r="A16" t="inlineStr">
        <is>
          <t>MACHUPICCHU</t>
        </is>
      </c>
      <c r="B16" t="inlineStr">
        <is>
          <t>081304</t>
        </is>
      </c>
      <c r="C16" t="inlineStr">
        <is>
          <t>Distribución</t>
        </is>
      </c>
      <c r="D16" t="inlineStr">
        <is>
          <t>%</t>
        </is>
      </c>
      <c r="E16" s="11" t="n">
        <v>0.25</v>
      </c>
      <c r="F16" s="16" t="n">
        <v>0.25</v>
      </c>
    </row>
    <row r="17">
      <c r="A17" t="inlineStr">
        <is>
          <t>OLLANTAYTAMBO</t>
        </is>
      </c>
      <c r="B17" t="inlineStr">
        <is>
          <t>081306</t>
        </is>
      </c>
      <c r="C17" t="inlineStr">
        <is>
          <t>Distribución</t>
        </is>
      </c>
      <c r="D17" t="inlineStr">
        <is>
          <t>%</t>
        </is>
      </c>
      <c r="E17" s="11" t="n">
        <v>0.25</v>
      </c>
      <c r="F17" s="16" t="n">
        <v>0.25</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2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Lima Expresa — Distribución por distrito y exposición asignada</t>
        </is>
      </c>
    </row>
    <row r="2">
      <c r="A2" s="2" t="inlineStr">
        <is>
          <t>Distribución total: 1.00 %   ·   Exposición en cartera: S/ 0   ·   Asignación: tmf_share</t>
        </is>
      </c>
    </row>
    <row r="4">
      <c r="A4" s="3" t="inlineStr">
        <is>
          <t>Departamento</t>
        </is>
      </c>
      <c r="B4" s="3" t="inlineStr">
        <is>
          <t>Provincia</t>
        </is>
      </c>
      <c r="C4" s="3" t="inlineStr">
        <is>
          <t>Distrito</t>
        </is>
      </c>
      <c r="D4" s="3" t="inlineStr">
        <is>
          <t>Ubigeo</t>
        </is>
      </c>
      <c r="E4" s="3" t="inlineStr">
        <is>
          <t>Activos / concesiones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RIMAC</t>
        </is>
      </c>
      <c r="D5" t="inlineStr">
        <is>
          <t>150128</t>
        </is>
      </c>
      <c r="E5" t="inlineStr">
        <is>
          <t>Base Huánuco – Calle Sin Número 5 – H.U. Base Operativa Vial Huánuco, Estación de carga eléctrica gratuita, Gran Túnel LIMA EXPRESA: Vía Expresa Línea Amarilla, Cercado de Lima 15093, Peaje Huánuco: Vía Expresa Línea Amarilla, Sentido Oeste distrito del Rímac</t>
        </is>
      </c>
      <c r="F5" s="11" t="n">
        <v>0.2667</v>
      </c>
      <c r="G5" s="6">
        <f>IF($F$11=0,0,F5/$F$11)</f>
        <v/>
      </c>
      <c r="H5" s="5" t="n">
        <v>0</v>
      </c>
      <c r="I5" t="n">
        <v>3</v>
      </c>
      <c r="J5" t="n">
        <v>3</v>
      </c>
      <c r="L5" s="5" t="n">
        <v>0</v>
      </c>
    </row>
    <row r="6">
      <c r="A6" t="inlineStr">
        <is>
          <t>LIMA</t>
        </is>
      </c>
      <c r="B6" t="inlineStr">
        <is>
          <t>LIMA</t>
        </is>
      </c>
      <c r="C6" t="inlineStr">
        <is>
          <t>EL AGUSTINO</t>
        </is>
      </c>
      <c r="D6" t="inlineStr">
        <is>
          <t>150111</t>
        </is>
      </c>
      <c r="E6" t="inlineStr">
        <is>
          <t xml:space="preserve"> Plaza de Peaje El Pino de la Vía Evitamiento sentido Norte – Sur distrito del Agustino, Plaza de Peaje Ramiro Prialé Entrada de la Vía Evitamiento sentido Este – Norte distrito del Agustino, Plaza de Peaje Ramiro Prialé Salida de la Vía Evitamiento sentido Norte – Este, distrito del Agustino</t>
        </is>
      </c>
      <c r="F6" s="11" t="n">
        <v>0.2</v>
      </c>
      <c r="G6" s="6">
        <f>IF($F$11=0,0,F6/$F$11)</f>
        <v/>
      </c>
      <c r="H6" s="5" t="n">
        <v>0</v>
      </c>
      <c r="I6" t="n">
        <v>2</v>
      </c>
      <c r="J6" t="n">
        <v>4</v>
      </c>
      <c r="L6" s="5" t="n">
        <v>0</v>
      </c>
    </row>
    <row r="7">
      <c r="A7" t="inlineStr">
        <is>
          <t>LIMA</t>
        </is>
      </c>
      <c r="B7" t="inlineStr">
        <is>
          <t>LIMA</t>
        </is>
      </c>
      <c r="C7" t="inlineStr">
        <is>
          <t>LA MOLINA</t>
        </is>
      </c>
      <c r="D7" t="inlineStr">
        <is>
          <t>150114</t>
        </is>
      </c>
      <c r="E7" t="inlineStr">
        <is>
          <t>Plaza de Peaje Monterrico Salida de la Vía Evitamiento sentido   Sur – Norte distrito de Ate Vitarte, Plaza de Peaje Separadora Industrial Entrada de la Vía Evitamiento sentido Este – Norte distrito de Ate Vitarte, Plaza de Peaje Separadora Industrial Salida de la Vía Evitamiento sentido Sur – Este, distrito de Ate Vitarte</t>
        </is>
      </c>
      <c r="F7" s="11" t="n">
        <v>0.2</v>
      </c>
      <c r="G7" s="6">
        <f>IF($F$11=0,0,F7/$F$11)</f>
        <v/>
      </c>
      <c r="H7" s="5" t="n">
        <v>0</v>
      </c>
      <c r="I7" t="n">
        <v>4</v>
      </c>
      <c r="J7" t="n">
        <v>3</v>
      </c>
      <c r="L7" s="5" t="n">
        <v>0</v>
      </c>
    </row>
    <row r="8">
      <c r="A8" t="inlineStr">
        <is>
          <t>LIMA</t>
        </is>
      </c>
      <c r="B8" t="inlineStr">
        <is>
          <t>LIMA</t>
        </is>
      </c>
      <c r="C8" t="inlineStr">
        <is>
          <t>LIMA</t>
        </is>
      </c>
      <c r="D8" t="inlineStr">
        <is>
          <t>150101</t>
        </is>
      </c>
      <c r="E8" t="inlineStr">
        <is>
          <t>Peaje Estadio: Vía Expresa Línea Amarilla Sentido Este distrito de Cercado de Lim, Peaje Puente del Ejercito: Vía Expresa Línea Amarilla  Sentido Oeste distrito de Cercado de Lima</t>
        </is>
      </c>
      <c r="F8" s="11" t="n">
        <v>0.1333</v>
      </c>
      <c r="G8" s="6">
        <f>IF($F$11=0,0,F8/$F$11)</f>
        <v/>
      </c>
      <c r="H8" s="5" t="n">
        <v>0</v>
      </c>
      <c r="I8" t="n">
        <v>2</v>
      </c>
      <c r="J8" t="n">
        <v>4</v>
      </c>
      <c r="L8" s="5" t="n">
        <v>0</v>
      </c>
    </row>
    <row r="9">
      <c r="A9" t="inlineStr">
        <is>
          <t>LIMA</t>
        </is>
      </c>
      <c r="B9" t="inlineStr">
        <is>
          <t>LIMA</t>
        </is>
      </c>
      <c r="C9" t="inlineStr">
        <is>
          <t>SANTA ANITA</t>
        </is>
      </c>
      <c r="D9" t="inlineStr">
        <is>
          <t>150137</t>
        </is>
      </c>
      <c r="E9" t="inlineStr">
        <is>
          <t>Base Santa Anita de la Vía Evitamiento sentido Este – Norte distrito de santa Anita., Plaza de Peaje Santa Anita de la Vía Evitamiento sentido Este – Norte distrito de santa Anita</t>
        </is>
      </c>
      <c r="F9" s="11" t="n">
        <v>0.1333</v>
      </c>
      <c r="G9" s="6">
        <f>IF($F$11=0,0,F9/$F$11)</f>
        <v/>
      </c>
      <c r="H9" s="5" t="n">
        <v>0</v>
      </c>
      <c r="I9" t="n">
        <v>2</v>
      </c>
      <c r="J9" t="n">
        <v>4</v>
      </c>
      <c r="L9" s="5" t="n">
        <v>0</v>
      </c>
    </row>
    <row r="10">
      <c r="A10" t="inlineStr">
        <is>
          <t>LIMA</t>
        </is>
      </c>
      <c r="B10" t="inlineStr">
        <is>
          <t>LIMA</t>
        </is>
      </c>
      <c r="C10" t="inlineStr">
        <is>
          <t>ATE</t>
        </is>
      </c>
      <c r="D10" t="inlineStr">
        <is>
          <t>150103</t>
        </is>
      </c>
      <c r="E10" t="inlineStr">
        <is>
          <t>Plaza de Peaje Monterrico Entrada Vía Evitamiento sentido Norte – Sur distrito de Ate Vitart</t>
        </is>
      </c>
      <c r="F10" s="11" t="n">
        <v>0.0667</v>
      </c>
      <c r="G10" s="6">
        <f>IF($F$11=0,0,F10/$F$11)</f>
        <v/>
      </c>
      <c r="H10" s="5" t="n">
        <v>0</v>
      </c>
      <c r="I10" t="n">
        <v>4</v>
      </c>
      <c r="J10" t="n">
        <v>3</v>
      </c>
      <c r="L10" s="5" t="n">
        <v>0</v>
      </c>
    </row>
    <row r="11">
      <c r="A11" s="12" t="inlineStr">
        <is>
          <t>TOTAL</t>
        </is>
      </c>
      <c r="B11" t="inlineStr"/>
      <c r="C11" t="inlineStr"/>
      <c r="D11" t="inlineStr"/>
      <c r="E11" t="inlineStr"/>
      <c r="F11" s="13">
        <f>SUM(F5:F10)</f>
        <v/>
      </c>
      <c r="G11" t="inlineStr"/>
      <c r="H11" s="14">
        <f>SUM(H5:H10)</f>
        <v/>
      </c>
      <c r="I11" t="inlineStr"/>
      <c r="J11" t="inlineStr"/>
      <c r="K11" t="inlineStr"/>
      <c r="L11" s="14">
        <f>SUM(L5:L10)</f>
        <v/>
      </c>
    </row>
    <row r="14">
      <c r="A14" s="15" t="inlineStr">
        <is>
          <t>Detalle por ubicación (%)</t>
        </is>
      </c>
    </row>
    <row r="15">
      <c r="A15" s="3" t="inlineStr">
        <is>
          <t>Distrito</t>
        </is>
      </c>
      <c r="B15" s="3" t="inlineStr">
        <is>
          <t>Ubigeo</t>
        </is>
      </c>
      <c r="C15" s="3" t="inlineStr">
        <is>
          <t>Mineral</t>
        </is>
      </c>
      <c r="D15" s="3" t="inlineStr">
        <is>
          <t>Unidad</t>
        </is>
      </c>
      <c r="E15" s="3" t="inlineStr">
        <is>
          <t>Cantidad (orig.)</t>
        </is>
      </c>
      <c r="F15" s="3" t="inlineStr">
        <is>
          <t>TMF equiv.</t>
        </is>
      </c>
    </row>
    <row r="16">
      <c r="A16" t="inlineStr">
        <is>
          <t>RIMAC</t>
        </is>
      </c>
      <c r="B16" t="inlineStr">
        <is>
          <t>150128</t>
        </is>
      </c>
      <c r="C16" t="inlineStr">
        <is>
          <t>Distribución</t>
        </is>
      </c>
      <c r="D16" t="inlineStr">
        <is>
          <t>%</t>
        </is>
      </c>
      <c r="E16" s="11" t="n">
        <v>0.2667</v>
      </c>
      <c r="F16" s="16" t="n">
        <v>0.266667</v>
      </c>
    </row>
    <row r="17">
      <c r="A17" t="inlineStr">
        <is>
          <t>EL AGUSTINO</t>
        </is>
      </c>
      <c r="B17" t="inlineStr">
        <is>
          <t>150111</t>
        </is>
      </c>
      <c r="C17" t="inlineStr">
        <is>
          <t>Distribución</t>
        </is>
      </c>
      <c r="D17" t="inlineStr">
        <is>
          <t>%</t>
        </is>
      </c>
      <c r="E17" s="11" t="n">
        <v>0.2</v>
      </c>
      <c r="F17" s="16" t="n">
        <v>0.2</v>
      </c>
    </row>
    <row r="18">
      <c r="A18" t="inlineStr">
        <is>
          <t>LA MOLINA</t>
        </is>
      </c>
      <c r="B18" t="inlineStr">
        <is>
          <t>150114</t>
        </is>
      </c>
      <c r="C18" t="inlineStr">
        <is>
          <t>Distribución</t>
        </is>
      </c>
      <c r="D18" t="inlineStr">
        <is>
          <t>%</t>
        </is>
      </c>
      <c r="E18" s="11" t="n">
        <v>0.2</v>
      </c>
      <c r="F18" s="16" t="n">
        <v>0.2</v>
      </c>
    </row>
    <row r="19">
      <c r="A19" t="inlineStr">
        <is>
          <t>LIMA</t>
        </is>
      </c>
      <c r="B19" t="inlineStr">
        <is>
          <t>150101</t>
        </is>
      </c>
      <c r="C19" t="inlineStr">
        <is>
          <t>Distribución</t>
        </is>
      </c>
      <c r="D19" t="inlineStr">
        <is>
          <t>%</t>
        </is>
      </c>
      <c r="E19" s="11" t="n">
        <v>0.1333</v>
      </c>
      <c r="F19" s="16" t="n">
        <v>0.133333</v>
      </c>
    </row>
    <row r="20">
      <c r="A20" t="inlineStr">
        <is>
          <t>SANTA ANITA</t>
        </is>
      </c>
      <c r="B20" t="inlineStr">
        <is>
          <t>150137</t>
        </is>
      </c>
      <c r="C20" t="inlineStr">
        <is>
          <t>Distribución</t>
        </is>
      </c>
      <c r="D20" t="inlineStr">
        <is>
          <t>%</t>
        </is>
      </c>
      <c r="E20" s="11" t="n">
        <v>0.1333</v>
      </c>
      <c r="F20" s="16" t="n">
        <v>0.133333</v>
      </c>
    </row>
    <row r="21">
      <c r="A21" t="inlineStr">
        <is>
          <t>ATE</t>
        </is>
      </c>
      <c r="B21" t="inlineStr">
        <is>
          <t>150103</t>
        </is>
      </c>
      <c r="C21" t="inlineStr">
        <is>
          <t>Distribución</t>
        </is>
      </c>
      <c r="D21" t="inlineStr">
        <is>
          <t>%</t>
        </is>
      </c>
      <c r="E21" s="11" t="n">
        <v>0.0667</v>
      </c>
      <c r="F21" s="16" t="n">
        <v>0.066667</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2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Rutas de Lima — Distribución por distrito y exposición asignada</t>
        </is>
      </c>
    </row>
    <row r="2">
      <c r="A2" s="2" t="inlineStr">
        <is>
          <t>Distribución total: 1.00 %   ·   Exposición en cartera: S/ 80,665,720   ·   Asignación: tmf_share</t>
        </is>
      </c>
    </row>
    <row r="4">
      <c r="A4" s="3" t="inlineStr">
        <is>
          <t>Departamento</t>
        </is>
      </c>
      <c r="B4" s="3" t="inlineStr">
        <is>
          <t>Provincia</t>
        </is>
      </c>
      <c r="C4" s="3" t="inlineStr">
        <is>
          <t>Distrito</t>
        </is>
      </c>
      <c r="D4" s="3" t="inlineStr">
        <is>
          <t>Ubigeo</t>
        </is>
      </c>
      <c r="E4" s="3" t="inlineStr">
        <is>
          <t>Activos / concesiones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LURIN</t>
        </is>
      </c>
      <c r="D5" t="inlineStr">
        <is>
          <t>150119</t>
        </is>
      </c>
      <c r="E5" t="inlineStr">
        <is>
          <t>Peaje Puente Arica, Peaje San Pedro</t>
        </is>
      </c>
      <c r="F5" s="11" t="n">
        <v>0.2857</v>
      </c>
      <c r="G5" s="6">
        <f>IF($F$11=0,0,F5/$F$11)</f>
        <v/>
      </c>
      <c r="H5" s="5" t="n">
        <v>23047348.66</v>
      </c>
      <c r="I5" t="n">
        <v>3</v>
      </c>
      <c r="J5" t="n">
        <v>3</v>
      </c>
      <c r="L5" s="5" t="n">
        <v>69142045.98999999</v>
      </c>
    </row>
    <row r="6">
      <c r="A6" t="inlineStr">
        <is>
          <t>LIMA</t>
        </is>
      </c>
      <c r="B6" t="inlineStr">
        <is>
          <t>LIMA</t>
        </is>
      </c>
      <c r="C6" t="inlineStr">
        <is>
          <t>CHORRILLOS</t>
        </is>
      </c>
      <c r="D6" t="inlineStr">
        <is>
          <t>150108</t>
        </is>
      </c>
      <c r="E6" t="inlineStr">
        <is>
          <t>Peaje Huaylas</t>
        </is>
      </c>
      <c r="F6" s="11" t="n">
        <v>0.1429</v>
      </c>
      <c r="G6" s="6">
        <f>IF($F$11=0,0,F6/$F$11)</f>
        <v/>
      </c>
      <c r="H6" s="5" t="n">
        <v>11523674.33</v>
      </c>
      <c r="I6" t="n">
        <v>2</v>
      </c>
      <c r="J6" t="n">
        <v>4</v>
      </c>
      <c r="L6" s="5" t="n">
        <v>34571022.99</v>
      </c>
    </row>
    <row r="7">
      <c r="A7" t="inlineStr">
        <is>
          <t>LIMA</t>
        </is>
      </c>
      <c r="B7" t="inlineStr">
        <is>
          <t>LIMA</t>
        </is>
      </c>
      <c r="C7" t="inlineStr">
        <is>
          <t>PUENTE PIEDRA</t>
        </is>
      </c>
      <c r="D7" t="inlineStr">
        <is>
          <t>150125</t>
        </is>
      </c>
      <c r="E7" t="inlineStr">
        <is>
          <t xml:space="preserve">Peaje Chillon </t>
        </is>
      </c>
      <c r="F7" s="11" t="n">
        <v>0.1429</v>
      </c>
      <c r="G7" s="6">
        <f>IF($F$11=0,0,F7/$F$11)</f>
        <v/>
      </c>
      <c r="H7" s="5" t="n">
        <v>11523674.33</v>
      </c>
      <c r="I7" t="n">
        <v>2</v>
      </c>
      <c r="J7" t="n">
        <v>3</v>
      </c>
      <c r="L7" s="5" t="n">
        <v>28809185.83</v>
      </c>
    </row>
    <row r="8">
      <c r="A8" t="inlineStr">
        <is>
          <t>LIMA</t>
        </is>
      </c>
      <c r="B8" t="inlineStr">
        <is>
          <t>LIMA</t>
        </is>
      </c>
      <c r="C8" t="inlineStr">
        <is>
          <t>PUNTA NEGRA</t>
        </is>
      </c>
      <c r="D8" t="inlineStr">
        <is>
          <t>150127</t>
        </is>
      </c>
      <c r="E8" t="inlineStr">
        <is>
          <t>Peaje Punta Negra</t>
        </is>
      </c>
      <c r="F8" s="11" t="n">
        <v>0.1429</v>
      </c>
      <c r="G8" s="6">
        <f>IF($F$11=0,0,F8/$F$11)</f>
        <v/>
      </c>
      <c r="H8" s="5" t="n">
        <v>11523674.33</v>
      </c>
      <c r="L8" s="5" t="n">
        <v>0</v>
      </c>
    </row>
    <row r="9">
      <c r="A9" t="inlineStr">
        <is>
          <t>LIMA</t>
        </is>
      </c>
      <c r="B9" t="inlineStr">
        <is>
          <t>LIMA</t>
        </is>
      </c>
      <c r="C9" t="inlineStr">
        <is>
          <t>SANTIAGO DE SURCO</t>
        </is>
      </c>
      <c r="D9" t="inlineStr">
        <is>
          <t>150140</t>
        </is>
      </c>
      <c r="E9" t="inlineStr">
        <is>
          <t>Peaje Villa</t>
        </is>
      </c>
      <c r="F9" s="11" t="n">
        <v>0.1429</v>
      </c>
      <c r="G9" s="6">
        <f>IF($F$11=0,0,F9/$F$11)</f>
        <v/>
      </c>
      <c r="H9" s="5" t="n">
        <v>11523674.33</v>
      </c>
      <c r="I9" t="n">
        <v>1</v>
      </c>
      <c r="J9" t="n">
        <v>3</v>
      </c>
      <c r="L9" s="5" t="n">
        <v>23047348.66</v>
      </c>
    </row>
    <row r="10">
      <c r="A10" t="inlineStr">
        <is>
          <t>LIMA</t>
        </is>
      </c>
      <c r="B10" t="inlineStr">
        <is>
          <t>LIMA</t>
        </is>
      </c>
      <c r="C10" t="inlineStr">
        <is>
          <t>VILLA EL SALVADOR</t>
        </is>
      </c>
      <c r="D10" t="inlineStr">
        <is>
          <t>150142</t>
        </is>
      </c>
      <c r="E10" t="inlineStr">
        <is>
          <t>Peaje Conchan</t>
        </is>
      </c>
      <c r="F10" s="11" t="n">
        <v>0.1429</v>
      </c>
      <c r="G10" s="6">
        <f>IF($F$11=0,0,F10/$F$11)</f>
        <v/>
      </c>
      <c r="H10" s="5" t="n">
        <v>11523674.33</v>
      </c>
      <c r="I10" t="n">
        <v>1</v>
      </c>
      <c r="J10" t="n">
        <v>3</v>
      </c>
      <c r="L10" s="5" t="n">
        <v>23047348.66</v>
      </c>
    </row>
    <row r="11">
      <c r="A11" s="12" t="inlineStr">
        <is>
          <t>TOTAL</t>
        </is>
      </c>
      <c r="B11" t="inlineStr"/>
      <c r="C11" t="inlineStr"/>
      <c r="D11" t="inlineStr"/>
      <c r="E11" t="inlineStr"/>
      <c r="F11" s="13">
        <f>SUM(F5:F10)</f>
        <v/>
      </c>
      <c r="G11" t="inlineStr"/>
      <c r="H11" s="14">
        <f>SUM(H5:H10)</f>
        <v/>
      </c>
      <c r="I11" t="inlineStr"/>
      <c r="J11" t="inlineStr"/>
      <c r="K11" t="inlineStr"/>
      <c r="L11" s="14">
        <f>SUM(L5:L10)</f>
        <v/>
      </c>
    </row>
    <row r="14">
      <c r="A14" s="15" t="inlineStr">
        <is>
          <t>Detalle por ubicación (%)</t>
        </is>
      </c>
    </row>
    <row r="15">
      <c r="A15" s="3" t="inlineStr">
        <is>
          <t>Distrito</t>
        </is>
      </c>
      <c r="B15" s="3" t="inlineStr">
        <is>
          <t>Ubigeo</t>
        </is>
      </c>
      <c r="C15" s="3" t="inlineStr">
        <is>
          <t>Mineral</t>
        </is>
      </c>
      <c r="D15" s="3" t="inlineStr">
        <is>
          <t>Unidad</t>
        </is>
      </c>
      <c r="E15" s="3" t="inlineStr">
        <is>
          <t>Cantidad (orig.)</t>
        </is>
      </c>
      <c r="F15" s="3" t="inlineStr">
        <is>
          <t>TMF equiv.</t>
        </is>
      </c>
    </row>
    <row r="16">
      <c r="A16" t="inlineStr">
        <is>
          <t>LURIN</t>
        </is>
      </c>
      <c r="B16" t="inlineStr">
        <is>
          <t>150119</t>
        </is>
      </c>
      <c r="C16" t="inlineStr">
        <is>
          <t>Distribución</t>
        </is>
      </c>
      <c r="D16" t="inlineStr">
        <is>
          <t>%</t>
        </is>
      </c>
      <c r="E16" s="11" t="n">
        <v>0.2857</v>
      </c>
      <c r="F16" s="16" t="n">
        <v>0.285714</v>
      </c>
    </row>
    <row r="17">
      <c r="A17" t="inlineStr">
        <is>
          <t>CHORRILLOS</t>
        </is>
      </c>
      <c r="B17" t="inlineStr">
        <is>
          <t>150108</t>
        </is>
      </c>
      <c r="C17" t="inlineStr">
        <is>
          <t>Distribución</t>
        </is>
      </c>
      <c r="D17" t="inlineStr">
        <is>
          <t>%</t>
        </is>
      </c>
      <c r="E17" s="11" t="n">
        <v>0.1429</v>
      </c>
      <c r="F17" s="16" t="n">
        <v>0.142857</v>
      </c>
    </row>
    <row r="18">
      <c r="A18" t="inlineStr">
        <is>
          <t>PUENTE PIEDRA</t>
        </is>
      </c>
      <c r="B18" t="inlineStr">
        <is>
          <t>150125</t>
        </is>
      </c>
      <c r="C18" t="inlineStr">
        <is>
          <t>Distribución</t>
        </is>
      </c>
      <c r="D18" t="inlineStr">
        <is>
          <t>%</t>
        </is>
      </c>
      <c r="E18" s="11" t="n">
        <v>0.1429</v>
      </c>
      <c r="F18" s="16" t="n">
        <v>0.142857</v>
      </c>
    </row>
    <row r="19">
      <c r="A19" t="inlineStr">
        <is>
          <t>PUNTA NEGRA</t>
        </is>
      </c>
      <c r="B19" t="inlineStr">
        <is>
          <t>150127</t>
        </is>
      </c>
      <c r="C19" t="inlineStr">
        <is>
          <t>Distribución</t>
        </is>
      </c>
      <c r="D19" t="inlineStr">
        <is>
          <t>%</t>
        </is>
      </c>
      <c r="E19" s="11" t="n">
        <v>0.1429</v>
      </c>
      <c r="F19" s="16" t="n">
        <v>0.142857</v>
      </c>
    </row>
    <row r="20">
      <c r="A20" t="inlineStr">
        <is>
          <t>SANTIAGO DE SURCO</t>
        </is>
      </c>
      <c r="B20" t="inlineStr">
        <is>
          <t>150140</t>
        </is>
      </c>
      <c r="C20" t="inlineStr">
        <is>
          <t>Distribución</t>
        </is>
      </c>
      <c r="D20" t="inlineStr">
        <is>
          <t>%</t>
        </is>
      </c>
      <c r="E20" s="11" t="n">
        <v>0.1429</v>
      </c>
      <c r="F20" s="16" t="n">
        <v>0.142857</v>
      </c>
    </row>
    <row r="21">
      <c r="A21" t="inlineStr">
        <is>
          <t>VILLA EL SALVADOR</t>
        </is>
      </c>
      <c r="B21" t="inlineStr">
        <is>
          <t>150142</t>
        </is>
      </c>
      <c r="C21" t="inlineStr">
        <is>
          <t>Distribución</t>
        </is>
      </c>
      <c r="D21" t="inlineStr">
        <is>
          <t>%</t>
        </is>
      </c>
      <c r="E21" s="11" t="n">
        <v>0.1429</v>
      </c>
      <c r="F21" s="16" t="n">
        <v>0.142857</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35"/>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Alicorp — Distribución por distrito y exposición asignada</t>
        </is>
      </c>
    </row>
    <row r="2">
      <c r="A2" s="2" t="inlineStr">
        <is>
          <t>Distribución total: 1.00 %   ·   Exposición en cartera: S/ 94,571,805   ·   Asignación: tmf_share</t>
        </is>
      </c>
    </row>
    <row r="4">
      <c r="A4" s="3" t="inlineStr">
        <is>
          <t>Departamento</t>
        </is>
      </c>
      <c r="B4" s="3" t="inlineStr">
        <is>
          <t>Provincia</t>
        </is>
      </c>
      <c r="C4" s="3" t="inlineStr">
        <is>
          <t>Distrito</t>
        </is>
      </c>
      <c r="D4" s="3" t="inlineStr">
        <is>
          <t>Ubigeo</t>
        </is>
      </c>
      <c r="E4" s="3" t="inlineStr">
        <is>
          <t>Predios / locales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CALLAO</t>
        </is>
      </c>
      <c r="B5" t="inlineStr">
        <is>
          <t>CALLAO</t>
        </is>
      </c>
      <c r="C5" t="inlineStr">
        <is>
          <t>CALLAO</t>
        </is>
      </c>
      <c r="D5" t="inlineStr">
        <is>
          <t>070101</t>
        </is>
      </c>
      <c r="E5" t="inlineStr">
        <is>
          <t>ALICORP</t>
        </is>
      </c>
      <c r="F5" s="11" t="n">
        <v>0.1667</v>
      </c>
      <c r="G5" s="6">
        <f>IF($F$18=0,0,F5/$F$18)</f>
        <v/>
      </c>
      <c r="H5" s="5" t="n">
        <v>15761967.46</v>
      </c>
      <c r="I5" t="n">
        <v>1</v>
      </c>
      <c r="J5" t="n">
        <v>5</v>
      </c>
      <c r="L5" s="5" t="n">
        <v>47285902.37</v>
      </c>
    </row>
    <row r="6">
      <c r="A6" t="inlineStr">
        <is>
          <t>LIMA</t>
        </is>
      </c>
      <c r="B6" t="inlineStr">
        <is>
          <t>LIMA</t>
        </is>
      </c>
      <c r="C6" t="inlineStr">
        <is>
          <t>ATE</t>
        </is>
      </c>
      <c r="D6" t="inlineStr">
        <is>
          <t>150103</t>
        </is>
      </c>
      <c r="E6" t="inlineStr">
        <is>
          <t>APUDEX, MASTERBREAD</t>
        </is>
      </c>
      <c r="F6" s="11" t="n">
        <v>0.1111</v>
      </c>
      <c r="G6" s="6">
        <f>IF($F$18=0,0,F6/$F$18)</f>
        <v/>
      </c>
      <c r="H6" s="5" t="n">
        <v>10507978.3</v>
      </c>
      <c r="I6" t="n">
        <v>4</v>
      </c>
      <c r="J6" t="n">
        <v>3</v>
      </c>
      <c r="L6" s="5" t="n">
        <v>36777924.06</v>
      </c>
    </row>
    <row r="7">
      <c r="A7" t="inlineStr">
        <is>
          <t>LIMA</t>
        </is>
      </c>
      <c r="B7" t="inlineStr">
        <is>
          <t>LIMA</t>
        </is>
      </c>
      <c r="C7" t="inlineStr">
        <is>
          <t>LURIGANCHO</t>
        </is>
      </c>
      <c r="D7" t="inlineStr">
        <is>
          <t>150118</t>
        </is>
      </c>
      <c r="E7" t="inlineStr">
        <is>
          <t>ALICORP, MASTERBREAD</t>
        </is>
      </c>
      <c r="F7" s="11" t="n">
        <v>0.1111</v>
      </c>
      <c r="G7" s="6">
        <f>IF($F$18=0,0,F7/$F$18)</f>
        <v/>
      </c>
      <c r="H7" s="5" t="n">
        <v>10507978.3</v>
      </c>
      <c r="I7" t="n">
        <v>5</v>
      </c>
      <c r="J7" t="n">
        <v>4</v>
      </c>
      <c r="L7" s="5" t="n">
        <v>47285902.37</v>
      </c>
    </row>
    <row r="8">
      <c r="A8" t="inlineStr">
        <is>
          <t>LIMA</t>
        </is>
      </c>
      <c r="B8" t="inlineStr">
        <is>
          <t>LIMA</t>
        </is>
      </c>
      <c r="C8" t="inlineStr">
        <is>
          <t>LURIN</t>
        </is>
      </c>
      <c r="D8" t="inlineStr">
        <is>
          <t>150119</t>
        </is>
      </c>
      <c r="E8" t="inlineStr">
        <is>
          <t>ALICORP, INTRADEVCO</t>
        </is>
      </c>
      <c r="F8" s="11" t="n">
        <v>0.1111</v>
      </c>
      <c r="G8" s="6">
        <f>IF($F$18=0,0,F8/$F$18)</f>
        <v/>
      </c>
      <c r="H8" s="5" t="n">
        <v>10507978.3</v>
      </c>
      <c r="I8" t="n">
        <v>3</v>
      </c>
      <c r="J8" t="n">
        <v>3</v>
      </c>
      <c r="L8" s="5" t="n">
        <v>31523934.91</v>
      </c>
    </row>
    <row r="9">
      <c r="A9" t="inlineStr">
        <is>
          <t>AMAZONAS</t>
        </is>
      </c>
      <c r="B9" t="inlineStr">
        <is>
          <t>CONDORCANQUI</t>
        </is>
      </c>
      <c r="C9" t="inlineStr">
        <is>
          <t>EL CENEPA</t>
        </is>
      </c>
      <c r="D9" t="inlineStr">
        <is>
          <t>010402</t>
        </is>
      </c>
      <c r="E9" t="inlineStr">
        <is>
          <t>IDE</t>
        </is>
      </c>
      <c r="F9" s="11" t="n">
        <v>0.0556</v>
      </c>
      <c r="G9" s="6">
        <f>IF($F$18=0,0,F9/$F$18)</f>
        <v/>
      </c>
      <c r="H9" s="5" t="n">
        <v>5253989.15</v>
      </c>
      <c r="I9" t="n">
        <v>3</v>
      </c>
      <c r="J9" t="n">
        <v>1</v>
      </c>
      <c r="K9" t="n">
        <v>2</v>
      </c>
      <c r="L9" s="5" t="n">
        <v>10507978.3</v>
      </c>
    </row>
    <row r="10">
      <c r="A10" t="inlineStr">
        <is>
          <t>AREQUIPA</t>
        </is>
      </c>
      <c r="B10" t="inlineStr">
        <is>
          <t>AREQUIPA</t>
        </is>
      </c>
      <c r="C10" t="inlineStr">
        <is>
          <t>AREQUIPA</t>
        </is>
      </c>
      <c r="D10" t="inlineStr">
        <is>
          <t>040101</t>
        </is>
      </c>
      <c r="E10" t="inlineStr">
        <is>
          <t>ALICORP</t>
        </is>
      </c>
      <c r="F10" s="11" t="n">
        <v>0.0556</v>
      </c>
      <c r="G10" s="6">
        <f>IF($F$18=0,0,F10/$F$18)</f>
        <v/>
      </c>
      <c r="H10" s="5" t="n">
        <v>5253989.15</v>
      </c>
      <c r="I10" t="n">
        <v>2</v>
      </c>
      <c r="J10" t="n">
        <v>5</v>
      </c>
      <c r="L10" s="5" t="n">
        <v>18388962.03</v>
      </c>
    </row>
    <row r="11">
      <c r="A11" t="inlineStr">
        <is>
          <t>CALLAO</t>
        </is>
      </c>
      <c r="B11" t="inlineStr">
        <is>
          <t>CALLAO</t>
        </is>
      </c>
      <c r="C11" t="inlineStr">
        <is>
          <t>CARMEN DE LA LEGUA REYNOSO</t>
        </is>
      </c>
      <c r="D11" t="inlineStr">
        <is>
          <t>070103</t>
        </is>
      </c>
      <c r="E11" t="inlineStr">
        <is>
          <t>ALICORP</t>
        </is>
      </c>
      <c r="F11" s="11" t="n">
        <v>0.0556</v>
      </c>
      <c r="G11" s="6">
        <f>IF($F$18=0,0,F11/$F$18)</f>
        <v/>
      </c>
      <c r="H11" s="5" t="n">
        <v>5253989.15</v>
      </c>
      <c r="I11" t="n">
        <v>1</v>
      </c>
      <c r="J11" t="n">
        <v>4</v>
      </c>
      <c r="L11" s="5" t="n">
        <v>13134972.88</v>
      </c>
    </row>
    <row r="12">
      <c r="A12" t="inlineStr">
        <is>
          <t>LA LIBERTAD</t>
        </is>
      </c>
      <c r="B12" t="inlineStr">
        <is>
          <t>TRUJILLO</t>
        </is>
      </c>
      <c r="C12" t="inlineStr">
        <is>
          <t>MOCHE</t>
        </is>
      </c>
      <c r="D12" t="inlineStr">
        <is>
          <t>130107</t>
        </is>
      </c>
      <c r="E12" t="inlineStr">
        <is>
          <t>VITAPRO</t>
        </is>
      </c>
      <c r="F12" s="11" t="n">
        <v>0.0556</v>
      </c>
      <c r="G12" s="6">
        <f>IF($F$18=0,0,F12/$F$18)</f>
        <v/>
      </c>
      <c r="H12" s="5" t="n">
        <v>5253989.15</v>
      </c>
      <c r="I12" t="n">
        <v>1</v>
      </c>
      <c r="J12" t="n">
        <v>4</v>
      </c>
      <c r="L12" s="5" t="n">
        <v>13134972.88</v>
      </c>
    </row>
    <row r="13">
      <c r="A13" t="inlineStr">
        <is>
          <t>LAMBAYEQUE</t>
        </is>
      </c>
      <c r="B13" t="inlineStr">
        <is>
          <t>CHICLAYO</t>
        </is>
      </c>
      <c r="C13" t="inlineStr">
        <is>
          <t>CHICLAYO</t>
        </is>
      </c>
      <c r="D13" t="inlineStr">
        <is>
          <t>140101</t>
        </is>
      </c>
      <c r="E13" t="inlineStr">
        <is>
          <t>ALICORP</t>
        </is>
      </c>
      <c r="F13" s="11" t="n">
        <v>0.0556</v>
      </c>
      <c r="G13" s="6">
        <f>IF($F$18=0,0,F13/$F$18)</f>
        <v/>
      </c>
      <c r="H13" s="5" t="n">
        <v>5253989.15</v>
      </c>
      <c r="I13" t="n">
        <v>1</v>
      </c>
      <c r="J13" t="n">
        <v>4</v>
      </c>
      <c r="L13" s="5" t="n">
        <v>13134972.88</v>
      </c>
    </row>
    <row r="14">
      <c r="A14" t="inlineStr">
        <is>
          <t>LIMA</t>
        </is>
      </c>
      <c r="B14" t="inlineStr">
        <is>
          <t>LIMA</t>
        </is>
      </c>
      <c r="C14" t="inlineStr">
        <is>
          <t>CHACLACAYO</t>
        </is>
      </c>
      <c r="D14" t="inlineStr">
        <is>
          <t>150107</t>
        </is>
      </c>
      <c r="E14" t="inlineStr">
        <is>
          <t>MASTERBREAD</t>
        </is>
      </c>
      <c r="F14" s="11" t="n">
        <v>0.0556</v>
      </c>
      <c r="G14" s="6">
        <f>IF($F$18=0,0,F14/$F$18)</f>
        <v/>
      </c>
      <c r="H14" s="5" t="n">
        <v>5253989.15</v>
      </c>
      <c r="I14" t="n">
        <v>4</v>
      </c>
      <c r="J14" t="n">
        <v>4</v>
      </c>
      <c r="L14" s="5" t="n">
        <v>21015956.61</v>
      </c>
    </row>
    <row r="15">
      <c r="A15" t="inlineStr">
        <is>
          <t>LIMA</t>
        </is>
      </c>
      <c r="B15" t="inlineStr">
        <is>
          <t>LIMA</t>
        </is>
      </c>
      <c r="C15" t="inlineStr">
        <is>
          <t>MIRAFLORES</t>
        </is>
      </c>
      <c r="D15" t="inlineStr">
        <is>
          <t>150122</t>
        </is>
      </c>
      <c r="E15" t="inlineStr">
        <is>
          <t>ALICORP</t>
        </is>
      </c>
      <c r="F15" s="11" t="n">
        <v>0.0556</v>
      </c>
      <c r="G15" s="6">
        <f>IF($F$18=0,0,F15/$F$18)</f>
        <v/>
      </c>
      <c r="H15" s="5" t="n">
        <v>5253989.15</v>
      </c>
      <c r="I15" t="n">
        <v>2</v>
      </c>
      <c r="J15" t="n">
        <v>4</v>
      </c>
      <c r="L15" s="5" t="n">
        <v>15761967.46</v>
      </c>
    </row>
    <row r="16">
      <c r="A16" t="inlineStr">
        <is>
          <t>PIURA</t>
        </is>
      </c>
      <c r="B16" t="inlineStr">
        <is>
          <t>PIURA</t>
        </is>
      </c>
      <c r="C16" t="inlineStr">
        <is>
          <t>PIURA</t>
        </is>
      </c>
      <c r="D16" t="inlineStr">
        <is>
          <t>200101</t>
        </is>
      </c>
      <c r="E16" t="inlineStr">
        <is>
          <t>ALICORP</t>
        </is>
      </c>
      <c r="F16" s="11" t="n">
        <v>0.0556</v>
      </c>
      <c r="G16" s="6">
        <f>IF($F$18=0,0,F16/$F$18)</f>
        <v/>
      </c>
      <c r="H16" s="5" t="n">
        <v>5253989.15</v>
      </c>
      <c r="I16" t="n">
        <v>1</v>
      </c>
      <c r="J16" t="n">
        <v>5</v>
      </c>
      <c r="L16" s="5" t="n">
        <v>15761967.46</v>
      </c>
    </row>
    <row r="17">
      <c r="A17" t="inlineStr">
        <is>
          <t>PIURA</t>
        </is>
      </c>
      <c r="B17" t="inlineStr">
        <is>
          <t>PAITA</t>
        </is>
      </c>
      <c r="C17" t="inlineStr">
        <is>
          <t>PAITA</t>
        </is>
      </c>
      <c r="D17" t="inlineStr">
        <is>
          <t>200501</t>
        </is>
      </c>
      <c r="E17" t="inlineStr">
        <is>
          <t>MASTERBREAD</t>
        </is>
      </c>
      <c r="F17" s="11" t="n">
        <v>0.0556</v>
      </c>
      <c r="G17" s="6">
        <f>IF($F$18=0,0,F17/$F$18)</f>
        <v/>
      </c>
      <c r="H17" s="5" t="n">
        <v>5253989.15</v>
      </c>
      <c r="I17" t="n">
        <v>2</v>
      </c>
      <c r="J17" t="n">
        <v>4</v>
      </c>
      <c r="L17" s="5" t="n">
        <v>15761967.46</v>
      </c>
    </row>
    <row r="18">
      <c r="A18" s="12" t="inlineStr">
        <is>
          <t>TOTAL</t>
        </is>
      </c>
      <c r="B18" t="inlineStr"/>
      <c r="C18" t="inlineStr"/>
      <c r="D18" t="inlineStr"/>
      <c r="E18" t="inlineStr"/>
      <c r="F18" s="13">
        <f>SUM(F5:F17)</f>
        <v/>
      </c>
      <c r="G18" t="inlineStr"/>
      <c r="H18" s="14">
        <f>SUM(H5:H17)</f>
        <v/>
      </c>
      <c r="I18" t="inlineStr"/>
      <c r="J18" t="inlineStr"/>
      <c r="K18" t="inlineStr"/>
      <c r="L18" s="14">
        <f>SUM(L5:L17)</f>
        <v/>
      </c>
    </row>
    <row r="21">
      <c r="A21" s="15" t="inlineStr">
        <is>
          <t>Detalle por ubicación (%)</t>
        </is>
      </c>
    </row>
    <row r="22">
      <c r="A22" s="3" t="inlineStr">
        <is>
          <t>Distrito</t>
        </is>
      </c>
      <c r="B22" s="3" t="inlineStr">
        <is>
          <t>Ubigeo</t>
        </is>
      </c>
      <c r="C22" s="3" t="inlineStr">
        <is>
          <t>Mineral</t>
        </is>
      </c>
      <c r="D22" s="3" t="inlineStr">
        <is>
          <t>Unidad</t>
        </is>
      </c>
      <c r="E22" s="3" t="inlineStr">
        <is>
          <t>Cantidad (orig.)</t>
        </is>
      </c>
      <c r="F22" s="3" t="inlineStr">
        <is>
          <t>TMF equiv.</t>
        </is>
      </c>
    </row>
    <row r="23">
      <c r="A23" t="inlineStr">
        <is>
          <t>CALLAO</t>
        </is>
      </c>
      <c r="B23" t="inlineStr">
        <is>
          <t>070101</t>
        </is>
      </c>
      <c r="C23" t="inlineStr">
        <is>
          <t>Distribución</t>
        </is>
      </c>
      <c r="D23" t="inlineStr">
        <is>
          <t>%</t>
        </is>
      </c>
      <c r="E23" s="11" t="n">
        <v>0.1667</v>
      </c>
      <c r="F23" s="16" t="n">
        <v>0.166667</v>
      </c>
    </row>
    <row r="24">
      <c r="A24" t="inlineStr">
        <is>
          <t>ATE</t>
        </is>
      </c>
      <c r="B24" t="inlineStr">
        <is>
          <t>150103</t>
        </is>
      </c>
      <c r="C24" t="inlineStr">
        <is>
          <t>Distribución</t>
        </is>
      </c>
      <c r="D24" t="inlineStr">
        <is>
          <t>%</t>
        </is>
      </c>
      <c r="E24" s="11" t="n">
        <v>0.1111</v>
      </c>
      <c r="F24" s="16" t="n">
        <v>0.111111</v>
      </c>
    </row>
    <row r="25">
      <c r="A25" t="inlineStr">
        <is>
          <t>LURIGANCHO</t>
        </is>
      </c>
      <c r="B25" t="inlineStr">
        <is>
          <t>150118</t>
        </is>
      </c>
      <c r="C25" t="inlineStr">
        <is>
          <t>Distribución</t>
        </is>
      </c>
      <c r="D25" t="inlineStr">
        <is>
          <t>%</t>
        </is>
      </c>
      <c r="E25" s="11" t="n">
        <v>0.1111</v>
      </c>
      <c r="F25" s="16" t="n">
        <v>0.111111</v>
      </c>
    </row>
    <row r="26">
      <c r="A26" t="inlineStr">
        <is>
          <t>LURIN</t>
        </is>
      </c>
      <c r="B26" t="inlineStr">
        <is>
          <t>150119</t>
        </is>
      </c>
      <c r="C26" t="inlineStr">
        <is>
          <t>Distribución</t>
        </is>
      </c>
      <c r="D26" t="inlineStr">
        <is>
          <t>%</t>
        </is>
      </c>
      <c r="E26" s="11" t="n">
        <v>0.1111</v>
      </c>
      <c r="F26" s="16" t="n">
        <v>0.111111</v>
      </c>
    </row>
    <row r="27">
      <c r="A27" t="inlineStr">
        <is>
          <t>EL CENEPA</t>
        </is>
      </c>
      <c r="B27" t="inlineStr">
        <is>
          <t>010402</t>
        </is>
      </c>
      <c r="C27" t="inlineStr">
        <is>
          <t>Distribución</t>
        </is>
      </c>
      <c r="D27" t="inlineStr">
        <is>
          <t>%</t>
        </is>
      </c>
      <c r="E27" s="11" t="n">
        <v>0.0556</v>
      </c>
      <c r="F27" s="16" t="n">
        <v>0.055556</v>
      </c>
    </row>
    <row r="28">
      <c r="A28" t="inlineStr">
        <is>
          <t>AREQUIPA</t>
        </is>
      </c>
      <c r="B28" t="inlineStr">
        <is>
          <t>040101</t>
        </is>
      </c>
      <c r="C28" t="inlineStr">
        <is>
          <t>Distribución</t>
        </is>
      </c>
      <c r="D28" t="inlineStr">
        <is>
          <t>%</t>
        </is>
      </c>
      <c r="E28" s="11" t="n">
        <v>0.0556</v>
      </c>
      <c r="F28" s="16" t="n">
        <v>0.055556</v>
      </c>
    </row>
    <row r="29">
      <c r="A29" t="inlineStr">
        <is>
          <t>CARMEN DE LA LEGUA REYNOSO</t>
        </is>
      </c>
      <c r="B29" t="inlineStr">
        <is>
          <t>070103</t>
        </is>
      </c>
      <c r="C29" t="inlineStr">
        <is>
          <t>Distribución</t>
        </is>
      </c>
      <c r="D29" t="inlineStr">
        <is>
          <t>%</t>
        </is>
      </c>
      <c r="E29" s="11" t="n">
        <v>0.0556</v>
      </c>
      <c r="F29" s="16" t="n">
        <v>0.055556</v>
      </c>
    </row>
    <row r="30">
      <c r="A30" t="inlineStr">
        <is>
          <t>MOCHE</t>
        </is>
      </c>
      <c r="B30" t="inlineStr">
        <is>
          <t>130107</t>
        </is>
      </c>
      <c r="C30" t="inlineStr">
        <is>
          <t>Distribución</t>
        </is>
      </c>
      <c r="D30" t="inlineStr">
        <is>
          <t>%</t>
        </is>
      </c>
      <c r="E30" s="11" t="n">
        <v>0.0556</v>
      </c>
      <c r="F30" s="16" t="n">
        <v>0.055556</v>
      </c>
    </row>
    <row r="31">
      <c r="A31" t="inlineStr">
        <is>
          <t>CHICLAYO</t>
        </is>
      </c>
      <c r="B31" t="inlineStr">
        <is>
          <t>140101</t>
        </is>
      </c>
      <c r="C31" t="inlineStr">
        <is>
          <t>Distribución</t>
        </is>
      </c>
      <c r="D31" t="inlineStr">
        <is>
          <t>%</t>
        </is>
      </c>
      <c r="E31" s="11" t="n">
        <v>0.0556</v>
      </c>
      <c r="F31" s="16" t="n">
        <v>0.055556</v>
      </c>
    </row>
    <row r="32">
      <c r="A32" t="inlineStr">
        <is>
          <t>CHACLACAYO</t>
        </is>
      </c>
      <c r="B32" t="inlineStr">
        <is>
          <t>150107</t>
        </is>
      </c>
      <c r="C32" t="inlineStr">
        <is>
          <t>Distribución</t>
        </is>
      </c>
      <c r="D32" t="inlineStr">
        <is>
          <t>%</t>
        </is>
      </c>
      <c r="E32" s="11" t="n">
        <v>0.0556</v>
      </c>
      <c r="F32" s="16" t="n">
        <v>0.055556</v>
      </c>
    </row>
    <row r="33">
      <c r="A33" t="inlineStr">
        <is>
          <t>MIRAFLORES</t>
        </is>
      </c>
      <c r="B33" t="inlineStr">
        <is>
          <t>150122</t>
        </is>
      </c>
      <c r="C33" t="inlineStr">
        <is>
          <t>Distribución</t>
        </is>
      </c>
      <c r="D33" t="inlineStr">
        <is>
          <t>%</t>
        </is>
      </c>
      <c r="E33" s="11" t="n">
        <v>0.0556</v>
      </c>
      <c r="F33" s="16" t="n">
        <v>0.055556</v>
      </c>
    </row>
    <row r="34">
      <c r="A34" t="inlineStr">
        <is>
          <t>PIURA</t>
        </is>
      </c>
      <c r="B34" t="inlineStr">
        <is>
          <t>200101</t>
        </is>
      </c>
      <c r="C34" t="inlineStr">
        <is>
          <t>Distribución</t>
        </is>
      </c>
      <c r="D34" t="inlineStr">
        <is>
          <t>%</t>
        </is>
      </c>
      <c r="E34" s="11" t="n">
        <v>0.0556</v>
      </c>
      <c r="F34" s="16" t="n">
        <v>0.055556</v>
      </c>
    </row>
    <row r="35">
      <c r="A35" t="inlineStr">
        <is>
          <t>PAITA</t>
        </is>
      </c>
      <c r="B35" t="inlineStr">
        <is>
          <t>200501</t>
        </is>
      </c>
      <c r="C35" t="inlineStr">
        <is>
          <t>Distribución</t>
        </is>
      </c>
      <c r="D35" t="inlineStr">
        <is>
          <t>%</t>
        </is>
      </c>
      <c r="E35" s="11" t="n">
        <v>0.0556</v>
      </c>
      <c r="F35" s="16" t="n">
        <v>0.055556</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7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Casa Andina — Distribución por distrito y exposición asignada</t>
        </is>
      </c>
    </row>
    <row r="2">
      <c r="A2" s="2" t="inlineStr">
        <is>
          <t>Distribución total: 0.98 %   ·   Exposición en cartera: S/ 28,177,240   ·   Asignación: tmf_share</t>
        </is>
      </c>
    </row>
    <row r="4">
      <c r="A4" s="3" t="inlineStr">
        <is>
          <t>Departamento</t>
        </is>
      </c>
      <c r="B4" s="3" t="inlineStr">
        <is>
          <t>Provincia</t>
        </is>
      </c>
      <c r="C4" s="3" t="inlineStr">
        <is>
          <t>Distrito</t>
        </is>
      </c>
      <c r="D4" s="3" t="inlineStr">
        <is>
          <t>Ubigeo</t>
        </is>
      </c>
      <c r="E4" s="3" t="inlineStr">
        <is>
          <t>Predios / locales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MIRAFLORES</t>
        </is>
      </c>
      <c r="D5" t="inlineStr">
        <is>
          <t>150122</t>
        </is>
      </c>
      <c r="E5" t="inlineStr">
        <is>
          <t>Casa Andina Premium Miraflores, Casa Andina Standard Benavides, Casa Andina Standard Miraflores San Antonio, Centro by Casa Andina Miraflores, Tucan Suites ApartHotel</t>
        </is>
      </c>
      <c r="F5" s="11" t="n">
        <v>0.1087</v>
      </c>
      <c r="G5" s="6">
        <f>IF($F$37=0,0,F5/$F$37)</f>
        <v/>
      </c>
      <c r="H5" s="5" t="n">
        <v>3130804.42</v>
      </c>
      <c r="I5" t="n">
        <v>2</v>
      </c>
      <c r="J5" t="n">
        <v>4</v>
      </c>
      <c r="L5" s="5" t="n">
        <v>9392413.25</v>
      </c>
    </row>
    <row r="6">
      <c r="A6" t="inlineStr">
        <is>
          <t>CUSCO</t>
        </is>
      </c>
      <c r="B6" t="inlineStr">
        <is>
          <t>CUSCO</t>
        </is>
      </c>
      <c r="C6" t="inlineStr">
        <is>
          <t>CUSCO</t>
        </is>
      </c>
      <c r="D6" t="inlineStr">
        <is>
          <t>080101</t>
        </is>
      </c>
      <c r="E6" t="inlineStr">
        <is>
          <t>Casa Andina Premium Cusco, Casa Andina Standard Cusco Catedral, Casa Andina Standard Cusco Plaza, Casa Andina Standard Cusco San Blas, Centro by Casa Andina Cusco Saphi</t>
        </is>
      </c>
      <c r="F6" s="11" t="n">
        <v>0.1087</v>
      </c>
      <c r="G6" s="6">
        <f>IF($F$37=0,0,F6/$F$37)</f>
        <v/>
      </c>
      <c r="H6" s="5" t="n">
        <v>3130804.42</v>
      </c>
      <c r="I6" t="n">
        <v>4</v>
      </c>
      <c r="J6" t="n">
        <v>2</v>
      </c>
      <c r="K6" t="n">
        <v>3</v>
      </c>
      <c r="L6" s="5" t="n">
        <v>9392413.25</v>
      </c>
    </row>
    <row r="7">
      <c r="A7" t="inlineStr">
        <is>
          <t>AREQUIPA</t>
        </is>
      </c>
      <c r="B7" t="inlineStr">
        <is>
          <t>AREQUIPA</t>
        </is>
      </c>
      <c r="C7" t="inlineStr">
        <is>
          <t>AREQUIPA</t>
        </is>
      </c>
      <c r="D7" t="inlineStr">
        <is>
          <t>040101</t>
        </is>
      </c>
      <c r="E7" t="inlineStr">
        <is>
          <t>Casa Andina Premium Arequipa, Casa Andina Select Arequipa Plaza, Casa Andina Standard Arequipa</t>
        </is>
      </c>
      <c r="F7" s="11" t="n">
        <v>0.06519999999999999</v>
      </c>
      <c r="G7" s="6">
        <f>IF($F$37=0,0,F7/$F$37)</f>
        <v/>
      </c>
      <c r="H7" s="5" t="n">
        <v>1878482.65</v>
      </c>
      <c r="I7" t="n">
        <v>2</v>
      </c>
      <c r="J7" t="n">
        <v>5</v>
      </c>
      <c r="L7" s="5" t="n">
        <v>6574689.28</v>
      </c>
    </row>
    <row r="8">
      <c r="A8" t="inlineStr">
        <is>
          <t>JUNIN</t>
        </is>
      </c>
      <c r="B8" t="inlineStr">
        <is>
          <t>HUANCAYO</t>
        </is>
      </c>
      <c r="C8" t="inlineStr">
        <is>
          <t>HUANCAYO</t>
        </is>
      </c>
      <c r="D8" t="inlineStr">
        <is>
          <t>120101</t>
        </is>
      </c>
      <c r="E8" t="inlineStr">
        <is>
          <t>Hotel Presidente Huancayo, Hotel de Turistas Huancayo</t>
        </is>
      </c>
      <c r="F8" s="11" t="n">
        <v>0.0435</v>
      </c>
      <c r="G8" s="6">
        <f>IF($F$37=0,0,F8/$F$37)</f>
        <v/>
      </c>
      <c r="H8" s="5" t="n">
        <v>1252321.77</v>
      </c>
      <c r="I8" t="n">
        <v>4</v>
      </c>
      <c r="J8" t="n">
        <v>2</v>
      </c>
      <c r="K8" t="n">
        <v>3</v>
      </c>
      <c r="L8" s="5" t="n">
        <v>3756965.3</v>
      </c>
    </row>
    <row r="9">
      <c r="A9" t="inlineStr">
        <is>
          <t>PUNO</t>
        </is>
      </c>
      <c r="B9" t="inlineStr">
        <is>
          <t>PUNO</t>
        </is>
      </c>
      <c r="C9" t="inlineStr">
        <is>
          <t>PUNO</t>
        </is>
      </c>
      <c r="D9" t="inlineStr">
        <is>
          <t>210101</t>
        </is>
      </c>
      <c r="E9" t="inlineStr">
        <is>
          <t>Casa Andina Premium Puno, Casa Andina Standard Puno</t>
        </is>
      </c>
      <c r="F9" s="11" t="n">
        <v>0.0435</v>
      </c>
      <c r="G9" s="6">
        <f>IF($F$37=0,0,F9/$F$37)</f>
        <v/>
      </c>
      <c r="H9" s="5" t="n">
        <v>1252321.77</v>
      </c>
      <c r="I9" t="n">
        <v>4</v>
      </c>
      <c r="J9" t="n">
        <v>3</v>
      </c>
      <c r="K9" t="n">
        <v>3</v>
      </c>
      <c r="L9" s="5" t="n">
        <v>4174405.89</v>
      </c>
    </row>
    <row r="10">
      <c r="A10" t="inlineStr">
        <is>
          <t>PIURA</t>
        </is>
      </c>
      <c r="B10" t="inlineStr">
        <is>
          <t>PIURA</t>
        </is>
      </c>
      <c r="C10" t="inlineStr">
        <is>
          <t>PIURA</t>
        </is>
      </c>
      <c r="D10" t="inlineStr">
        <is>
          <t>200101</t>
        </is>
      </c>
      <c r="E10" t="inlineStr">
        <is>
          <t>Casa Andina Premium Piura, Casa Andina Select Miraflores</t>
        </is>
      </c>
      <c r="F10" s="11" t="n">
        <v>0.0435</v>
      </c>
      <c r="G10" s="6">
        <f>IF($F$37=0,0,F10/$F$37)</f>
        <v/>
      </c>
      <c r="H10" s="5" t="n">
        <v>1252321.77</v>
      </c>
      <c r="I10" t="n">
        <v>1</v>
      </c>
      <c r="J10" t="n">
        <v>5</v>
      </c>
      <c r="L10" s="5" t="n">
        <v>3756965.3</v>
      </c>
    </row>
    <row r="11">
      <c r="A11" t="inlineStr">
        <is>
          <t>MOQUEGUA</t>
        </is>
      </c>
      <c r="B11" t="inlineStr">
        <is>
          <t>MARISCAL NIETO</t>
        </is>
      </c>
      <c r="C11" t="inlineStr">
        <is>
          <t>MOQUEGUA</t>
        </is>
      </c>
      <c r="D11" t="inlineStr">
        <is>
          <t>180101</t>
        </is>
      </c>
      <c r="E11" t="inlineStr">
        <is>
          <t>Casa Andina Select Moquegua</t>
        </is>
      </c>
      <c r="F11" s="11" t="n">
        <v>0.0217</v>
      </c>
      <c r="G11" s="6">
        <f>IF($F$37=0,0,F11/$F$37)</f>
        <v/>
      </c>
      <c r="H11" s="5" t="n">
        <v>626160.88</v>
      </c>
      <c r="I11" t="n">
        <v>4</v>
      </c>
      <c r="J11" t="n">
        <v>4</v>
      </c>
      <c r="L11" s="5" t="n">
        <v>2504643.53</v>
      </c>
    </row>
    <row r="12">
      <c r="A12" t="inlineStr">
        <is>
          <t>LIMA</t>
        </is>
      </c>
      <c r="B12" t="inlineStr">
        <is>
          <t>LIMA</t>
        </is>
      </c>
      <c r="C12" t="inlineStr">
        <is>
          <t>SANTIAGO DE SURCO</t>
        </is>
      </c>
      <c r="D12" t="inlineStr">
        <is>
          <t>150140</t>
        </is>
      </c>
      <c r="E12" t="inlineStr">
        <is>
          <t>Casa Andina Premium Golf Los Incas</t>
        </is>
      </c>
      <c r="F12" s="11" t="n">
        <v>0.0217</v>
      </c>
      <c r="G12" s="6">
        <f>IF($F$37=0,0,F12/$F$37)</f>
        <v/>
      </c>
      <c r="H12" s="5" t="n">
        <v>626160.88</v>
      </c>
      <c r="I12" t="n">
        <v>1</v>
      </c>
      <c r="J12" t="n">
        <v>3</v>
      </c>
      <c r="L12" s="5" t="n">
        <v>1252321.77</v>
      </c>
    </row>
    <row r="13">
      <c r="A13" t="inlineStr">
        <is>
          <t>LIMA</t>
        </is>
      </c>
      <c r="B13" t="inlineStr">
        <is>
          <t>HUAURA</t>
        </is>
      </c>
      <c r="C13" t="inlineStr">
        <is>
          <t>HUAURA</t>
        </is>
      </c>
      <c r="D13" t="inlineStr">
        <is>
          <t>150806</t>
        </is>
      </c>
      <c r="E13" t="inlineStr">
        <is>
          <t>Empedrada Ranch and Lodge</t>
        </is>
      </c>
      <c r="F13" s="11" t="n">
        <v>0.0217</v>
      </c>
      <c r="G13" s="6">
        <f>IF($F$37=0,0,F13/$F$37)</f>
        <v/>
      </c>
      <c r="H13" s="5" t="n">
        <v>626160.88</v>
      </c>
      <c r="I13" t="n">
        <v>4</v>
      </c>
      <c r="J13" t="n">
        <v>4</v>
      </c>
      <c r="L13" s="5" t="n">
        <v>2504643.53</v>
      </c>
    </row>
    <row r="14">
      <c r="A14" t="inlineStr">
        <is>
          <t>LORETO</t>
        </is>
      </c>
      <c r="B14" t="inlineStr">
        <is>
          <t>MAYNAS</t>
        </is>
      </c>
      <c r="C14" t="inlineStr">
        <is>
          <t>PUNCHANA</t>
        </is>
      </c>
      <c r="D14" t="inlineStr">
        <is>
          <t>160108</t>
        </is>
      </c>
      <c r="E14" t="inlineStr">
        <is>
          <t>Irapay Amazon Lodge</t>
        </is>
      </c>
      <c r="F14" s="11" t="n">
        <v>0.0217</v>
      </c>
      <c r="G14" s="6">
        <f>IF($F$37=0,0,F14/$F$37)</f>
        <v/>
      </c>
      <c r="H14" s="5" t="n">
        <v>626160.88</v>
      </c>
      <c r="L14" s="5" t="n">
        <v>0</v>
      </c>
    </row>
    <row r="15">
      <c r="A15" t="inlineStr">
        <is>
          <t>MADRE DE DIOS</t>
        </is>
      </c>
      <c r="B15" t="inlineStr">
        <is>
          <t>TAMBOPATA</t>
        </is>
      </c>
      <c r="C15" t="inlineStr">
        <is>
          <t>TAMBOPATA</t>
        </is>
      </c>
      <c r="D15" t="inlineStr">
        <is>
          <t>170101</t>
        </is>
      </c>
      <c r="E15" t="inlineStr">
        <is>
          <t>IKAM Riverview Amazon Lodge</t>
        </is>
      </c>
      <c r="F15" s="11" t="n">
        <v>0.0217</v>
      </c>
      <c r="G15" s="6">
        <f>IF($F$37=0,0,F15/$F$37)</f>
        <v/>
      </c>
      <c r="H15" s="5" t="n">
        <v>626160.88</v>
      </c>
      <c r="I15" t="n">
        <v>3</v>
      </c>
      <c r="J15" t="n">
        <v>2</v>
      </c>
      <c r="K15" t="n">
        <v>2</v>
      </c>
      <c r="L15" s="5" t="n">
        <v>1461042.06</v>
      </c>
    </row>
    <row r="16">
      <c r="A16" t="inlineStr">
        <is>
          <t>AMAZONAS</t>
        </is>
      </c>
      <c r="B16" t="inlineStr">
        <is>
          <t>CHACHAPOYAS</t>
        </is>
      </c>
      <c r="C16" t="inlineStr">
        <is>
          <t>CHACHAPOYAS</t>
        </is>
      </c>
      <c r="D16" t="inlineStr">
        <is>
          <t>010101</t>
        </is>
      </c>
      <c r="E16" t="inlineStr">
        <is>
          <t>La Xalca Hotel</t>
        </is>
      </c>
      <c r="F16" s="11" t="n">
        <v>0.0217</v>
      </c>
      <c r="G16" s="6">
        <f>IF($F$37=0,0,F16/$F$37)</f>
        <v/>
      </c>
      <c r="H16" s="5" t="n">
        <v>626160.88</v>
      </c>
      <c r="I16" t="n">
        <v>4</v>
      </c>
      <c r="J16" t="n">
        <v>1</v>
      </c>
      <c r="K16" t="n">
        <v>2</v>
      </c>
      <c r="L16" s="5" t="n">
        <v>1461042.06</v>
      </c>
    </row>
    <row r="17">
      <c r="A17" t="inlineStr">
        <is>
          <t>LIMA</t>
        </is>
      </c>
      <c r="B17" t="inlineStr">
        <is>
          <t>LIMA</t>
        </is>
      </c>
      <c r="C17" t="inlineStr">
        <is>
          <t>SAN ISIDRO</t>
        </is>
      </c>
      <c r="D17" t="inlineStr">
        <is>
          <t>150131</t>
        </is>
      </c>
      <c r="E17" t="inlineStr">
        <is>
          <t>Casa Andina Premium San Isidro</t>
        </is>
      </c>
      <c r="F17" s="11" t="n">
        <v>0.0217</v>
      </c>
      <c r="G17" s="6">
        <f>IF($F$37=0,0,F17/$F$37)</f>
        <v/>
      </c>
      <c r="H17" s="5" t="n">
        <v>626160.88</v>
      </c>
      <c r="I17" t="n">
        <v>1</v>
      </c>
      <c r="J17" t="n">
        <v>4</v>
      </c>
      <c r="L17" s="5" t="n">
        <v>1565402.21</v>
      </c>
    </row>
    <row r="18">
      <c r="A18" t="inlineStr">
        <is>
          <t>SAN MARTIN</t>
        </is>
      </c>
      <c r="B18" t="inlineStr">
        <is>
          <t>MOYOBAMBA</t>
        </is>
      </c>
      <c r="C18" t="inlineStr">
        <is>
          <t>MOYOBAMBA</t>
        </is>
      </c>
      <c r="D18" t="inlineStr">
        <is>
          <t>220101</t>
        </is>
      </c>
      <c r="E18" t="inlineStr">
        <is>
          <t>Altavista Casa Hotel</t>
        </is>
      </c>
      <c r="F18" s="11" t="n">
        <v>0.0217</v>
      </c>
      <c r="G18" s="6">
        <f>IF($F$37=0,0,F18/$F$37)</f>
        <v/>
      </c>
      <c r="H18" s="5" t="n">
        <v>626160.88</v>
      </c>
      <c r="I18" t="n">
        <v>4</v>
      </c>
      <c r="J18" t="n">
        <v>4</v>
      </c>
      <c r="K18" t="n">
        <v>2</v>
      </c>
      <c r="L18" s="5" t="n">
        <v>2087202.94</v>
      </c>
    </row>
    <row r="19">
      <c r="A19" t="inlineStr">
        <is>
          <t>SAN MARTIN</t>
        </is>
      </c>
      <c r="B19" t="inlineStr">
        <is>
          <t>SAN MARTIN</t>
        </is>
      </c>
      <c r="C19" t="inlineStr">
        <is>
          <t>SAUCE</t>
        </is>
      </c>
      <c r="D19" t="inlineStr">
        <is>
          <t>220913</t>
        </is>
      </c>
      <c r="E19" t="inlineStr">
        <is>
          <t>El Sauce Resort</t>
        </is>
      </c>
      <c r="F19" s="11" t="n">
        <v>0.0217</v>
      </c>
      <c r="G19" s="6">
        <f>IF($F$37=0,0,F19/$F$37)</f>
        <v/>
      </c>
      <c r="H19" s="5" t="n">
        <v>626160.88</v>
      </c>
      <c r="L19" s="5" t="n">
        <v>0</v>
      </c>
    </row>
    <row r="20">
      <c r="A20" t="inlineStr">
        <is>
          <t>TACNA</t>
        </is>
      </c>
      <c r="B20" t="inlineStr">
        <is>
          <t>TACNA</t>
        </is>
      </c>
      <c r="C20" t="inlineStr">
        <is>
          <t>TACNA</t>
        </is>
      </c>
      <c r="D20" t="inlineStr">
        <is>
          <t>230101</t>
        </is>
      </c>
      <c r="E20" t="inlineStr">
        <is>
          <t>Casa Andina Select Tacna</t>
        </is>
      </c>
      <c r="F20" s="11" t="n">
        <v>0.0217</v>
      </c>
      <c r="G20" s="6">
        <f>IF($F$37=0,0,F20/$F$37)</f>
        <v/>
      </c>
      <c r="H20" s="5" t="n">
        <v>626160.88</v>
      </c>
      <c r="I20" t="n">
        <v>3</v>
      </c>
      <c r="J20" t="n">
        <v>3</v>
      </c>
      <c r="L20" s="5" t="n">
        <v>1878482.65</v>
      </c>
    </row>
    <row r="21">
      <c r="A21" t="inlineStr">
        <is>
          <t>TUMBES</t>
        </is>
      </c>
      <c r="B21" t="inlineStr">
        <is>
          <t>CONTRALMIRANTE VILLAR</t>
        </is>
      </c>
      <c r="C21" t="inlineStr">
        <is>
          <t>ZORRITOS</t>
        </is>
      </c>
      <c r="D21" t="inlineStr">
        <is>
          <t>240201</t>
        </is>
      </c>
      <c r="E21" t="inlineStr">
        <is>
          <t>Casa Andina Select Zorritos Tumbes</t>
        </is>
      </c>
      <c r="F21" s="11" t="n">
        <v>0.0217</v>
      </c>
      <c r="G21" s="6">
        <f>IF($F$37=0,0,F21/$F$37)</f>
        <v/>
      </c>
      <c r="H21" s="5" t="n">
        <v>626160.88</v>
      </c>
      <c r="I21" t="n">
        <v>4</v>
      </c>
      <c r="J21" t="n">
        <v>3</v>
      </c>
      <c r="K21" t="n">
        <v>4</v>
      </c>
      <c r="L21" s="5" t="n">
        <v>2295923.24</v>
      </c>
    </row>
    <row r="22">
      <c r="A22" t="inlineStr">
        <is>
          <t>PIURA</t>
        </is>
      </c>
      <c r="B22" t="inlineStr">
        <is>
          <t>TALARA</t>
        </is>
      </c>
      <c r="C22" t="inlineStr">
        <is>
          <t>PARIÑAS</t>
        </is>
      </c>
      <c r="D22" t="inlineStr">
        <is>
          <t>200701</t>
        </is>
      </c>
      <c r="E22" t="inlineStr">
        <is>
          <t>Casa Andina Standard Talara</t>
        </is>
      </c>
      <c r="F22" s="11" t="n">
        <v>0.0217</v>
      </c>
      <c r="G22" s="6">
        <f>IF($F$37=0,0,F22/$F$37)</f>
        <v/>
      </c>
      <c r="H22" s="5" t="n">
        <v>626160.88</v>
      </c>
      <c r="I22" t="n">
        <v>3</v>
      </c>
      <c r="J22" t="n">
        <v>4</v>
      </c>
      <c r="K22" t="n">
        <v>3</v>
      </c>
      <c r="L22" s="5" t="n">
        <v>2087202.94</v>
      </c>
    </row>
    <row r="23">
      <c r="A23" t="inlineStr">
        <is>
          <t>LAMBAYEQUE</t>
        </is>
      </c>
      <c r="B23" t="inlineStr">
        <is>
          <t>CHICLAYO</t>
        </is>
      </c>
      <c r="C23" t="inlineStr">
        <is>
          <t>CHICLAYO</t>
        </is>
      </c>
      <c r="D23" t="inlineStr">
        <is>
          <t>140101</t>
        </is>
      </c>
      <c r="E23" t="inlineStr">
        <is>
          <t>Casa Andina Select Chiclayo</t>
        </is>
      </c>
      <c r="F23" s="11" t="n">
        <v>0.0217</v>
      </c>
      <c r="G23" s="6">
        <f>IF($F$37=0,0,F23/$F$37)</f>
        <v/>
      </c>
      <c r="H23" s="5" t="n">
        <v>626160.88</v>
      </c>
      <c r="I23" t="n">
        <v>1</v>
      </c>
      <c r="J23" t="n">
        <v>4</v>
      </c>
      <c r="L23" s="5" t="n">
        <v>1565402.21</v>
      </c>
    </row>
    <row r="24">
      <c r="A24" t="inlineStr">
        <is>
          <t>ANCASH</t>
        </is>
      </c>
      <c r="B24" t="inlineStr">
        <is>
          <t>HUARAZ</t>
        </is>
      </c>
      <c r="C24" t="inlineStr">
        <is>
          <t>HUARAZ</t>
        </is>
      </c>
      <c r="D24" t="inlineStr">
        <is>
          <t>020101</t>
        </is>
      </c>
      <c r="E24" t="inlineStr">
        <is>
          <t>Andino Club Hotel</t>
        </is>
      </c>
      <c r="F24" s="11" t="n">
        <v>0.0217</v>
      </c>
      <c r="G24" s="6">
        <f>IF($F$37=0,0,F24/$F$37)</f>
        <v/>
      </c>
      <c r="H24" s="5" t="n">
        <v>626160.88</v>
      </c>
      <c r="I24" t="n">
        <v>4</v>
      </c>
      <c r="J24" t="n">
        <v>3</v>
      </c>
      <c r="K24" t="n">
        <v>4</v>
      </c>
      <c r="L24" s="5" t="n">
        <v>2295923.24</v>
      </c>
    </row>
    <row r="25">
      <c r="A25" t="inlineStr">
        <is>
          <t>LA LIBERTAD</t>
        </is>
      </c>
      <c r="B25" t="inlineStr">
        <is>
          <t>TRUJILLO</t>
        </is>
      </c>
      <c r="C25" t="inlineStr">
        <is>
          <t>TRUJILLO</t>
        </is>
      </c>
      <c r="D25" t="inlineStr">
        <is>
          <t>130101</t>
        </is>
      </c>
      <c r="E25" t="inlineStr">
        <is>
          <t>Casa Andina Standard Trujillo Plaza</t>
        </is>
      </c>
      <c r="F25" s="11" t="n">
        <v>0.0217</v>
      </c>
      <c r="G25" s="6">
        <f>IF($F$37=0,0,F25/$F$37)</f>
        <v/>
      </c>
      <c r="H25" s="5" t="n">
        <v>626160.88</v>
      </c>
      <c r="I25" t="n">
        <v>1</v>
      </c>
      <c r="J25" t="n">
        <v>5</v>
      </c>
      <c r="L25" s="5" t="n">
        <v>1878482.65</v>
      </c>
    </row>
    <row r="26">
      <c r="A26" t="inlineStr">
        <is>
          <t>JUNIN</t>
        </is>
      </c>
      <c r="B26" t="inlineStr">
        <is>
          <t>CHANCHAMAYO</t>
        </is>
      </c>
      <c r="C26" t="inlineStr">
        <is>
          <t>CHANCHAMAYO</t>
        </is>
      </c>
      <c r="D26" t="inlineStr">
        <is>
          <t>120301</t>
        </is>
      </c>
      <c r="E26" t="inlineStr">
        <is>
          <t>Fundo San Jose Parque Ecologico and Lodge</t>
        </is>
      </c>
      <c r="F26" s="11" t="n">
        <v>0.0217</v>
      </c>
      <c r="G26" s="6">
        <f>IF($F$37=0,0,F26/$F$37)</f>
        <v/>
      </c>
      <c r="H26" s="5" t="n">
        <v>626160.88</v>
      </c>
      <c r="I26" t="n">
        <v>5</v>
      </c>
      <c r="J26" t="n">
        <v>2</v>
      </c>
      <c r="K26" t="n">
        <v>3</v>
      </c>
      <c r="L26" s="5" t="n">
        <v>2087202.94</v>
      </c>
    </row>
    <row r="27">
      <c r="A27" t="inlineStr">
        <is>
          <t>ICA</t>
        </is>
      </c>
      <c r="B27" t="inlineStr">
        <is>
          <t>PISCO</t>
        </is>
      </c>
      <c r="C27" t="inlineStr">
        <is>
          <t>PARACAS</t>
        </is>
      </c>
      <c r="D27" t="inlineStr">
        <is>
          <t>110505</t>
        </is>
      </c>
      <c r="E27" t="inlineStr">
        <is>
          <t>Casa Andina Select Paracas</t>
        </is>
      </c>
      <c r="F27" s="11" t="n">
        <v>0.0217</v>
      </c>
      <c r="G27" s="6">
        <f>IF($F$37=0,0,F27/$F$37)</f>
        <v/>
      </c>
      <c r="H27" s="5" t="n">
        <v>626160.88</v>
      </c>
      <c r="I27" t="n">
        <v>3</v>
      </c>
      <c r="J27" t="n">
        <v>4</v>
      </c>
      <c r="L27" s="5" t="n">
        <v>2191563.09</v>
      </c>
    </row>
    <row r="28">
      <c r="A28" t="inlineStr">
        <is>
          <t>ICA</t>
        </is>
      </c>
      <c r="B28" t="inlineStr">
        <is>
          <t>CHINCHA</t>
        </is>
      </c>
      <c r="C28" t="inlineStr">
        <is>
          <t>SUNAMPE</t>
        </is>
      </c>
      <c r="D28" t="inlineStr">
        <is>
          <t>110210</t>
        </is>
      </c>
      <c r="E28" t="inlineStr">
        <is>
          <t>Casa Andina Standard Chincha</t>
        </is>
      </c>
      <c r="F28" s="11" t="n">
        <v>0.0217</v>
      </c>
      <c r="G28" s="6">
        <f>IF($F$37=0,0,F28/$F$37)</f>
        <v/>
      </c>
      <c r="H28" s="5" t="n">
        <v>626160.88</v>
      </c>
      <c r="L28" s="5" t="n">
        <v>0</v>
      </c>
    </row>
    <row r="29">
      <c r="A29" t="inlineStr">
        <is>
          <t>HUANCAVELICA</t>
        </is>
      </c>
      <c r="B29" t="inlineStr">
        <is>
          <t>HUANCAVELICA</t>
        </is>
      </c>
      <c r="C29" t="inlineStr">
        <is>
          <t>HUANCAVELICA</t>
        </is>
      </c>
      <c r="D29" t="inlineStr">
        <is>
          <t>090101</t>
        </is>
      </c>
      <c r="E29" t="inlineStr">
        <is>
          <t>Hotel Presidente Huancavelica</t>
        </is>
      </c>
      <c r="F29" s="11" t="n">
        <v>0.0217</v>
      </c>
      <c r="G29" s="6">
        <f>IF($F$37=0,0,F29/$F$37)</f>
        <v/>
      </c>
      <c r="H29" s="5" t="n">
        <v>626160.88</v>
      </c>
      <c r="I29" t="n">
        <v>4</v>
      </c>
      <c r="J29" t="n">
        <v>3</v>
      </c>
      <c r="K29" t="n">
        <v>3</v>
      </c>
      <c r="L29" s="5" t="n">
        <v>2087202.94</v>
      </c>
    </row>
    <row r="30">
      <c r="A30" t="inlineStr">
        <is>
          <t>CUSCO</t>
        </is>
      </c>
      <c r="B30" t="inlineStr">
        <is>
          <t>URUBAMBA</t>
        </is>
      </c>
      <c r="C30" t="inlineStr">
        <is>
          <t>MACHUPICCHU</t>
        </is>
      </c>
      <c r="D30" t="inlineStr">
        <is>
          <t>081304</t>
        </is>
      </c>
      <c r="E30" t="inlineStr">
        <is>
          <t>Casa Andina Standard Machu Picchu</t>
        </is>
      </c>
      <c r="F30" s="11" t="n">
        <v>0.0217</v>
      </c>
      <c r="G30" s="6">
        <f>IF($F$37=0,0,F30/$F$37)</f>
        <v/>
      </c>
      <c r="H30" s="5" t="n">
        <v>626160.88</v>
      </c>
      <c r="I30" t="n">
        <v>4</v>
      </c>
      <c r="J30" t="n">
        <v>2</v>
      </c>
      <c r="K30" t="n">
        <v>3</v>
      </c>
      <c r="L30" s="5" t="n">
        <v>1878482.65</v>
      </c>
    </row>
    <row r="31">
      <c r="A31" t="inlineStr">
        <is>
          <t>CUSCO</t>
        </is>
      </c>
      <c r="B31" t="inlineStr">
        <is>
          <t>URUBAMBA</t>
        </is>
      </c>
      <c r="C31" t="inlineStr">
        <is>
          <t>URUBAMBA</t>
        </is>
      </c>
      <c r="D31" t="inlineStr">
        <is>
          <t>081301</t>
        </is>
      </c>
      <c r="E31" t="inlineStr">
        <is>
          <t>Casa Andina Premium Valle Sagrado Hotel and Villas</t>
        </is>
      </c>
      <c r="F31" s="11" t="n">
        <v>0.0217</v>
      </c>
      <c r="G31" s="6">
        <f>IF($F$37=0,0,F31/$F$37)</f>
        <v/>
      </c>
      <c r="H31" s="5" t="n">
        <v>626160.88</v>
      </c>
      <c r="I31" t="n">
        <v>4</v>
      </c>
      <c r="J31" t="n">
        <v>2</v>
      </c>
      <c r="K31" t="n">
        <v>3</v>
      </c>
      <c r="L31" s="5" t="n">
        <v>1878482.65</v>
      </c>
    </row>
    <row r="32">
      <c r="A32" t="inlineStr">
        <is>
          <t>CAJAMARCA</t>
        </is>
      </c>
      <c r="B32" t="inlineStr">
        <is>
          <t>CAJAMARCA</t>
        </is>
      </c>
      <c r="C32" t="inlineStr">
        <is>
          <t>LOS BAÑOS DEL INCA</t>
        </is>
      </c>
      <c r="D32" t="inlineStr">
        <is>
          <t>060108</t>
        </is>
      </c>
      <c r="E32" t="inlineStr">
        <is>
          <t>Ensenada Hotel y Campo</t>
        </is>
      </c>
      <c r="F32" s="11" t="n">
        <v>0.0217</v>
      </c>
      <c r="G32" s="6">
        <f>IF($F$37=0,0,F32/$F$37)</f>
        <v/>
      </c>
      <c r="H32" s="5" t="n">
        <v>626160.88</v>
      </c>
      <c r="I32" t="n">
        <v>4</v>
      </c>
      <c r="J32" t="n">
        <v>4</v>
      </c>
      <c r="K32" t="n">
        <v>3</v>
      </c>
      <c r="L32" s="5" t="n">
        <v>2295923.24</v>
      </c>
    </row>
    <row r="33">
      <c r="A33" t="inlineStr">
        <is>
          <t>AYACUCHO</t>
        </is>
      </c>
      <c r="B33" t="inlineStr">
        <is>
          <t>HUAMANGA</t>
        </is>
      </c>
      <c r="C33" t="inlineStr">
        <is>
          <t>AYACUCHO</t>
        </is>
      </c>
      <c r="D33" t="inlineStr">
        <is>
          <t>050101</t>
        </is>
      </c>
      <c r="E33" t="inlineStr">
        <is>
          <t>Casa Andina Standard Ayacucho</t>
        </is>
      </c>
      <c r="F33" s="11" t="n">
        <v>0.0217</v>
      </c>
      <c r="G33" s="6">
        <f>IF($F$37=0,0,F33/$F$37)</f>
        <v/>
      </c>
      <c r="H33" s="5" t="n">
        <v>626160.88</v>
      </c>
      <c r="I33" t="n">
        <v>4</v>
      </c>
      <c r="J33" t="n">
        <v>3</v>
      </c>
      <c r="K33" t="n">
        <v>4</v>
      </c>
      <c r="L33" s="5" t="n">
        <v>2295923.24</v>
      </c>
    </row>
    <row r="34">
      <c r="A34" t="inlineStr">
        <is>
          <t>AREQUIPA</t>
        </is>
      </c>
      <c r="B34" t="inlineStr">
        <is>
          <t>CAYLLOMA</t>
        </is>
      </c>
      <c r="C34" t="inlineStr">
        <is>
          <t>CHIVAY</t>
        </is>
      </c>
      <c r="D34" t="inlineStr">
        <is>
          <t>040501</t>
        </is>
      </c>
      <c r="E34" t="inlineStr">
        <is>
          <t>Casa Andina Standard Colca</t>
        </is>
      </c>
      <c r="F34" s="11" t="n">
        <v>0.0217</v>
      </c>
      <c r="G34" s="6">
        <f>IF($F$37=0,0,F34/$F$37)</f>
        <v/>
      </c>
      <c r="H34" s="5" t="n">
        <v>626160.88</v>
      </c>
      <c r="L34" s="5" t="n">
        <v>0</v>
      </c>
    </row>
    <row r="35">
      <c r="A35" t="inlineStr">
        <is>
          <t>ANCASH</t>
        </is>
      </c>
      <c r="B35" t="inlineStr">
        <is>
          <t>SANTA</t>
        </is>
      </c>
      <c r="C35" t="inlineStr">
        <is>
          <t>NUEVO CHIMBOTE</t>
        </is>
      </c>
      <c r="D35" t="inlineStr">
        <is>
          <t>021809</t>
        </is>
      </c>
      <c r="E35" t="inlineStr">
        <is>
          <t>Hotel Maresta</t>
        </is>
      </c>
      <c r="F35" s="11" t="n">
        <v>0.0217</v>
      </c>
      <c r="G35" s="6">
        <f>IF($F$37=0,0,F35/$F$37)</f>
        <v/>
      </c>
      <c r="H35" s="5" t="n">
        <v>626160.88</v>
      </c>
      <c r="I35" t="n">
        <v>2</v>
      </c>
      <c r="J35" t="n">
        <v>3</v>
      </c>
      <c r="L35" s="5" t="n">
        <v>1565402.21</v>
      </c>
    </row>
    <row r="36">
      <c r="A36" t="inlineStr">
        <is>
          <t>UCAYALI</t>
        </is>
      </c>
      <c r="B36" t="inlineStr">
        <is>
          <t>CORONEL PORTILLO</t>
        </is>
      </c>
      <c r="C36" t="inlineStr">
        <is>
          <t>CALLERIA</t>
        </is>
      </c>
      <c r="D36" t="inlineStr">
        <is>
          <t>250101</t>
        </is>
      </c>
      <c r="E36" t="inlineStr">
        <is>
          <t>Casa Andina Select Pucallpa</t>
        </is>
      </c>
      <c r="F36" s="11" t="n">
        <v>0.0217</v>
      </c>
      <c r="G36" s="6">
        <f>IF($F$37=0,0,F36/$F$37)</f>
        <v/>
      </c>
      <c r="H36" s="5" t="n">
        <v>626160.88</v>
      </c>
      <c r="I36" t="n">
        <v>4</v>
      </c>
      <c r="J36" t="n">
        <v>4</v>
      </c>
      <c r="K36" t="n">
        <v>2</v>
      </c>
      <c r="L36" s="5" t="n">
        <v>2087202.94</v>
      </c>
    </row>
    <row r="37">
      <c r="A37" s="12" t="inlineStr">
        <is>
          <t>TOTAL</t>
        </is>
      </c>
      <c r="B37" t="inlineStr"/>
      <c r="C37" t="inlineStr"/>
      <c r="D37" t="inlineStr"/>
      <c r="E37" t="inlineStr"/>
      <c r="F37" s="13">
        <f>SUM(F5:F36)</f>
        <v/>
      </c>
      <c r="G37" t="inlineStr"/>
      <c r="H37" s="14">
        <f>SUM(H5:H36)</f>
        <v/>
      </c>
      <c r="I37" t="inlineStr"/>
      <c r="J37" t="inlineStr"/>
      <c r="K37" t="inlineStr"/>
      <c r="L37" s="14">
        <f>SUM(L5:L36)</f>
        <v/>
      </c>
    </row>
    <row r="40">
      <c r="A40" s="15" t="inlineStr">
        <is>
          <t>Detalle por ubicación (%)</t>
        </is>
      </c>
    </row>
    <row r="41">
      <c r="A41" s="3" t="inlineStr">
        <is>
          <t>Distrito</t>
        </is>
      </c>
      <c r="B41" s="3" t="inlineStr">
        <is>
          <t>Ubigeo</t>
        </is>
      </c>
      <c r="C41" s="3" t="inlineStr">
        <is>
          <t>Mineral</t>
        </is>
      </c>
      <c r="D41" s="3" t="inlineStr">
        <is>
          <t>Unidad</t>
        </is>
      </c>
      <c r="E41" s="3" t="inlineStr">
        <is>
          <t>Cantidad (orig.)</t>
        </is>
      </c>
      <c r="F41" s="3" t="inlineStr">
        <is>
          <t>TMF equiv.</t>
        </is>
      </c>
    </row>
    <row r="42">
      <c r="A42" t="inlineStr">
        <is>
          <t>MIRAFLORES</t>
        </is>
      </c>
      <c r="B42" t="inlineStr">
        <is>
          <t>150122</t>
        </is>
      </c>
      <c r="C42" t="inlineStr">
        <is>
          <t>Distribución</t>
        </is>
      </c>
      <c r="D42" t="inlineStr">
        <is>
          <t>%</t>
        </is>
      </c>
      <c r="E42" s="11" t="n">
        <v>0.1087</v>
      </c>
      <c r="F42" s="16" t="n">
        <v>0.108696</v>
      </c>
    </row>
    <row r="43">
      <c r="A43" t="inlineStr">
        <is>
          <t>CUSCO</t>
        </is>
      </c>
      <c r="B43" t="inlineStr">
        <is>
          <t>080101</t>
        </is>
      </c>
      <c r="C43" t="inlineStr">
        <is>
          <t>Distribución</t>
        </is>
      </c>
      <c r="D43" t="inlineStr">
        <is>
          <t>%</t>
        </is>
      </c>
      <c r="E43" s="11" t="n">
        <v>0.1087</v>
      </c>
      <c r="F43" s="16" t="n">
        <v>0.108696</v>
      </c>
    </row>
    <row r="44">
      <c r="A44" t="inlineStr">
        <is>
          <t>AREQUIPA</t>
        </is>
      </c>
      <c r="B44" t="inlineStr">
        <is>
          <t>040101</t>
        </is>
      </c>
      <c r="C44" t="inlineStr">
        <is>
          <t>Distribución</t>
        </is>
      </c>
      <c r="D44" t="inlineStr">
        <is>
          <t>%</t>
        </is>
      </c>
      <c r="E44" s="11" t="n">
        <v>0.06519999999999999</v>
      </c>
      <c r="F44" s="16" t="n">
        <v>0.065217</v>
      </c>
    </row>
    <row r="45">
      <c r="A45" t="inlineStr">
        <is>
          <t>HUANCAYO</t>
        </is>
      </c>
      <c r="B45" t="inlineStr">
        <is>
          <t>120101</t>
        </is>
      </c>
      <c r="C45" t="inlineStr">
        <is>
          <t>Distribución</t>
        </is>
      </c>
      <c r="D45" t="inlineStr">
        <is>
          <t>%</t>
        </is>
      </c>
      <c r="E45" s="11" t="n">
        <v>0.0435</v>
      </c>
      <c r="F45" s="16" t="n">
        <v>0.043478</v>
      </c>
    </row>
    <row r="46">
      <c r="A46" t="inlineStr">
        <is>
          <t>PUNO</t>
        </is>
      </c>
      <c r="B46" t="inlineStr">
        <is>
          <t>210101</t>
        </is>
      </c>
      <c r="C46" t="inlineStr">
        <is>
          <t>Distribución</t>
        </is>
      </c>
      <c r="D46" t="inlineStr">
        <is>
          <t>%</t>
        </is>
      </c>
      <c r="E46" s="11" t="n">
        <v>0.0435</v>
      </c>
      <c r="F46" s="16" t="n">
        <v>0.043478</v>
      </c>
    </row>
    <row r="47">
      <c r="A47" t="inlineStr">
        <is>
          <t>PIURA</t>
        </is>
      </c>
      <c r="B47" t="inlineStr">
        <is>
          <t>200101</t>
        </is>
      </c>
      <c r="C47" t="inlineStr">
        <is>
          <t>Distribución</t>
        </is>
      </c>
      <c r="D47" t="inlineStr">
        <is>
          <t>%</t>
        </is>
      </c>
      <c r="E47" s="11" t="n">
        <v>0.0435</v>
      </c>
      <c r="F47" s="16" t="n">
        <v>0.043478</v>
      </c>
    </row>
    <row r="48">
      <c r="A48" t="inlineStr">
        <is>
          <t>MOQUEGUA</t>
        </is>
      </c>
      <c r="B48" t="inlineStr">
        <is>
          <t>180101</t>
        </is>
      </c>
      <c r="C48" t="inlineStr">
        <is>
          <t>Distribución</t>
        </is>
      </c>
      <c r="D48" t="inlineStr">
        <is>
          <t>%</t>
        </is>
      </c>
      <c r="E48" s="11" t="n">
        <v>0.0217</v>
      </c>
      <c r="F48" s="16" t="n">
        <v>0.021739</v>
      </c>
    </row>
    <row r="49">
      <c r="A49" t="inlineStr">
        <is>
          <t>SANTIAGO DE SURCO</t>
        </is>
      </c>
      <c r="B49" t="inlineStr">
        <is>
          <t>150140</t>
        </is>
      </c>
      <c r="C49" t="inlineStr">
        <is>
          <t>Distribución</t>
        </is>
      </c>
      <c r="D49" t="inlineStr">
        <is>
          <t>%</t>
        </is>
      </c>
      <c r="E49" s="11" t="n">
        <v>0.0217</v>
      </c>
      <c r="F49" s="16" t="n">
        <v>0.021739</v>
      </c>
    </row>
    <row r="50">
      <c r="A50" t="inlineStr">
        <is>
          <t>HUAURA</t>
        </is>
      </c>
      <c r="B50" t="inlineStr">
        <is>
          <t>150806</t>
        </is>
      </c>
      <c r="C50" t="inlineStr">
        <is>
          <t>Distribución</t>
        </is>
      </c>
      <c r="D50" t="inlineStr">
        <is>
          <t>%</t>
        </is>
      </c>
      <c r="E50" s="11" t="n">
        <v>0.0217</v>
      </c>
      <c r="F50" s="16" t="n">
        <v>0.021739</v>
      </c>
    </row>
    <row r="51">
      <c r="A51" t="inlineStr">
        <is>
          <t>PUNCHANA</t>
        </is>
      </c>
      <c r="B51" t="inlineStr">
        <is>
          <t>160108</t>
        </is>
      </c>
      <c r="C51" t="inlineStr">
        <is>
          <t>Distribución</t>
        </is>
      </c>
      <c r="D51" t="inlineStr">
        <is>
          <t>%</t>
        </is>
      </c>
      <c r="E51" s="11" t="n">
        <v>0.0217</v>
      </c>
      <c r="F51" s="16" t="n">
        <v>0.021739</v>
      </c>
    </row>
    <row r="52">
      <c r="A52" t="inlineStr">
        <is>
          <t>TAMBOPATA</t>
        </is>
      </c>
      <c r="B52" t="inlineStr">
        <is>
          <t>170101</t>
        </is>
      </c>
      <c r="C52" t="inlineStr">
        <is>
          <t>Distribución</t>
        </is>
      </c>
      <c r="D52" t="inlineStr">
        <is>
          <t>%</t>
        </is>
      </c>
      <c r="E52" s="11" t="n">
        <v>0.0217</v>
      </c>
      <c r="F52" s="16" t="n">
        <v>0.021739</v>
      </c>
    </row>
    <row r="53">
      <c r="A53" t="inlineStr">
        <is>
          <t>CHACHAPOYAS</t>
        </is>
      </c>
      <c r="B53" t="inlineStr">
        <is>
          <t>010101</t>
        </is>
      </c>
      <c r="C53" t="inlineStr">
        <is>
          <t>Distribución</t>
        </is>
      </c>
      <c r="D53" t="inlineStr">
        <is>
          <t>%</t>
        </is>
      </c>
      <c r="E53" s="11" t="n">
        <v>0.0217</v>
      </c>
      <c r="F53" s="16" t="n">
        <v>0.021739</v>
      </c>
    </row>
    <row r="54">
      <c r="A54" t="inlineStr">
        <is>
          <t>SAN ISIDRO</t>
        </is>
      </c>
      <c r="B54" t="inlineStr">
        <is>
          <t>150131</t>
        </is>
      </c>
      <c r="C54" t="inlineStr">
        <is>
          <t>Distribución</t>
        </is>
      </c>
      <c r="D54" t="inlineStr">
        <is>
          <t>%</t>
        </is>
      </c>
      <c r="E54" s="11" t="n">
        <v>0.0217</v>
      </c>
      <c r="F54" s="16" t="n">
        <v>0.021739</v>
      </c>
    </row>
    <row r="55">
      <c r="A55" t="inlineStr">
        <is>
          <t>MOYOBAMBA</t>
        </is>
      </c>
      <c r="B55" t="inlineStr">
        <is>
          <t>220101</t>
        </is>
      </c>
      <c r="C55" t="inlineStr">
        <is>
          <t>Distribución</t>
        </is>
      </c>
      <c r="D55" t="inlineStr">
        <is>
          <t>%</t>
        </is>
      </c>
      <c r="E55" s="11" t="n">
        <v>0.0217</v>
      </c>
      <c r="F55" s="16" t="n">
        <v>0.021739</v>
      </c>
    </row>
    <row r="56">
      <c r="A56" t="inlineStr">
        <is>
          <t>SAUCE</t>
        </is>
      </c>
      <c r="B56" t="inlineStr">
        <is>
          <t>220913</t>
        </is>
      </c>
      <c r="C56" t="inlineStr">
        <is>
          <t>Distribución</t>
        </is>
      </c>
      <c r="D56" t="inlineStr">
        <is>
          <t>%</t>
        </is>
      </c>
      <c r="E56" s="11" t="n">
        <v>0.0217</v>
      </c>
      <c r="F56" s="16" t="n">
        <v>0.021739</v>
      </c>
    </row>
    <row r="57">
      <c r="A57" t="inlineStr">
        <is>
          <t>TACNA</t>
        </is>
      </c>
      <c r="B57" t="inlineStr">
        <is>
          <t>230101</t>
        </is>
      </c>
      <c r="C57" t="inlineStr">
        <is>
          <t>Distribución</t>
        </is>
      </c>
      <c r="D57" t="inlineStr">
        <is>
          <t>%</t>
        </is>
      </c>
      <c r="E57" s="11" t="n">
        <v>0.0217</v>
      </c>
      <c r="F57" s="16" t="n">
        <v>0.021739</v>
      </c>
    </row>
    <row r="58">
      <c r="A58" t="inlineStr">
        <is>
          <t>ZORRITOS</t>
        </is>
      </c>
      <c r="B58" t="inlineStr">
        <is>
          <t>240201</t>
        </is>
      </c>
      <c r="C58" t="inlineStr">
        <is>
          <t>Distribución</t>
        </is>
      </c>
      <c r="D58" t="inlineStr">
        <is>
          <t>%</t>
        </is>
      </c>
      <c r="E58" s="11" t="n">
        <v>0.0217</v>
      </c>
      <c r="F58" s="16" t="n">
        <v>0.021739</v>
      </c>
    </row>
    <row r="59">
      <c r="A59" t="inlineStr">
        <is>
          <t>PARIÑAS</t>
        </is>
      </c>
      <c r="B59" t="inlineStr">
        <is>
          <t>200701</t>
        </is>
      </c>
      <c r="C59" t="inlineStr">
        <is>
          <t>Distribución</t>
        </is>
      </c>
      <c r="D59" t="inlineStr">
        <is>
          <t>%</t>
        </is>
      </c>
      <c r="E59" s="11" t="n">
        <v>0.0217</v>
      </c>
      <c r="F59" s="16" t="n">
        <v>0.021739</v>
      </c>
    </row>
    <row r="60">
      <c r="A60" t="inlineStr">
        <is>
          <t>CHICLAYO</t>
        </is>
      </c>
      <c r="B60" t="inlineStr">
        <is>
          <t>140101</t>
        </is>
      </c>
      <c r="C60" t="inlineStr">
        <is>
          <t>Distribución</t>
        </is>
      </c>
      <c r="D60" t="inlineStr">
        <is>
          <t>%</t>
        </is>
      </c>
      <c r="E60" s="11" t="n">
        <v>0.0217</v>
      </c>
      <c r="F60" s="16" t="n">
        <v>0.021739</v>
      </c>
    </row>
    <row r="61">
      <c r="A61" t="inlineStr">
        <is>
          <t>HUARAZ</t>
        </is>
      </c>
      <c r="B61" t="inlineStr">
        <is>
          <t>020101</t>
        </is>
      </c>
      <c r="C61" t="inlineStr">
        <is>
          <t>Distribución</t>
        </is>
      </c>
      <c r="D61" t="inlineStr">
        <is>
          <t>%</t>
        </is>
      </c>
      <c r="E61" s="11" t="n">
        <v>0.0217</v>
      </c>
      <c r="F61" s="16" t="n">
        <v>0.021739</v>
      </c>
    </row>
    <row r="62">
      <c r="A62" t="inlineStr">
        <is>
          <t>TRUJILLO</t>
        </is>
      </c>
      <c r="B62" t="inlineStr">
        <is>
          <t>130101</t>
        </is>
      </c>
      <c r="C62" t="inlineStr">
        <is>
          <t>Distribución</t>
        </is>
      </c>
      <c r="D62" t="inlineStr">
        <is>
          <t>%</t>
        </is>
      </c>
      <c r="E62" s="11" t="n">
        <v>0.0217</v>
      </c>
      <c r="F62" s="16" t="n">
        <v>0.021739</v>
      </c>
    </row>
    <row r="63">
      <c r="A63" t="inlineStr">
        <is>
          <t>CHANCHAMAYO</t>
        </is>
      </c>
      <c r="B63" t="inlineStr">
        <is>
          <t>120301</t>
        </is>
      </c>
      <c r="C63" t="inlineStr">
        <is>
          <t>Distribución</t>
        </is>
      </c>
      <c r="D63" t="inlineStr">
        <is>
          <t>%</t>
        </is>
      </c>
      <c r="E63" s="11" t="n">
        <v>0.0217</v>
      </c>
      <c r="F63" s="16" t="n">
        <v>0.021739</v>
      </c>
    </row>
    <row r="64">
      <c r="A64" t="inlineStr">
        <is>
          <t>PARACAS</t>
        </is>
      </c>
      <c r="B64" t="inlineStr">
        <is>
          <t>110505</t>
        </is>
      </c>
      <c r="C64" t="inlineStr">
        <is>
          <t>Distribución</t>
        </is>
      </c>
      <c r="D64" t="inlineStr">
        <is>
          <t>%</t>
        </is>
      </c>
      <c r="E64" s="11" t="n">
        <v>0.0217</v>
      </c>
      <c r="F64" s="16" t="n">
        <v>0.021739</v>
      </c>
    </row>
    <row r="65">
      <c r="A65" t="inlineStr">
        <is>
          <t>SUNAMPE</t>
        </is>
      </c>
      <c r="B65" t="inlineStr">
        <is>
          <t>110210</t>
        </is>
      </c>
      <c r="C65" t="inlineStr">
        <is>
          <t>Distribución</t>
        </is>
      </c>
      <c r="D65" t="inlineStr">
        <is>
          <t>%</t>
        </is>
      </c>
      <c r="E65" s="11" t="n">
        <v>0.0217</v>
      </c>
      <c r="F65" s="16" t="n">
        <v>0.021739</v>
      </c>
    </row>
    <row r="66">
      <c r="A66" t="inlineStr">
        <is>
          <t>HUANCAVELICA</t>
        </is>
      </c>
      <c r="B66" t="inlineStr">
        <is>
          <t>090101</t>
        </is>
      </c>
      <c r="C66" t="inlineStr">
        <is>
          <t>Distribución</t>
        </is>
      </c>
      <c r="D66" t="inlineStr">
        <is>
          <t>%</t>
        </is>
      </c>
      <c r="E66" s="11" t="n">
        <v>0.0217</v>
      </c>
      <c r="F66" s="16" t="n">
        <v>0.021739</v>
      </c>
    </row>
    <row r="67">
      <c r="A67" t="inlineStr">
        <is>
          <t>MACHUPICCHU</t>
        </is>
      </c>
      <c r="B67" t="inlineStr">
        <is>
          <t>081304</t>
        </is>
      </c>
      <c r="C67" t="inlineStr">
        <is>
          <t>Distribución</t>
        </is>
      </c>
      <c r="D67" t="inlineStr">
        <is>
          <t>%</t>
        </is>
      </c>
      <c r="E67" s="11" t="n">
        <v>0.0217</v>
      </c>
      <c r="F67" s="16" t="n">
        <v>0.021739</v>
      </c>
    </row>
    <row r="68">
      <c r="A68" t="inlineStr">
        <is>
          <t>URUBAMBA</t>
        </is>
      </c>
      <c r="B68" t="inlineStr">
        <is>
          <t>081301</t>
        </is>
      </c>
      <c r="C68" t="inlineStr">
        <is>
          <t>Distribución</t>
        </is>
      </c>
      <c r="D68" t="inlineStr">
        <is>
          <t>%</t>
        </is>
      </c>
      <c r="E68" s="11" t="n">
        <v>0.0217</v>
      </c>
      <c r="F68" s="16" t="n">
        <v>0.021739</v>
      </c>
    </row>
    <row r="69">
      <c r="A69" t="inlineStr">
        <is>
          <t>LOS BAÑOS DEL INCA</t>
        </is>
      </c>
      <c r="B69" t="inlineStr">
        <is>
          <t>060108</t>
        </is>
      </c>
      <c r="C69" t="inlineStr">
        <is>
          <t>Distribución</t>
        </is>
      </c>
      <c r="D69" t="inlineStr">
        <is>
          <t>%</t>
        </is>
      </c>
      <c r="E69" s="11" t="n">
        <v>0.0217</v>
      </c>
      <c r="F69" s="16" t="n">
        <v>0.021739</v>
      </c>
    </row>
    <row r="70">
      <c r="A70" t="inlineStr">
        <is>
          <t>AYACUCHO</t>
        </is>
      </c>
      <c r="B70" t="inlineStr">
        <is>
          <t>050101</t>
        </is>
      </c>
      <c r="C70" t="inlineStr">
        <is>
          <t>Distribución</t>
        </is>
      </c>
      <c r="D70" t="inlineStr">
        <is>
          <t>%</t>
        </is>
      </c>
      <c r="E70" s="11" t="n">
        <v>0.0217</v>
      </c>
      <c r="F70" s="16" t="n">
        <v>0.021739</v>
      </c>
    </row>
    <row r="71">
      <c r="A71" t="inlineStr">
        <is>
          <t>CHIVAY</t>
        </is>
      </c>
      <c r="B71" t="inlineStr">
        <is>
          <t>040501</t>
        </is>
      </c>
      <c r="C71" t="inlineStr">
        <is>
          <t>Distribución</t>
        </is>
      </c>
      <c r="D71" t="inlineStr">
        <is>
          <t>%</t>
        </is>
      </c>
      <c r="E71" s="11" t="n">
        <v>0.0217</v>
      </c>
      <c r="F71" s="16" t="n">
        <v>0.021739</v>
      </c>
    </row>
    <row r="72">
      <c r="A72" t="inlineStr">
        <is>
          <t>NUEVO CHIMBOTE</t>
        </is>
      </c>
      <c r="B72" t="inlineStr">
        <is>
          <t>021809</t>
        </is>
      </c>
      <c r="C72" t="inlineStr">
        <is>
          <t>Distribución</t>
        </is>
      </c>
      <c r="D72" t="inlineStr">
        <is>
          <t>%</t>
        </is>
      </c>
      <c r="E72" s="11" t="n">
        <v>0.0217</v>
      </c>
      <c r="F72" s="16" t="n">
        <v>0.021739</v>
      </c>
    </row>
    <row r="73">
      <c r="A73" t="inlineStr">
        <is>
          <t>CALLERIA</t>
        </is>
      </c>
      <c r="B73" t="inlineStr">
        <is>
          <t>250101</t>
        </is>
      </c>
      <c r="C73" t="inlineStr">
        <is>
          <t>Distribución</t>
        </is>
      </c>
      <c r="D73" t="inlineStr">
        <is>
          <t>%</t>
        </is>
      </c>
      <c r="E73" s="11" t="n">
        <v>0.0217</v>
      </c>
      <c r="F73" s="16" t="n">
        <v>0.021739</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InRetail — Distribución por distrito y exposición asignada</t>
        </is>
      </c>
    </row>
    <row r="2">
      <c r="A2" s="2" t="inlineStr">
        <is>
          <t>Distribución total: 1.00 %   ·   Exposición en cartera: S/ 0   ·   Asignación: tmf_share</t>
        </is>
      </c>
    </row>
    <row r="4">
      <c r="A4" s="3" t="inlineStr">
        <is>
          <t>Departamento</t>
        </is>
      </c>
      <c r="B4" s="3" t="inlineStr">
        <is>
          <t>Provincia</t>
        </is>
      </c>
      <c r="C4" s="3" t="inlineStr">
        <is>
          <t>Distrito</t>
        </is>
      </c>
      <c r="D4" s="3" t="inlineStr">
        <is>
          <t>Ubigeo</t>
        </is>
      </c>
      <c r="E4" s="3" t="inlineStr">
        <is>
          <t>Predios / locales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ATE</t>
        </is>
      </c>
      <c r="D5" t="inlineStr">
        <is>
          <t>150103</t>
        </is>
      </c>
      <c r="E5" t="inlineStr">
        <is>
          <t>Real Plaza Puruchuco, Real Plaza Santa Clara</t>
        </is>
      </c>
      <c r="F5" s="11" t="n">
        <v>0.09520000000000001</v>
      </c>
      <c r="G5" s="6">
        <f>IF($F$25=0,0,F5/$F$25)</f>
        <v/>
      </c>
      <c r="H5" s="5" t="n">
        <v>0</v>
      </c>
      <c r="I5" t="n">
        <v>4</v>
      </c>
      <c r="J5" t="n">
        <v>3</v>
      </c>
      <c r="L5" s="5" t="n">
        <v>0</v>
      </c>
    </row>
    <row r="6">
      <c r="A6" t="inlineStr">
        <is>
          <t>ANCASH</t>
        </is>
      </c>
      <c r="B6" t="inlineStr">
        <is>
          <t>SANTA</t>
        </is>
      </c>
      <c r="C6" t="inlineStr">
        <is>
          <t>NUEVO CHIMBOTE</t>
        </is>
      </c>
      <c r="D6" t="inlineStr">
        <is>
          <t>021809</t>
        </is>
      </c>
      <c r="E6" t="inlineStr">
        <is>
          <t>Real Plaza Chimbote</t>
        </is>
      </c>
      <c r="F6" s="11" t="n">
        <v>0.0476</v>
      </c>
      <c r="G6" s="6">
        <f>IF($F$25=0,0,F6/$F$25)</f>
        <v/>
      </c>
      <c r="H6" s="5" t="n">
        <v>0</v>
      </c>
      <c r="I6" t="n">
        <v>2</v>
      </c>
      <c r="J6" t="n">
        <v>3</v>
      </c>
      <c r="L6" s="5" t="n">
        <v>0</v>
      </c>
    </row>
    <row r="7">
      <c r="A7" t="inlineStr">
        <is>
          <t>LIMA</t>
        </is>
      </c>
      <c r="B7" t="inlineStr">
        <is>
          <t>LIMA</t>
        </is>
      </c>
      <c r="C7" t="inlineStr">
        <is>
          <t>JESUS MARIA</t>
        </is>
      </c>
      <c r="D7" t="inlineStr">
        <is>
          <t>150113</t>
        </is>
      </c>
      <c r="E7" t="inlineStr">
        <is>
          <t>Real Plaza Salaverry</t>
        </is>
      </c>
      <c r="F7" s="11" t="n">
        <v>0.0476</v>
      </c>
      <c r="G7" s="6">
        <f>IF($F$25=0,0,F7/$F$25)</f>
        <v/>
      </c>
      <c r="H7" s="5" t="n">
        <v>0</v>
      </c>
      <c r="I7" t="n">
        <v>1</v>
      </c>
      <c r="J7" t="n">
        <v>4</v>
      </c>
      <c r="L7" s="5" t="n">
        <v>0</v>
      </c>
    </row>
    <row r="8">
      <c r="A8" t="inlineStr">
        <is>
          <t>PUNO</t>
        </is>
      </c>
      <c r="B8" t="inlineStr">
        <is>
          <t>SAN ROMAN</t>
        </is>
      </c>
      <c r="C8" t="inlineStr">
        <is>
          <t>JULIACA</t>
        </is>
      </c>
      <c r="D8" t="inlineStr">
        <is>
          <t>211101</t>
        </is>
      </c>
      <c r="E8" t="inlineStr">
        <is>
          <t>Real Plaza Juliaca</t>
        </is>
      </c>
      <c r="F8" s="11" t="n">
        <v>0.0476</v>
      </c>
      <c r="G8" s="6">
        <f>IF($F$25=0,0,F8/$F$25)</f>
        <v/>
      </c>
      <c r="H8" s="5" t="n">
        <v>0</v>
      </c>
      <c r="I8" t="n">
        <v>3</v>
      </c>
      <c r="J8" t="n">
        <v>1</v>
      </c>
      <c r="K8" t="n">
        <v>4</v>
      </c>
      <c r="L8" s="5" t="n">
        <v>0</v>
      </c>
    </row>
    <row r="9">
      <c r="A9" t="inlineStr">
        <is>
          <t>PIURA</t>
        </is>
      </c>
      <c r="B9" t="inlineStr">
        <is>
          <t>SULLANA</t>
        </is>
      </c>
      <c r="C9" t="inlineStr">
        <is>
          <t>SULLANA</t>
        </is>
      </c>
      <c r="D9" t="inlineStr">
        <is>
          <t>200601</t>
        </is>
      </c>
      <c r="E9" t="inlineStr">
        <is>
          <t>Real Plaza Sullana</t>
        </is>
      </c>
      <c r="F9" s="11" t="n">
        <v>0.0476</v>
      </c>
      <c r="G9" s="6">
        <f>IF($F$25=0,0,F9/$F$25)</f>
        <v/>
      </c>
      <c r="H9" s="5" t="n">
        <v>0</v>
      </c>
      <c r="I9" t="n">
        <v>2</v>
      </c>
      <c r="J9" t="n">
        <v>5</v>
      </c>
      <c r="K9" t="n">
        <v>2</v>
      </c>
      <c r="L9" s="5" t="n">
        <v>0</v>
      </c>
    </row>
    <row r="10">
      <c r="A10" t="inlineStr">
        <is>
          <t>PIURA</t>
        </is>
      </c>
      <c r="B10" t="inlineStr">
        <is>
          <t>PIURA</t>
        </is>
      </c>
      <c r="C10" t="inlineStr">
        <is>
          <t>PIURA</t>
        </is>
      </c>
      <c r="D10" t="inlineStr">
        <is>
          <t>200101</t>
        </is>
      </c>
      <c r="E10" t="inlineStr">
        <is>
          <t>Real Plaza Piura</t>
        </is>
      </c>
      <c r="F10" s="11" t="n">
        <v>0.0476</v>
      </c>
      <c r="G10" s="6">
        <f>IF($F$25=0,0,F10/$F$25)</f>
        <v/>
      </c>
      <c r="H10" s="5" t="n">
        <v>0</v>
      </c>
      <c r="I10" t="n">
        <v>1</v>
      </c>
      <c r="J10" t="n">
        <v>5</v>
      </c>
      <c r="L10" s="5" t="n">
        <v>0</v>
      </c>
    </row>
    <row r="11">
      <c r="A11" t="inlineStr">
        <is>
          <t>LIMA</t>
        </is>
      </c>
      <c r="B11" t="inlineStr">
        <is>
          <t>LIMA</t>
        </is>
      </c>
      <c r="C11" t="inlineStr">
        <is>
          <t>VILLA MARIA DEL TRIUNFO</t>
        </is>
      </c>
      <c r="D11" t="inlineStr">
        <is>
          <t>150143</t>
        </is>
      </c>
      <c r="E11" t="inlineStr">
        <is>
          <t>Real Plaza Villa María del Triunfo</t>
        </is>
      </c>
      <c r="F11" s="11" t="n">
        <v>0.0476</v>
      </c>
      <c r="G11" s="6">
        <f>IF($F$25=0,0,F11/$F$25)</f>
        <v/>
      </c>
      <c r="H11" s="5" t="n">
        <v>0</v>
      </c>
      <c r="I11" t="n">
        <v>4</v>
      </c>
      <c r="J11" t="n">
        <v>1</v>
      </c>
      <c r="L11" s="5" t="n">
        <v>0</v>
      </c>
    </row>
    <row r="12">
      <c r="A12" t="inlineStr">
        <is>
          <t>LIMA</t>
        </is>
      </c>
      <c r="B12" t="inlineStr">
        <is>
          <t>LIMA</t>
        </is>
      </c>
      <c r="C12" t="inlineStr">
        <is>
          <t>SAN MARTIN DE PORRES</t>
        </is>
      </c>
      <c r="D12" t="inlineStr">
        <is>
          <t>150135</t>
        </is>
      </c>
      <c r="E12" t="inlineStr">
        <is>
          <t>Real Plaza Pro</t>
        </is>
      </c>
      <c r="F12" s="11" t="n">
        <v>0.0476</v>
      </c>
      <c r="G12" s="6">
        <f>IF($F$25=0,0,F12/$F$25)</f>
        <v/>
      </c>
      <c r="H12" s="5" t="n">
        <v>0</v>
      </c>
      <c r="I12" t="n">
        <v>2</v>
      </c>
      <c r="J12" t="n">
        <v>5</v>
      </c>
      <c r="L12" s="5" t="n">
        <v>0</v>
      </c>
    </row>
    <row r="13">
      <c r="A13" t="inlineStr">
        <is>
          <t>LIMA</t>
        </is>
      </c>
      <c r="B13" t="inlineStr">
        <is>
          <t>LIMA</t>
        </is>
      </c>
      <c r="C13" t="inlineStr">
        <is>
          <t>SAN BORJA</t>
        </is>
      </c>
      <c r="D13" t="inlineStr">
        <is>
          <t>150130</t>
        </is>
      </c>
      <c r="E13" t="inlineStr">
        <is>
          <t>Real Plaza Primavera</t>
        </is>
      </c>
      <c r="F13" s="11" t="n">
        <v>0.0476</v>
      </c>
      <c r="G13" s="6">
        <f>IF($F$25=0,0,F13/$F$25)</f>
        <v/>
      </c>
      <c r="H13" s="5" t="n">
        <v>0</v>
      </c>
      <c r="I13" t="n">
        <v>1</v>
      </c>
      <c r="J13" t="n">
        <v>2</v>
      </c>
      <c r="L13" s="5" t="n">
        <v>0</v>
      </c>
    </row>
    <row r="14">
      <c r="A14" t="inlineStr">
        <is>
          <t>LIMA</t>
        </is>
      </c>
      <c r="B14" t="inlineStr">
        <is>
          <t>LIMA</t>
        </is>
      </c>
      <c r="C14" t="inlineStr">
        <is>
          <t>LA MOLINA</t>
        </is>
      </c>
      <c r="D14" t="inlineStr">
        <is>
          <t>150114</t>
        </is>
      </c>
      <c r="E14" t="inlineStr">
        <is>
          <t>Molina Plaza</t>
        </is>
      </c>
      <c r="F14" s="11" t="n">
        <v>0.0476</v>
      </c>
      <c r="G14" s="6">
        <f>IF($F$25=0,0,F14/$F$25)</f>
        <v/>
      </c>
      <c r="H14" s="5" t="n">
        <v>0</v>
      </c>
      <c r="I14" t="n">
        <v>4</v>
      </c>
      <c r="J14" t="n">
        <v>3</v>
      </c>
      <c r="L14" s="5" t="n">
        <v>0</v>
      </c>
    </row>
    <row r="15">
      <c r="A15" t="inlineStr">
        <is>
          <t>LIMA</t>
        </is>
      </c>
      <c r="B15" t="inlineStr">
        <is>
          <t>LIMA</t>
        </is>
      </c>
      <c r="C15" t="inlineStr">
        <is>
          <t>CHORRILLOS</t>
        </is>
      </c>
      <c r="D15" t="inlineStr">
        <is>
          <t>150108</t>
        </is>
      </c>
      <c r="E15" t="inlineStr">
        <is>
          <t>Real Plaza Guardia Civil</t>
        </is>
      </c>
      <c r="F15" s="11" t="n">
        <v>0.0476</v>
      </c>
      <c r="G15" s="6">
        <f>IF($F$25=0,0,F15/$F$25)</f>
        <v/>
      </c>
      <c r="H15" s="5" t="n">
        <v>0</v>
      </c>
      <c r="I15" t="n">
        <v>2</v>
      </c>
      <c r="J15" t="n">
        <v>4</v>
      </c>
      <c r="L15" s="5" t="n">
        <v>0</v>
      </c>
    </row>
    <row r="16">
      <c r="A16" t="inlineStr">
        <is>
          <t>AREQUIPA</t>
        </is>
      </c>
      <c r="B16" t="inlineStr">
        <is>
          <t>AREQUIPA</t>
        </is>
      </c>
      <c r="C16" t="inlineStr">
        <is>
          <t>AREQUIPA</t>
        </is>
      </c>
      <c r="D16" t="inlineStr">
        <is>
          <t>040101</t>
        </is>
      </c>
      <c r="E16" t="inlineStr">
        <is>
          <t>Real Plaza Arequipa</t>
        </is>
      </c>
      <c r="F16" s="11" t="n">
        <v>0.0476</v>
      </c>
      <c r="G16" s="6">
        <f>IF($F$25=0,0,F16/$F$25)</f>
        <v/>
      </c>
      <c r="H16" s="5" t="n">
        <v>0</v>
      </c>
      <c r="I16" t="n">
        <v>2</v>
      </c>
      <c r="J16" t="n">
        <v>5</v>
      </c>
      <c r="L16" s="5" t="n">
        <v>0</v>
      </c>
    </row>
    <row r="17">
      <c r="A17" t="inlineStr">
        <is>
          <t>LIMA</t>
        </is>
      </c>
      <c r="B17" t="inlineStr">
        <is>
          <t>LIMA</t>
        </is>
      </c>
      <c r="C17" t="inlineStr">
        <is>
          <t>LIMA</t>
        </is>
      </c>
      <c r="D17" t="inlineStr">
        <is>
          <t>150101</t>
        </is>
      </c>
      <c r="E17" t="inlineStr">
        <is>
          <t>Real Plaza Centro Cívico</t>
        </is>
      </c>
      <c r="F17" s="11" t="n">
        <v>0.0476</v>
      </c>
      <c r="G17" s="6">
        <f>IF($F$25=0,0,F17/$F$25)</f>
        <v/>
      </c>
      <c r="H17" s="5" t="n">
        <v>0</v>
      </c>
      <c r="I17" t="n">
        <v>2</v>
      </c>
      <c r="J17" t="n">
        <v>4</v>
      </c>
      <c r="L17" s="5" t="n">
        <v>0</v>
      </c>
    </row>
    <row r="18">
      <c r="A18" t="inlineStr">
        <is>
          <t>LAMBAYEQUE</t>
        </is>
      </c>
      <c r="B18" t="inlineStr">
        <is>
          <t>CHICLAYO</t>
        </is>
      </c>
      <c r="C18" t="inlineStr">
        <is>
          <t>CHICLAYO</t>
        </is>
      </c>
      <c r="D18" t="inlineStr">
        <is>
          <t>140101</t>
        </is>
      </c>
      <c r="E18" t="inlineStr">
        <is>
          <t>Real Plaza Chiclayo</t>
        </is>
      </c>
      <c r="F18" s="11" t="n">
        <v>0.0476</v>
      </c>
      <c r="G18" s="6">
        <f>IF($F$25=0,0,F18/$F$25)</f>
        <v/>
      </c>
      <c r="H18" s="5" t="n">
        <v>0</v>
      </c>
      <c r="I18" t="n">
        <v>1</v>
      </c>
      <c r="J18" t="n">
        <v>4</v>
      </c>
      <c r="L18" s="5" t="n">
        <v>0</v>
      </c>
    </row>
    <row r="19">
      <c r="A19" t="inlineStr">
        <is>
          <t>LA LIBERTAD</t>
        </is>
      </c>
      <c r="B19" t="inlineStr">
        <is>
          <t>TRUJILLO</t>
        </is>
      </c>
      <c r="C19" t="inlineStr">
        <is>
          <t>TRUJILLO</t>
        </is>
      </c>
      <c r="D19" t="inlineStr">
        <is>
          <t>130101</t>
        </is>
      </c>
      <c r="E19" t="inlineStr">
        <is>
          <t>Real Plaza Trujillo</t>
        </is>
      </c>
      <c r="F19" s="11" t="n">
        <v>0.0476</v>
      </c>
      <c r="G19" s="6">
        <f>IF($F$25=0,0,F19/$F$25)</f>
        <v/>
      </c>
      <c r="H19" s="5" t="n">
        <v>0</v>
      </c>
      <c r="I19" t="n">
        <v>1</v>
      </c>
      <c r="J19" t="n">
        <v>5</v>
      </c>
      <c r="L19" s="5" t="n">
        <v>0</v>
      </c>
    </row>
    <row r="20">
      <c r="A20" t="inlineStr">
        <is>
          <t>JUNIN</t>
        </is>
      </c>
      <c r="B20" t="inlineStr">
        <is>
          <t>HUANCAYO</t>
        </is>
      </c>
      <c r="C20" t="inlineStr">
        <is>
          <t>HUANCAYO</t>
        </is>
      </c>
      <c r="D20" t="inlineStr">
        <is>
          <t>120101</t>
        </is>
      </c>
      <c r="E20" t="inlineStr">
        <is>
          <t>Real Plaza Huancayo</t>
        </is>
      </c>
      <c r="F20" s="11" t="n">
        <v>0.0476</v>
      </c>
      <c r="G20" s="6">
        <f>IF($F$25=0,0,F20/$F$25)</f>
        <v/>
      </c>
      <c r="H20" s="5" t="n">
        <v>0</v>
      </c>
      <c r="I20" t="n">
        <v>4</v>
      </c>
      <c r="J20" t="n">
        <v>2</v>
      </c>
      <c r="K20" t="n">
        <v>3</v>
      </c>
      <c r="L20" s="5" t="n">
        <v>0</v>
      </c>
    </row>
    <row r="21">
      <c r="A21" t="inlineStr">
        <is>
          <t>HUANUCO</t>
        </is>
      </c>
      <c r="B21" t="inlineStr">
        <is>
          <t>HUANUCO</t>
        </is>
      </c>
      <c r="C21" t="inlineStr">
        <is>
          <t>HUANUCO</t>
        </is>
      </c>
      <c r="D21" t="inlineStr">
        <is>
          <t>100101</t>
        </is>
      </c>
      <c r="E21" t="inlineStr">
        <is>
          <t>Real Plaza Huánuco</t>
        </is>
      </c>
      <c r="F21" s="11" t="n">
        <v>0.0476</v>
      </c>
      <c r="G21" s="6">
        <f>IF($F$25=0,0,F21/$F$25)</f>
        <v/>
      </c>
      <c r="H21" s="5" t="n">
        <v>0</v>
      </c>
      <c r="I21" t="n">
        <v>4</v>
      </c>
      <c r="J21" t="n">
        <v>3</v>
      </c>
      <c r="K21" t="n">
        <v>4</v>
      </c>
      <c r="L21" s="5" t="n">
        <v>0</v>
      </c>
    </row>
    <row r="22">
      <c r="A22" t="inlineStr">
        <is>
          <t>CUSCO</t>
        </is>
      </c>
      <c r="B22" t="inlineStr">
        <is>
          <t>CUSCO</t>
        </is>
      </c>
      <c r="C22" t="inlineStr">
        <is>
          <t>CUSCO</t>
        </is>
      </c>
      <c r="D22" t="inlineStr">
        <is>
          <t>080101</t>
        </is>
      </c>
      <c r="E22" t="inlineStr">
        <is>
          <t>Real Plaza Cusco</t>
        </is>
      </c>
      <c r="F22" s="11" t="n">
        <v>0.0476</v>
      </c>
      <c r="G22" s="6">
        <f>IF($F$25=0,0,F22/$F$25)</f>
        <v/>
      </c>
      <c r="H22" s="5" t="n">
        <v>0</v>
      </c>
      <c r="I22" t="n">
        <v>4</v>
      </c>
      <c r="J22" t="n">
        <v>2</v>
      </c>
      <c r="K22" t="n">
        <v>3</v>
      </c>
      <c r="L22" s="5" t="n">
        <v>0</v>
      </c>
    </row>
    <row r="23">
      <c r="A23" t="inlineStr">
        <is>
          <t>CAJAMARCA</t>
        </is>
      </c>
      <c r="B23" t="inlineStr">
        <is>
          <t>CAJAMARCA</t>
        </is>
      </c>
      <c r="C23" t="inlineStr">
        <is>
          <t>CAJAMARCA</t>
        </is>
      </c>
      <c r="D23" t="inlineStr">
        <is>
          <t>060101</t>
        </is>
      </c>
      <c r="E23" t="inlineStr">
        <is>
          <t>Real Plaza Cajamarca</t>
        </is>
      </c>
      <c r="F23" s="11" t="n">
        <v>0.0476</v>
      </c>
      <c r="G23" s="6">
        <f>IF($F$25=0,0,F23/$F$25)</f>
        <v/>
      </c>
      <c r="H23" s="5" t="n">
        <v>0</v>
      </c>
      <c r="I23" t="n">
        <v>4</v>
      </c>
      <c r="J23" t="n">
        <v>4</v>
      </c>
      <c r="K23" t="n">
        <v>3</v>
      </c>
      <c r="L23" s="5" t="n">
        <v>0</v>
      </c>
    </row>
    <row r="24">
      <c r="A24" t="inlineStr">
        <is>
          <t>UCAYALI</t>
        </is>
      </c>
      <c r="B24" t="inlineStr">
        <is>
          <t>CORONEL PORTILLO</t>
        </is>
      </c>
      <c r="C24" t="inlineStr">
        <is>
          <t>YARINACOCHA</t>
        </is>
      </c>
      <c r="D24" t="inlineStr">
        <is>
          <t>250105</t>
        </is>
      </c>
      <c r="E24" t="inlineStr">
        <is>
          <t>Real Plaza Pucallpa</t>
        </is>
      </c>
      <c r="F24" s="11" t="n">
        <v>0.0476</v>
      </c>
      <c r="G24" s="6">
        <f>IF($F$25=0,0,F24/$F$25)</f>
        <v/>
      </c>
      <c r="H24" s="5" t="n">
        <v>0</v>
      </c>
      <c r="I24" t="n">
        <v>1</v>
      </c>
      <c r="J24" t="n">
        <v>5</v>
      </c>
      <c r="K24" t="n">
        <v>2</v>
      </c>
      <c r="L24" s="5" t="n">
        <v>0</v>
      </c>
    </row>
    <row r="25">
      <c r="A25" s="12" t="inlineStr">
        <is>
          <t>TOTAL</t>
        </is>
      </c>
      <c r="B25" t="inlineStr"/>
      <c r="C25" t="inlineStr"/>
      <c r="D25" t="inlineStr"/>
      <c r="E25" t="inlineStr"/>
      <c r="F25" s="13">
        <f>SUM(F5:F24)</f>
        <v/>
      </c>
      <c r="G25" t="inlineStr"/>
      <c r="H25" s="14">
        <f>SUM(H5:H24)</f>
        <v/>
      </c>
      <c r="I25" t="inlineStr"/>
      <c r="J25" t="inlineStr"/>
      <c r="K25" t="inlineStr"/>
      <c r="L25" s="14">
        <f>SUM(L5:L24)</f>
        <v/>
      </c>
    </row>
    <row r="28">
      <c r="A28" s="15" t="inlineStr">
        <is>
          <t>Detalle por ubicación (%)</t>
        </is>
      </c>
    </row>
    <row r="29">
      <c r="A29" s="3" t="inlineStr">
        <is>
          <t>Distrito</t>
        </is>
      </c>
      <c r="B29" s="3" t="inlineStr">
        <is>
          <t>Ubigeo</t>
        </is>
      </c>
      <c r="C29" s="3" t="inlineStr">
        <is>
          <t>Mineral</t>
        </is>
      </c>
      <c r="D29" s="3" t="inlineStr">
        <is>
          <t>Unidad</t>
        </is>
      </c>
      <c r="E29" s="3" t="inlineStr">
        <is>
          <t>Cantidad (orig.)</t>
        </is>
      </c>
      <c r="F29" s="3" t="inlineStr">
        <is>
          <t>TMF equiv.</t>
        </is>
      </c>
    </row>
    <row r="30">
      <c r="A30" t="inlineStr">
        <is>
          <t>ATE</t>
        </is>
      </c>
      <c r="B30" t="inlineStr">
        <is>
          <t>150103</t>
        </is>
      </c>
      <c r="C30" t="inlineStr">
        <is>
          <t>Distribución</t>
        </is>
      </c>
      <c r="D30" t="inlineStr">
        <is>
          <t>%</t>
        </is>
      </c>
      <c r="E30" s="11" t="n">
        <v>0.09520000000000001</v>
      </c>
      <c r="F30" s="16" t="n">
        <v>0.095238</v>
      </c>
    </row>
    <row r="31">
      <c r="A31" t="inlineStr">
        <is>
          <t>NUEVO CHIMBOTE</t>
        </is>
      </c>
      <c r="B31" t="inlineStr">
        <is>
          <t>021809</t>
        </is>
      </c>
      <c r="C31" t="inlineStr">
        <is>
          <t>Distribución</t>
        </is>
      </c>
      <c r="D31" t="inlineStr">
        <is>
          <t>%</t>
        </is>
      </c>
      <c r="E31" s="11" t="n">
        <v>0.0476</v>
      </c>
      <c r="F31" s="16" t="n">
        <v>0.047619</v>
      </c>
    </row>
    <row r="32">
      <c r="A32" t="inlineStr">
        <is>
          <t>JESUS MARIA</t>
        </is>
      </c>
      <c r="B32" t="inlineStr">
        <is>
          <t>150113</t>
        </is>
      </c>
      <c r="C32" t="inlineStr">
        <is>
          <t>Distribución</t>
        </is>
      </c>
      <c r="D32" t="inlineStr">
        <is>
          <t>%</t>
        </is>
      </c>
      <c r="E32" s="11" t="n">
        <v>0.0476</v>
      </c>
      <c r="F32" s="16" t="n">
        <v>0.047619</v>
      </c>
    </row>
    <row r="33">
      <c r="A33" t="inlineStr">
        <is>
          <t>JULIACA</t>
        </is>
      </c>
      <c r="B33" t="inlineStr">
        <is>
          <t>211101</t>
        </is>
      </c>
      <c r="C33" t="inlineStr">
        <is>
          <t>Distribución</t>
        </is>
      </c>
      <c r="D33" t="inlineStr">
        <is>
          <t>%</t>
        </is>
      </c>
      <c r="E33" s="11" t="n">
        <v>0.0476</v>
      </c>
      <c r="F33" s="16" t="n">
        <v>0.047619</v>
      </c>
    </row>
    <row r="34">
      <c r="A34" t="inlineStr">
        <is>
          <t>SULLANA</t>
        </is>
      </c>
      <c r="B34" t="inlineStr">
        <is>
          <t>200601</t>
        </is>
      </c>
      <c r="C34" t="inlineStr">
        <is>
          <t>Distribución</t>
        </is>
      </c>
      <c r="D34" t="inlineStr">
        <is>
          <t>%</t>
        </is>
      </c>
      <c r="E34" s="11" t="n">
        <v>0.0476</v>
      </c>
      <c r="F34" s="16" t="n">
        <v>0.047619</v>
      </c>
    </row>
    <row r="35">
      <c r="A35" t="inlineStr">
        <is>
          <t>PIURA</t>
        </is>
      </c>
      <c r="B35" t="inlineStr">
        <is>
          <t>200101</t>
        </is>
      </c>
      <c r="C35" t="inlineStr">
        <is>
          <t>Distribución</t>
        </is>
      </c>
      <c r="D35" t="inlineStr">
        <is>
          <t>%</t>
        </is>
      </c>
      <c r="E35" s="11" t="n">
        <v>0.0476</v>
      </c>
      <c r="F35" s="16" t="n">
        <v>0.047619</v>
      </c>
    </row>
    <row r="36">
      <c r="A36" t="inlineStr">
        <is>
          <t>VILLA MARIA DEL TRIUNFO</t>
        </is>
      </c>
      <c r="B36" t="inlineStr">
        <is>
          <t>150143</t>
        </is>
      </c>
      <c r="C36" t="inlineStr">
        <is>
          <t>Distribución</t>
        </is>
      </c>
      <c r="D36" t="inlineStr">
        <is>
          <t>%</t>
        </is>
      </c>
      <c r="E36" s="11" t="n">
        <v>0.0476</v>
      </c>
      <c r="F36" s="16" t="n">
        <v>0.047619</v>
      </c>
    </row>
    <row r="37">
      <c r="A37" t="inlineStr">
        <is>
          <t>SAN MARTIN DE PORRES</t>
        </is>
      </c>
      <c r="B37" t="inlineStr">
        <is>
          <t>150135</t>
        </is>
      </c>
      <c r="C37" t="inlineStr">
        <is>
          <t>Distribución</t>
        </is>
      </c>
      <c r="D37" t="inlineStr">
        <is>
          <t>%</t>
        </is>
      </c>
      <c r="E37" s="11" t="n">
        <v>0.0476</v>
      </c>
      <c r="F37" s="16" t="n">
        <v>0.047619</v>
      </c>
    </row>
    <row r="38">
      <c r="A38" t="inlineStr">
        <is>
          <t>SAN BORJA</t>
        </is>
      </c>
      <c r="B38" t="inlineStr">
        <is>
          <t>150130</t>
        </is>
      </c>
      <c r="C38" t="inlineStr">
        <is>
          <t>Distribución</t>
        </is>
      </c>
      <c r="D38" t="inlineStr">
        <is>
          <t>%</t>
        </is>
      </c>
      <c r="E38" s="11" t="n">
        <v>0.0476</v>
      </c>
      <c r="F38" s="16" t="n">
        <v>0.047619</v>
      </c>
    </row>
    <row r="39">
      <c r="A39" t="inlineStr">
        <is>
          <t>LA MOLINA</t>
        </is>
      </c>
      <c r="B39" t="inlineStr">
        <is>
          <t>150114</t>
        </is>
      </c>
      <c r="C39" t="inlineStr">
        <is>
          <t>Distribución</t>
        </is>
      </c>
      <c r="D39" t="inlineStr">
        <is>
          <t>%</t>
        </is>
      </c>
      <c r="E39" s="11" t="n">
        <v>0.0476</v>
      </c>
      <c r="F39" s="16" t="n">
        <v>0.047619</v>
      </c>
    </row>
    <row r="40">
      <c r="A40" t="inlineStr">
        <is>
          <t>CHORRILLOS</t>
        </is>
      </c>
      <c r="B40" t="inlineStr">
        <is>
          <t>150108</t>
        </is>
      </c>
      <c r="C40" t="inlineStr">
        <is>
          <t>Distribución</t>
        </is>
      </c>
      <c r="D40" t="inlineStr">
        <is>
          <t>%</t>
        </is>
      </c>
      <c r="E40" s="11" t="n">
        <v>0.0476</v>
      </c>
      <c r="F40" s="16" t="n">
        <v>0.047619</v>
      </c>
    </row>
    <row r="41">
      <c r="A41" t="inlineStr">
        <is>
          <t>AREQUIPA</t>
        </is>
      </c>
      <c r="B41" t="inlineStr">
        <is>
          <t>040101</t>
        </is>
      </c>
      <c r="C41" t="inlineStr">
        <is>
          <t>Distribución</t>
        </is>
      </c>
      <c r="D41" t="inlineStr">
        <is>
          <t>%</t>
        </is>
      </c>
      <c r="E41" s="11" t="n">
        <v>0.0476</v>
      </c>
      <c r="F41" s="16" t="n">
        <v>0.047619</v>
      </c>
    </row>
    <row r="42">
      <c r="A42" t="inlineStr">
        <is>
          <t>LIMA</t>
        </is>
      </c>
      <c r="B42" t="inlineStr">
        <is>
          <t>150101</t>
        </is>
      </c>
      <c r="C42" t="inlineStr">
        <is>
          <t>Distribución</t>
        </is>
      </c>
      <c r="D42" t="inlineStr">
        <is>
          <t>%</t>
        </is>
      </c>
      <c r="E42" s="11" t="n">
        <v>0.0476</v>
      </c>
      <c r="F42" s="16" t="n">
        <v>0.047619</v>
      </c>
    </row>
    <row r="43">
      <c r="A43" t="inlineStr">
        <is>
          <t>CHICLAYO</t>
        </is>
      </c>
      <c r="B43" t="inlineStr">
        <is>
          <t>140101</t>
        </is>
      </c>
      <c r="C43" t="inlineStr">
        <is>
          <t>Distribución</t>
        </is>
      </c>
      <c r="D43" t="inlineStr">
        <is>
          <t>%</t>
        </is>
      </c>
      <c r="E43" s="11" t="n">
        <v>0.0476</v>
      </c>
      <c r="F43" s="16" t="n">
        <v>0.047619</v>
      </c>
    </row>
    <row r="44">
      <c r="A44" t="inlineStr">
        <is>
          <t>TRUJILLO</t>
        </is>
      </c>
      <c r="B44" t="inlineStr">
        <is>
          <t>130101</t>
        </is>
      </c>
      <c r="C44" t="inlineStr">
        <is>
          <t>Distribución</t>
        </is>
      </c>
      <c r="D44" t="inlineStr">
        <is>
          <t>%</t>
        </is>
      </c>
      <c r="E44" s="11" t="n">
        <v>0.0476</v>
      </c>
      <c r="F44" s="16" t="n">
        <v>0.047619</v>
      </c>
    </row>
    <row r="45">
      <c r="A45" t="inlineStr">
        <is>
          <t>HUANCAYO</t>
        </is>
      </c>
      <c r="B45" t="inlineStr">
        <is>
          <t>120101</t>
        </is>
      </c>
      <c r="C45" t="inlineStr">
        <is>
          <t>Distribución</t>
        </is>
      </c>
      <c r="D45" t="inlineStr">
        <is>
          <t>%</t>
        </is>
      </c>
      <c r="E45" s="11" t="n">
        <v>0.0476</v>
      </c>
      <c r="F45" s="16" t="n">
        <v>0.047619</v>
      </c>
    </row>
    <row r="46">
      <c r="A46" t="inlineStr">
        <is>
          <t>HUANUCO</t>
        </is>
      </c>
      <c r="B46" t="inlineStr">
        <is>
          <t>100101</t>
        </is>
      </c>
      <c r="C46" t="inlineStr">
        <is>
          <t>Distribución</t>
        </is>
      </c>
      <c r="D46" t="inlineStr">
        <is>
          <t>%</t>
        </is>
      </c>
      <c r="E46" s="11" t="n">
        <v>0.0476</v>
      </c>
      <c r="F46" s="16" t="n">
        <v>0.047619</v>
      </c>
    </row>
    <row r="47">
      <c r="A47" t="inlineStr">
        <is>
          <t>CUSCO</t>
        </is>
      </c>
      <c r="B47" t="inlineStr">
        <is>
          <t>080101</t>
        </is>
      </c>
      <c r="C47" t="inlineStr">
        <is>
          <t>Distribución</t>
        </is>
      </c>
      <c r="D47" t="inlineStr">
        <is>
          <t>%</t>
        </is>
      </c>
      <c r="E47" s="11" t="n">
        <v>0.0476</v>
      </c>
      <c r="F47" s="16" t="n">
        <v>0.047619</v>
      </c>
    </row>
    <row r="48">
      <c r="A48" t="inlineStr">
        <is>
          <t>CAJAMARCA</t>
        </is>
      </c>
      <c r="B48" t="inlineStr">
        <is>
          <t>060101</t>
        </is>
      </c>
      <c r="C48" t="inlineStr">
        <is>
          <t>Distribución</t>
        </is>
      </c>
      <c r="D48" t="inlineStr">
        <is>
          <t>%</t>
        </is>
      </c>
      <c r="E48" s="11" t="n">
        <v>0.0476</v>
      </c>
      <c r="F48" s="16" t="n">
        <v>0.047619</v>
      </c>
    </row>
    <row r="49">
      <c r="A49" t="inlineStr">
        <is>
          <t>YARINACOCHA</t>
        </is>
      </c>
      <c r="B49" t="inlineStr">
        <is>
          <t>250105</t>
        </is>
      </c>
      <c r="C49" t="inlineStr">
        <is>
          <t>Distribución</t>
        </is>
      </c>
      <c r="D49" t="inlineStr">
        <is>
          <t>%</t>
        </is>
      </c>
      <c r="E49" s="11" t="n">
        <v>0.0476</v>
      </c>
      <c r="F49" s="16" t="n">
        <v>0.047619</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1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Intursa — Distribución por distrito y exposición asignada</t>
        </is>
      </c>
    </row>
    <row r="2">
      <c r="A2" s="2" t="inlineStr">
        <is>
          <t>Distribución total: 1.00 %   ·   Exposición en cartera: S/ 0   ·   Asignación: tmf_share</t>
        </is>
      </c>
    </row>
    <row r="4">
      <c r="A4" s="3" t="inlineStr">
        <is>
          <t>Departamento</t>
        </is>
      </c>
      <c r="B4" s="3" t="inlineStr">
        <is>
          <t>Provincia</t>
        </is>
      </c>
      <c r="C4" s="3" t="inlineStr">
        <is>
          <t>Distrito</t>
        </is>
      </c>
      <c r="D4" s="3" t="inlineStr">
        <is>
          <t>Ubigeo</t>
        </is>
      </c>
      <c r="E4" s="3" t="inlineStr">
        <is>
          <t>Predios / locales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MIRAFLORES</t>
        </is>
      </c>
      <c r="D5" t="inlineStr">
        <is>
          <t>150122</t>
        </is>
      </c>
      <c r="E5" t="inlineStr">
        <is>
          <t>AC Hotel Lima Miraflores, Aloft Lima Miraflores</t>
        </is>
      </c>
      <c r="F5" s="11" t="n">
        <v>0.3267</v>
      </c>
      <c r="G5" s="6">
        <f>IF($F$10=0,0,F5/$F$10)</f>
        <v/>
      </c>
      <c r="H5" s="5" t="n">
        <v>0</v>
      </c>
      <c r="I5" t="n">
        <v>2</v>
      </c>
      <c r="J5" t="n">
        <v>4</v>
      </c>
      <c r="L5" s="5" t="n">
        <v>0</v>
      </c>
    </row>
    <row r="6">
      <c r="A6" t="inlineStr">
        <is>
          <t>ICA</t>
        </is>
      </c>
      <c r="B6" t="inlineStr">
        <is>
          <t>PISCO</t>
        </is>
      </c>
      <c r="C6" t="inlineStr">
        <is>
          <t>PARACAS</t>
        </is>
      </c>
      <c r="D6" t="inlineStr">
        <is>
          <t>110505</t>
        </is>
      </c>
      <c r="E6" t="inlineStr">
        <is>
          <t>Hotel Paracas, a Luxury Collection Resort,</t>
        </is>
      </c>
      <c r="F6" s="11" t="n">
        <v>0.29</v>
      </c>
      <c r="G6" s="6">
        <f>IF($F$10=0,0,F6/$F$10)</f>
        <v/>
      </c>
      <c r="H6" s="5" t="n">
        <v>0</v>
      </c>
      <c r="I6" t="n">
        <v>3</v>
      </c>
      <c r="J6" t="n">
        <v>4</v>
      </c>
      <c r="L6" s="5" t="n">
        <v>0</v>
      </c>
    </row>
    <row r="7">
      <c r="A7" t="inlineStr">
        <is>
          <t>LIMA</t>
        </is>
      </c>
      <c r="B7" t="inlineStr">
        <is>
          <t>LIMA</t>
        </is>
      </c>
      <c r="C7" t="inlineStr">
        <is>
          <t>LINCE</t>
        </is>
      </c>
      <c r="D7" t="inlineStr">
        <is>
          <t>150116</t>
        </is>
      </c>
      <c r="E7" t="inlineStr">
        <is>
          <t>The Westin Lima Hotel &amp; Convention Center</t>
        </is>
      </c>
      <c r="F7" s="11" t="n">
        <v>0.1633</v>
      </c>
      <c r="G7" s="6">
        <f>IF($F$10=0,0,F7/$F$10)</f>
        <v/>
      </c>
      <c r="H7" s="5" t="n">
        <v>0</v>
      </c>
      <c r="I7" t="n">
        <v>1</v>
      </c>
      <c r="J7" t="n">
        <v>4</v>
      </c>
      <c r="L7" s="5" t="n">
        <v>0</v>
      </c>
    </row>
    <row r="8">
      <c r="A8" t="inlineStr">
        <is>
          <t>CUSCO</t>
        </is>
      </c>
      <c r="B8" t="inlineStr">
        <is>
          <t>CUSCO</t>
        </is>
      </c>
      <c r="C8" t="inlineStr">
        <is>
          <t>CUSCO</t>
        </is>
      </c>
      <c r="D8" t="inlineStr">
        <is>
          <t>080101</t>
        </is>
      </c>
      <c r="E8" t="inlineStr">
        <is>
          <t>Palacio del Inka, a Luxury Collection Hotel, Cusco</t>
        </is>
      </c>
      <c r="F8" s="11" t="n">
        <v>0.11</v>
      </c>
      <c r="G8" s="6">
        <f>IF($F$10=0,0,F8/$F$10)</f>
        <v/>
      </c>
      <c r="H8" s="5" t="n">
        <v>0</v>
      </c>
      <c r="I8" t="n">
        <v>4</v>
      </c>
      <c r="J8" t="n">
        <v>2</v>
      </c>
      <c r="K8" t="n">
        <v>3</v>
      </c>
      <c r="L8" s="5" t="n">
        <v>0</v>
      </c>
    </row>
    <row r="9">
      <c r="A9" t="inlineStr">
        <is>
          <t>CUSCO</t>
        </is>
      </c>
      <c r="B9" t="inlineStr">
        <is>
          <t>URUBAMBA</t>
        </is>
      </c>
      <c r="C9" t="inlineStr">
        <is>
          <t>URUBAMBA</t>
        </is>
      </c>
      <c r="D9" t="inlineStr">
        <is>
          <t>081301</t>
        </is>
      </c>
      <c r="E9" t="inlineStr">
        <is>
          <t>Tambo del Inka, a Luxury Collection Resort &amp; Spa</t>
        </is>
      </c>
      <c r="F9" s="11" t="n">
        <v>0.11</v>
      </c>
      <c r="G9" s="6">
        <f>IF($F$10=0,0,F9/$F$10)</f>
        <v/>
      </c>
      <c r="H9" s="5" t="n">
        <v>0</v>
      </c>
      <c r="I9" t="n">
        <v>4</v>
      </c>
      <c r="J9" t="n">
        <v>2</v>
      </c>
      <c r="K9" t="n">
        <v>3</v>
      </c>
      <c r="L9" s="5" t="n">
        <v>0</v>
      </c>
    </row>
    <row r="10">
      <c r="A10" s="12" t="inlineStr">
        <is>
          <t>TOTAL</t>
        </is>
      </c>
      <c r="B10" t="inlineStr"/>
      <c r="C10" t="inlineStr"/>
      <c r="D10" t="inlineStr"/>
      <c r="E10" t="inlineStr"/>
      <c r="F10" s="13">
        <f>SUM(F5:F9)</f>
        <v/>
      </c>
      <c r="G10" t="inlineStr"/>
      <c r="H10" s="14">
        <f>SUM(H5:H9)</f>
        <v/>
      </c>
      <c r="I10" t="inlineStr"/>
      <c r="J10" t="inlineStr"/>
      <c r="K10" t="inlineStr"/>
      <c r="L10" s="14">
        <f>SUM(L5:L9)</f>
        <v/>
      </c>
    </row>
    <row r="13">
      <c r="A13" s="15" t="inlineStr">
        <is>
          <t>Detalle por ubicación (%)</t>
        </is>
      </c>
    </row>
    <row r="14">
      <c r="A14" s="3" t="inlineStr">
        <is>
          <t>Distrito</t>
        </is>
      </c>
      <c r="B14" s="3" t="inlineStr">
        <is>
          <t>Ubigeo</t>
        </is>
      </c>
      <c r="C14" s="3" t="inlineStr">
        <is>
          <t>Mineral</t>
        </is>
      </c>
      <c r="D14" s="3" t="inlineStr">
        <is>
          <t>Unidad</t>
        </is>
      </c>
      <c r="E14" s="3" t="inlineStr">
        <is>
          <t>Cantidad (orig.)</t>
        </is>
      </c>
      <c r="F14" s="3" t="inlineStr">
        <is>
          <t>TMF equiv.</t>
        </is>
      </c>
    </row>
    <row r="15">
      <c r="A15" t="inlineStr">
        <is>
          <t>MIRAFLORES</t>
        </is>
      </c>
      <c r="B15" t="inlineStr">
        <is>
          <t>150122</t>
        </is>
      </c>
      <c r="C15" t="inlineStr">
        <is>
          <t>Distribución</t>
        </is>
      </c>
      <c r="D15" t="inlineStr">
        <is>
          <t>%</t>
        </is>
      </c>
      <c r="E15" s="11" t="n">
        <v>0.3267</v>
      </c>
      <c r="F15" s="16" t="n">
        <v>0.326667</v>
      </c>
    </row>
    <row r="16">
      <c r="A16" t="inlineStr">
        <is>
          <t>PARACAS</t>
        </is>
      </c>
      <c r="B16" t="inlineStr">
        <is>
          <t>110505</t>
        </is>
      </c>
      <c r="C16" t="inlineStr">
        <is>
          <t>Distribución</t>
        </is>
      </c>
      <c r="D16" t="inlineStr">
        <is>
          <t>%</t>
        </is>
      </c>
      <c r="E16" s="11" t="n">
        <v>0.29</v>
      </c>
      <c r="F16" s="16" t="n">
        <v>0.29</v>
      </c>
    </row>
    <row r="17">
      <c r="A17" t="inlineStr">
        <is>
          <t>LINCE</t>
        </is>
      </c>
      <c r="B17" t="inlineStr">
        <is>
          <t>150116</t>
        </is>
      </c>
      <c r="C17" t="inlineStr">
        <is>
          <t>Distribución</t>
        </is>
      </c>
      <c r="D17" t="inlineStr">
        <is>
          <t>%</t>
        </is>
      </c>
      <c r="E17" s="11" t="n">
        <v>0.1633</v>
      </c>
      <c r="F17" s="16" t="n">
        <v>0.163333</v>
      </c>
    </row>
    <row r="18">
      <c r="A18" t="inlineStr">
        <is>
          <t>CUSCO</t>
        </is>
      </c>
      <c r="B18" t="inlineStr">
        <is>
          <t>080101</t>
        </is>
      </c>
      <c r="C18" t="inlineStr">
        <is>
          <t>Distribución</t>
        </is>
      </c>
      <c r="D18" t="inlineStr">
        <is>
          <t>%</t>
        </is>
      </c>
      <c r="E18" s="11" t="n">
        <v>0.11</v>
      </c>
      <c r="F18" s="16" t="n">
        <v>0.11</v>
      </c>
    </row>
    <row r="19">
      <c r="A19" t="inlineStr">
        <is>
          <t>URUBAMBA</t>
        </is>
      </c>
      <c r="B19" t="inlineStr">
        <is>
          <t>081301</t>
        </is>
      </c>
      <c r="C19" t="inlineStr">
        <is>
          <t>Distribución</t>
        </is>
      </c>
      <c r="D19" t="inlineStr">
        <is>
          <t>%</t>
        </is>
      </c>
      <c r="E19" s="11" t="n">
        <v>0.11</v>
      </c>
      <c r="F19" s="16" t="n">
        <v>0.11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1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Jockey Plaza — Distribución por distrito y exposición asignada</t>
        </is>
      </c>
    </row>
    <row r="2">
      <c r="A2" s="2" t="inlineStr">
        <is>
          <t>Distribución total: 1.00 %   ·   Exposición en cartera: S/ 57,157,116   ·   Asignación: tmf_share</t>
        </is>
      </c>
    </row>
    <row r="4">
      <c r="A4" s="3" t="inlineStr">
        <is>
          <t>Departamento</t>
        </is>
      </c>
      <c r="B4" s="3" t="inlineStr">
        <is>
          <t>Provincia</t>
        </is>
      </c>
      <c r="C4" s="3" t="inlineStr">
        <is>
          <t>Distrito</t>
        </is>
      </c>
      <c r="D4" s="3" t="inlineStr">
        <is>
          <t>Ubigeo</t>
        </is>
      </c>
      <c r="E4" s="3" t="inlineStr">
        <is>
          <t>Predios / locales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SANTIAGO DE SURCO</t>
        </is>
      </c>
      <c r="D5" t="inlineStr">
        <is>
          <t>150140</t>
        </is>
      </c>
      <c r="E5" t="inlineStr">
        <is>
          <t>150140</t>
        </is>
      </c>
      <c r="F5" s="11" t="n">
        <v>0.5</v>
      </c>
      <c r="G5" s="6">
        <f>IF($F$7=0,0,F5/$F$7)</f>
        <v/>
      </c>
      <c r="H5" s="5" t="n">
        <v>28578557.87</v>
      </c>
      <c r="I5" t="n">
        <v>1</v>
      </c>
      <c r="J5" t="n">
        <v>3</v>
      </c>
      <c r="L5" s="5" t="n">
        <v>57157115.75</v>
      </c>
    </row>
    <row r="6">
      <c r="A6" t="inlineStr">
        <is>
          <t>LIMA</t>
        </is>
      </c>
      <c r="B6" t="inlineStr">
        <is>
          <t>CAÑETE</t>
        </is>
      </c>
      <c r="C6" t="inlineStr">
        <is>
          <t>ASIA</t>
        </is>
      </c>
      <c r="D6" t="inlineStr">
        <is>
          <t>150502</t>
        </is>
      </c>
      <c r="E6" t="inlineStr">
        <is>
          <t>Asia</t>
        </is>
      </c>
      <c r="F6" s="11" t="n">
        <v>0.5</v>
      </c>
      <c r="G6" s="6">
        <f>IF($F$7=0,0,F6/$F$7)</f>
        <v/>
      </c>
      <c r="H6" s="5" t="n">
        <v>28578557.87</v>
      </c>
      <c r="I6" t="n">
        <v>3</v>
      </c>
      <c r="J6" t="n">
        <v>3</v>
      </c>
      <c r="L6" s="5" t="n">
        <v>85735673.62</v>
      </c>
    </row>
    <row r="7">
      <c r="A7" s="12" t="inlineStr">
        <is>
          <t>TOTAL</t>
        </is>
      </c>
      <c r="B7" t="inlineStr"/>
      <c r="C7" t="inlineStr"/>
      <c r="D7" t="inlineStr"/>
      <c r="E7" t="inlineStr"/>
      <c r="F7" s="13">
        <f>SUM(F5:F6)</f>
        <v/>
      </c>
      <c r="G7" t="inlineStr"/>
      <c r="H7" s="14">
        <f>SUM(H5:H6)</f>
        <v/>
      </c>
      <c r="I7" t="inlineStr"/>
      <c r="J7" t="inlineStr"/>
      <c r="K7" t="inlineStr"/>
      <c r="L7" s="14">
        <f>SUM(L5:L6)</f>
        <v/>
      </c>
    </row>
    <row r="10">
      <c r="A10" s="15" t="inlineStr">
        <is>
          <t>Detalle por ubicación (%)</t>
        </is>
      </c>
    </row>
    <row r="11">
      <c r="A11" s="3" t="inlineStr">
        <is>
          <t>Distrito</t>
        </is>
      </c>
      <c r="B11" s="3" t="inlineStr">
        <is>
          <t>Ubigeo</t>
        </is>
      </c>
      <c r="C11" s="3" t="inlineStr">
        <is>
          <t>Mineral</t>
        </is>
      </c>
      <c r="D11" s="3" t="inlineStr">
        <is>
          <t>Unidad</t>
        </is>
      </c>
      <c r="E11" s="3" t="inlineStr">
        <is>
          <t>Cantidad (orig.)</t>
        </is>
      </c>
      <c r="F11" s="3" t="inlineStr">
        <is>
          <t>TMF equiv.</t>
        </is>
      </c>
    </row>
    <row r="12">
      <c r="A12" t="inlineStr">
        <is>
          <t>SANTIAGO DE SURCO</t>
        </is>
      </c>
      <c r="B12" t="inlineStr">
        <is>
          <t>150140</t>
        </is>
      </c>
      <c r="C12" t="inlineStr">
        <is>
          <t>Distribución</t>
        </is>
      </c>
      <c r="D12" t="inlineStr">
        <is>
          <t>%</t>
        </is>
      </c>
      <c r="E12" s="11" t="n">
        <v>0.5</v>
      </c>
      <c r="F12" s="16" t="n">
        <v>0.5</v>
      </c>
    </row>
    <row r="13">
      <c r="A13" t="inlineStr">
        <is>
          <t>ASIA</t>
        </is>
      </c>
      <c r="B13" t="inlineStr">
        <is>
          <t>150502</t>
        </is>
      </c>
      <c r="C13" t="inlineStr">
        <is>
          <t>Distribución</t>
        </is>
      </c>
      <c r="D13" t="inlineStr">
        <is>
          <t>%</t>
        </is>
      </c>
      <c r="E13" s="11" t="n">
        <v>0.5</v>
      </c>
      <c r="F13" s="16" t="n">
        <v>0.5</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16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Primax — Distribución por distrito y exposición asignada</t>
        </is>
      </c>
    </row>
    <row r="2">
      <c r="A2" s="2" t="inlineStr">
        <is>
          <t>Distribución total: 0.99 %   ·   Exposición en cartera: S/ 51,254,539   ·   Asignación: tmf_share</t>
        </is>
      </c>
    </row>
    <row r="4">
      <c r="A4" s="3" t="inlineStr">
        <is>
          <t>Departamento</t>
        </is>
      </c>
      <c r="B4" s="3" t="inlineStr">
        <is>
          <t>Provincia</t>
        </is>
      </c>
      <c r="C4" s="3" t="inlineStr">
        <is>
          <t>Distrito</t>
        </is>
      </c>
      <c r="D4" s="3" t="inlineStr">
        <is>
          <t>Ubigeo</t>
        </is>
      </c>
      <c r="E4" s="3" t="inlineStr">
        <is>
          <t>Predios / locales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LA LIBERTAD</t>
        </is>
      </c>
      <c r="B5" t="inlineStr">
        <is>
          <t>TRUJILLO</t>
        </is>
      </c>
      <c r="C5" t="inlineStr">
        <is>
          <t>TRUJILLO</t>
        </is>
      </c>
      <c r="D5" t="inlineStr">
        <is>
          <t>130101</t>
        </is>
      </c>
      <c r="E5" t="inlineStr">
        <is>
          <t>Av España con Jr. Minería, Av Larco 1132 (Av. Felipe Santiago Salaverry 100), Av. 2 de Mayo 1050, Av. America Norte 1085 Urb. Los Jardines, Av. América Norte 1902 con Av. Túpac Amaru 805 Urb.Primavera, Av. América Sur 2685 B, Av. España 2625 con Av. 28 De Julio, Av. Federico Villareal 1001- 1005, Av. Prolongación Unión 1914, Carretera Panamericana Norte Km.556 Moche, Jr. Unión 515</t>
        </is>
      </c>
      <c r="F5" s="11" t="n">
        <v>0.0507</v>
      </c>
      <c r="G5" s="6">
        <f>IF($F$85=0,0,F5/$F$85)</f>
        <v/>
      </c>
      <c r="H5" s="5" t="n">
        <v>2622325.26</v>
      </c>
      <c r="I5" t="n">
        <v>1</v>
      </c>
      <c r="J5" t="n">
        <v>5</v>
      </c>
      <c r="L5" s="5" t="n">
        <v>7866975.78</v>
      </c>
    </row>
    <row r="6">
      <c r="A6" t="inlineStr">
        <is>
          <t>PIURA</t>
        </is>
      </c>
      <c r="B6" t="inlineStr">
        <is>
          <t>PIURA</t>
        </is>
      </c>
      <c r="C6" t="inlineStr">
        <is>
          <t>PIURA</t>
        </is>
      </c>
      <c r="D6" t="inlineStr">
        <is>
          <t>200101</t>
        </is>
      </c>
      <c r="E6" t="inlineStr">
        <is>
          <t>Av. Andres A. Cáceres/Ramón Mujica, Av. Loreto 779, Av. Panamericana Mz. 251 Lt S/N Zona Ind. Piura, Av. Progreso 3062 Sublote 01 Chiclayito, Av. Sanchez Cerro 1120 con Av. Sullana, Av. Sanchez Cerro 248, Mz.A Lote 1, Av.Grau 1308, Carretera Ejidos del Norte S/N, Fundo Ejidos Piura, Carretera Interoceánica Piura-Paita Km. 4 Predio Coscomba, Sector Coscomba. Asociación Santa Lucía, Carretera Panamericana Norte Km. 2 Mz. A Lote A 1 – Sector Parcela “J” Zona Industrial, Lotes 15, 16, 17 Y 18 Mz. N, Urb. Los Jardines De Corpiura</t>
        </is>
      </c>
      <c r="F6" s="11" t="n">
        <v>0.0507</v>
      </c>
      <c r="G6" s="6">
        <f>IF($F$85=0,0,F6/$F$85)</f>
        <v/>
      </c>
      <c r="H6" s="5" t="n">
        <v>2622325.26</v>
      </c>
      <c r="I6" t="n">
        <v>1</v>
      </c>
      <c r="J6" t="n">
        <v>5</v>
      </c>
      <c r="L6" s="5" t="n">
        <v>7866975.78</v>
      </c>
    </row>
    <row r="7">
      <c r="A7" t="inlineStr">
        <is>
          <t>LIMA</t>
        </is>
      </c>
      <c r="B7" t="inlineStr">
        <is>
          <t>LIMA</t>
        </is>
      </c>
      <c r="C7" t="inlineStr">
        <is>
          <t>SANTIAGO DE SURCO</t>
        </is>
      </c>
      <c r="D7" t="inlineStr">
        <is>
          <t>150140</t>
        </is>
      </c>
      <c r="E7" t="inlineStr">
        <is>
          <t>Av. Camino Del Inca 2017, Av. Circunvalacion 377, Urb. San ignacio de Loyola, Av. Javier Prado S/N Hipódromo, Urb. Monterrico, Surco, Av. Jorge Chavez 877, Av. Mariscal Castilla 905, Av. Primavera 1159 Urb. Valle Hermoso, Av. Thomas Marsano 5010, Av. Tomas Marsano con Av. Surco, Jr.Batalla de San Juan 112 Mz. 14 lote 5, Urb.Santa Teresa de las Gardenias</t>
        </is>
      </c>
      <c r="F7" s="11" t="n">
        <v>0.0415</v>
      </c>
      <c r="G7" s="6">
        <f>IF($F$85=0,0,F7/$F$85)</f>
        <v/>
      </c>
      <c r="H7" s="5" t="n">
        <v>2145538.85</v>
      </c>
      <c r="I7" t="n">
        <v>1</v>
      </c>
      <c r="J7" t="n">
        <v>3</v>
      </c>
      <c r="L7" s="5" t="n">
        <v>4291077.7</v>
      </c>
    </row>
    <row r="8">
      <c r="A8" t="inlineStr">
        <is>
          <t>CALLAO</t>
        </is>
      </c>
      <c r="B8" t="inlineStr">
        <is>
          <t>CALLAO</t>
        </is>
      </c>
      <c r="C8" t="inlineStr">
        <is>
          <t>CALLAO</t>
        </is>
      </c>
      <c r="D8" t="inlineStr">
        <is>
          <t>070101</t>
        </is>
      </c>
      <c r="E8" t="inlineStr">
        <is>
          <t>Av. Argentina 4247, Av. La Paz cdra 23 con Calle Huamachuco, Av. Nestor Gambetta con Cl. 1 MzA Lotes 1 y 2 Prog. de Vivienda Acuario, Av. Quilca S/N con Calle 10 Urb. San Alfonso, Carretera Callao-Ventanilla Km. 8 Parcela A, Carretera a Ventanilla Km. 8.5, Av. Nestor Gambetta con Av. Los Alisos Mz. A Lotes 06 y 07, Cl. Alberto Secada S/N con Av. Marco Polo, Mz. D Lote 1 Urb. Progresiva Las Orquideas II Etapa</t>
        </is>
      </c>
      <c r="F8" s="11" t="n">
        <v>0.0369</v>
      </c>
      <c r="G8" s="6">
        <f>IF($F$85=0,0,F8/$F$85)</f>
        <v/>
      </c>
      <c r="H8" s="5" t="n">
        <v>1907145.64</v>
      </c>
      <c r="I8" t="n">
        <v>1</v>
      </c>
      <c r="J8" t="n">
        <v>5</v>
      </c>
      <c r="L8" s="5" t="n">
        <v>5721436.93</v>
      </c>
    </row>
    <row r="9">
      <c r="A9" t="inlineStr">
        <is>
          <t>LIMA</t>
        </is>
      </c>
      <c r="B9" t="inlineStr">
        <is>
          <t>LIMA</t>
        </is>
      </c>
      <c r="C9" t="inlineStr">
        <is>
          <t>SAN MIGUEL</t>
        </is>
      </c>
      <c r="D9" t="inlineStr">
        <is>
          <t>150136</t>
        </is>
      </c>
      <c r="E9" t="inlineStr">
        <is>
          <t>Av. Elmer Faucett 384, Av. La Marina 2001 Urb. Pando, Av. La Marina 3112 Urb. Maranga, Av. La Marina con Av. Riva Agüero, Av. La Paz 1200, Urb. Miramar, Av. La Paz 925 con Calle Inclán, Av. La Paz con Cl. Gran Marsical Agustin Gamarra, Cl. Rafael Escardó 250, Urb. Maranga</t>
        </is>
      </c>
      <c r="F9" s="11" t="n">
        <v>0.0369</v>
      </c>
      <c r="G9" s="6">
        <f>IF($F$85=0,0,F9/$F$85)</f>
        <v/>
      </c>
      <c r="H9" s="5" t="n">
        <v>1907145.64</v>
      </c>
      <c r="I9" t="n">
        <v>1</v>
      </c>
      <c r="J9" t="n">
        <v>4</v>
      </c>
      <c r="L9" s="5" t="n">
        <v>4767864.11</v>
      </c>
    </row>
    <row r="10">
      <c r="A10" t="inlineStr">
        <is>
          <t>AREQUIPA</t>
        </is>
      </c>
      <c r="B10" t="inlineStr">
        <is>
          <t>AREQUIPA</t>
        </is>
      </c>
      <c r="C10" t="inlineStr">
        <is>
          <t>CERRO COLORADO</t>
        </is>
      </c>
      <c r="D10" t="inlineStr">
        <is>
          <t>040104</t>
        </is>
      </c>
      <c r="E10" t="inlineStr">
        <is>
          <t>Av. Aviación Km. 6.5, Carretera A Yura Km. 11 Urb. Héroes De Breña, Carretera Arequipa Yura Km 11 Asoc. Centro Industrial Las Canteras Mz. A Lt.1, Carretera Arequipa-Yura Cusco KM 25, Centro Poblado Semi Rural Pachacútec. Grupo Zonal N° 24 Y 25. Mz 14, Lote 1, Zona H, Variante de Uchumayo Km. 3, Variante de Uchumayo Km. 5, Vía de Evitamiento Km. 6 Irrigación Zamacola Zona G</t>
        </is>
      </c>
      <c r="F10" s="11" t="n">
        <v>0.0369</v>
      </c>
      <c r="G10" s="6">
        <f>IF($F$85=0,0,F10/$F$85)</f>
        <v/>
      </c>
      <c r="H10" s="5" t="n">
        <v>1907145.64</v>
      </c>
      <c r="I10" t="n">
        <v>4</v>
      </c>
      <c r="J10" t="n">
        <v>4</v>
      </c>
      <c r="K10" t="n">
        <v>2</v>
      </c>
      <c r="L10" s="5" t="n">
        <v>6357152.15</v>
      </c>
    </row>
    <row r="11">
      <c r="A11" t="inlineStr">
        <is>
          <t>LIMA</t>
        </is>
      </c>
      <c r="B11" t="inlineStr">
        <is>
          <t>LIMA</t>
        </is>
      </c>
      <c r="C11" t="inlineStr">
        <is>
          <t>MIRAFLORES</t>
        </is>
      </c>
      <c r="D11" t="inlineStr">
        <is>
          <t>150122</t>
        </is>
      </c>
      <c r="E11" t="inlineStr">
        <is>
          <t>Av. Armendáriz 575 con Av. La Paz, Av. Benavides 2116 con Cl. Ciro Alegria, Av. Del Ejército 412 con Cl. Tovar, Av. Mariscal. Andres A. Cáceres 110, Av. Paseo De La República 5789, Av. Paseo de la República 5545, Calle A. Schereiber 124 con Calle Sabogal, Urb. Aurora</t>
        </is>
      </c>
      <c r="F11" s="11" t="n">
        <v>0.0323</v>
      </c>
      <c r="G11" s="6">
        <f>IF($F$85=0,0,F11/$F$85)</f>
        <v/>
      </c>
      <c r="H11" s="5" t="n">
        <v>1668752.44</v>
      </c>
      <c r="I11" t="n">
        <v>2</v>
      </c>
      <c r="J11" t="n">
        <v>4</v>
      </c>
      <c r="L11" s="5" t="n">
        <v>5006257.31</v>
      </c>
    </row>
    <row r="12">
      <c r="A12" t="inlineStr">
        <is>
          <t>LIMA</t>
        </is>
      </c>
      <c r="B12" t="inlineStr">
        <is>
          <t>LIMA</t>
        </is>
      </c>
      <c r="C12" t="inlineStr">
        <is>
          <t>LA VICTORIA</t>
        </is>
      </c>
      <c r="D12" t="inlineStr">
        <is>
          <t>150115</t>
        </is>
      </c>
      <c r="E12" t="inlineStr">
        <is>
          <t>Av. 28 De Julio 2200, Av. Aviación S/N (Cuadra 15), Av. Aviación con Av. Nicolas Arriola, Av. Canadá Cdra. 11 con Cl. Alzamora, Urb. Santa Catalina, Av. Isabel La Catolica 077-083, Av. Javier Prado 1059, Av. Nicolas Arriola 740, Av. Nicolás Arriola 295</t>
        </is>
      </c>
      <c r="F12" s="11" t="n">
        <v>0.0323</v>
      </c>
      <c r="G12" s="6">
        <f>IF($F$85=0,0,F12/$F$85)</f>
        <v/>
      </c>
      <c r="H12" s="5" t="n">
        <v>1668752.44</v>
      </c>
      <c r="I12" t="n">
        <v>1</v>
      </c>
      <c r="J12" t="n">
        <v>3</v>
      </c>
      <c r="L12" s="5" t="n">
        <v>3337504.88</v>
      </c>
    </row>
    <row r="13">
      <c r="A13" t="inlineStr">
        <is>
          <t>LAMBAYEQUE</t>
        </is>
      </c>
      <c r="B13" t="inlineStr">
        <is>
          <t>CHICLAYO</t>
        </is>
      </c>
      <c r="C13" t="inlineStr">
        <is>
          <t>CHICLAYO</t>
        </is>
      </c>
      <c r="D13" t="inlineStr">
        <is>
          <t>140101</t>
        </is>
      </c>
      <c r="E13" t="inlineStr">
        <is>
          <t>Av. Grau con Bolognesi S/N, Av. José Balta 012 Y Calle Casuarinas 120, Av. Juan Tomis Stack 205, Av. Luis Heysen Con Av. Prolongación Francisco Bolognesi, Sector Cerropon, Carretera Panamericana Km. 779, Cruce Vía De Evitamiento y Prolongación Av. Bolognesi</t>
        </is>
      </c>
      <c r="F13" s="11" t="n">
        <v>0.0276</v>
      </c>
      <c r="G13" s="6">
        <f>IF($F$85=0,0,F13/$F$85)</f>
        <v/>
      </c>
      <c r="H13" s="5" t="n">
        <v>1430359.23</v>
      </c>
      <c r="I13" t="n">
        <v>1</v>
      </c>
      <c r="J13" t="n">
        <v>4</v>
      </c>
      <c r="L13" s="5" t="n">
        <v>3575898.08</v>
      </c>
    </row>
    <row r="14">
      <c r="A14" t="inlineStr">
        <is>
          <t>LIMA</t>
        </is>
      </c>
      <c r="B14" t="inlineStr">
        <is>
          <t>LIMA</t>
        </is>
      </c>
      <c r="C14" t="inlineStr">
        <is>
          <t>LIMA</t>
        </is>
      </c>
      <c r="D14" t="inlineStr">
        <is>
          <t>150101</t>
        </is>
      </c>
      <c r="E14" t="inlineStr">
        <is>
          <t>Av. Argentina 1815, Av. Colonial 871, Av. Grau 1308 con Jr. Huanuco 1101, Av. Mariscal Oscar R. Benavides 1380, Av. Mariscal Oscar R. Benavides 300, Av. Tingo María 1190</t>
        </is>
      </c>
      <c r="F14" s="11" t="n">
        <v>0.0276</v>
      </c>
      <c r="G14" s="6">
        <f>IF($F$85=0,0,F14/$F$85)</f>
        <v/>
      </c>
      <c r="H14" s="5" t="n">
        <v>1430359.23</v>
      </c>
      <c r="I14" t="n">
        <v>2</v>
      </c>
      <c r="J14" t="n">
        <v>4</v>
      </c>
      <c r="L14" s="5" t="n">
        <v>4291077.7</v>
      </c>
    </row>
    <row r="15">
      <c r="A15" t="inlineStr">
        <is>
          <t>LIMA</t>
        </is>
      </c>
      <c r="B15" t="inlineStr">
        <is>
          <t>LIMA</t>
        </is>
      </c>
      <c r="C15" t="inlineStr">
        <is>
          <t>SAN JUAN DE LURIGANCHO</t>
        </is>
      </c>
      <c r="D15" t="inlineStr">
        <is>
          <t>150132</t>
        </is>
      </c>
      <c r="E15" t="inlineStr">
        <is>
          <t>Av. Lurigancho S/N con Cl. Las Gaviotas, Av. Próceres De La Independencia Mz.K1 Lotes 33-34-35 Urb. San Carlos, Av. Próceres de la Independencia 701, Av. Próceres de la Independencia con Cl. El Bosque, cdra.33 Urb. Canto Grande Mza. B Lt. 06, Malecón Checa Cdra. 1 con Próceres de la Independencia</t>
        </is>
      </c>
      <c r="F15" s="11" t="n">
        <v>0.023</v>
      </c>
      <c r="G15" s="6">
        <f>IF($F$85=0,0,F15/$F$85)</f>
        <v/>
      </c>
      <c r="H15" s="5" t="n">
        <v>1191966.03</v>
      </c>
      <c r="I15" t="n">
        <v>5</v>
      </c>
      <c r="J15" t="n">
        <v>2</v>
      </c>
      <c r="L15" s="5" t="n">
        <v>4171881.1</v>
      </c>
    </row>
    <row r="16">
      <c r="A16" t="inlineStr">
        <is>
          <t>LIMA</t>
        </is>
      </c>
      <c r="B16" t="inlineStr">
        <is>
          <t>LIMA</t>
        </is>
      </c>
      <c r="C16" t="inlineStr">
        <is>
          <t>MAGDALENA DEL MAR</t>
        </is>
      </c>
      <c r="D16" t="inlineStr">
        <is>
          <t>150120</t>
        </is>
      </c>
      <c r="E16" t="inlineStr">
        <is>
          <t>Av. Augusto Perez Aranibar con Av. Salaverry, Av. Del Ejército 101 (Cruce Cn La Brasil), Av. Del Ejército con Cl. Gabriel Cossio 965, Av. Javier Prado Oeste 2504, Jr. Salaverry 478-480</t>
        </is>
      </c>
      <c r="F16" s="11" t="n">
        <v>0.023</v>
      </c>
      <c r="G16" s="6">
        <f>IF($F$85=0,0,F16/$F$85)</f>
        <v/>
      </c>
      <c r="H16" s="5" t="n">
        <v>1191966.03</v>
      </c>
      <c r="I16" t="n">
        <v>2</v>
      </c>
      <c r="J16" t="n">
        <v>4</v>
      </c>
      <c r="L16" s="5" t="n">
        <v>3575898.08</v>
      </c>
    </row>
    <row r="17">
      <c r="A17" t="inlineStr">
        <is>
          <t>LIMA</t>
        </is>
      </c>
      <c r="B17" t="inlineStr">
        <is>
          <t>LIMA</t>
        </is>
      </c>
      <c r="C17" t="inlineStr">
        <is>
          <t>LA MOLINA</t>
        </is>
      </c>
      <c r="D17" t="inlineStr">
        <is>
          <t>150114</t>
        </is>
      </c>
      <c r="E17" t="inlineStr">
        <is>
          <t>Av. Alameda Del Corregidor 1195, Av. La Molina 580, Av. La Universidad 1275, Av. Los Frutales 968, Av. Prolongación Javier Prado Este 610</t>
        </is>
      </c>
      <c r="F17" s="11" t="n">
        <v>0.023</v>
      </c>
      <c r="G17" s="6">
        <f>IF($F$85=0,0,F17/$F$85)</f>
        <v/>
      </c>
      <c r="H17" s="5" t="n">
        <v>1191966.03</v>
      </c>
      <c r="I17" t="n">
        <v>4</v>
      </c>
      <c r="J17" t="n">
        <v>3</v>
      </c>
      <c r="L17" s="5" t="n">
        <v>4171881.1</v>
      </c>
    </row>
    <row r="18">
      <c r="A18" t="inlineStr">
        <is>
          <t>AREQUIPA</t>
        </is>
      </c>
      <c r="B18" t="inlineStr">
        <is>
          <t>AREQUIPA</t>
        </is>
      </c>
      <c r="C18" t="inlineStr">
        <is>
          <t>AREQUIPA</t>
        </is>
      </c>
      <c r="D18" t="inlineStr">
        <is>
          <t>040101</t>
        </is>
      </c>
      <c r="E18" t="inlineStr">
        <is>
          <t>Av. Parra 222, Av. Salaverry 608-610, Urb. Vallecito, Av. Venezuela 2200, Av. Venezuela 2515 Parque Industrial</t>
        </is>
      </c>
      <c r="F18" s="11" t="n">
        <v>0.0184</v>
      </c>
      <c r="G18" s="6">
        <f>IF($F$85=0,0,F18/$F$85)</f>
        <v/>
      </c>
      <c r="H18" s="5" t="n">
        <v>953572.8199999999</v>
      </c>
      <c r="I18" t="n">
        <v>2</v>
      </c>
      <c r="J18" t="n">
        <v>5</v>
      </c>
      <c r="L18" s="5" t="n">
        <v>3337504.88</v>
      </c>
    </row>
    <row r="19">
      <c r="A19" t="inlineStr">
        <is>
          <t>LIMA</t>
        </is>
      </c>
      <c r="B19" t="inlineStr">
        <is>
          <t>LIMA</t>
        </is>
      </c>
      <c r="C19" t="inlineStr">
        <is>
          <t>SAN ISIDRO</t>
        </is>
      </c>
      <c r="D19" t="inlineStr">
        <is>
          <t>150131</t>
        </is>
      </c>
      <c r="E19" t="inlineStr">
        <is>
          <t>Av. Aramburu con República De Panama 3690, Av. Arequipa 3325, Av. Javier Prado Oeste 1895, Av. Paseo De La República 3890</t>
        </is>
      </c>
      <c r="F19" s="11" t="n">
        <v>0.0184</v>
      </c>
      <c r="G19" s="6">
        <f>IF($F$85=0,0,F19/$F$85)</f>
        <v/>
      </c>
      <c r="H19" s="5" t="n">
        <v>953572.8199999999</v>
      </c>
      <c r="I19" t="n">
        <v>1</v>
      </c>
      <c r="J19" t="n">
        <v>4</v>
      </c>
      <c r="L19" s="5" t="n">
        <v>2383932.05</v>
      </c>
    </row>
    <row r="20">
      <c r="A20" t="inlineStr">
        <is>
          <t>LIMA</t>
        </is>
      </c>
      <c r="B20" t="inlineStr">
        <is>
          <t>LIMA</t>
        </is>
      </c>
      <c r="C20" t="inlineStr">
        <is>
          <t>CHORRILLOS</t>
        </is>
      </c>
      <c r="D20" t="inlineStr">
        <is>
          <t>150108</t>
        </is>
      </c>
      <c r="E20" t="inlineStr">
        <is>
          <t>Av. Camino Del Inca 110 - 134 Urb. San Juan Bautista, Av. Defensores Del Morro 360, Av. Guardia Civil 333 Urb. La Campiña, Jr Huaylas 1391, Urb. El Morro</t>
        </is>
      </c>
      <c r="F20" s="11" t="n">
        <v>0.0184</v>
      </c>
      <c r="G20" s="6">
        <f>IF($F$85=0,0,F20/$F$85)</f>
        <v/>
      </c>
      <c r="H20" s="5" t="n">
        <v>953572.8199999999</v>
      </c>
      <c r="I20" t="n">
        <v>2</v>
      </c>
      <c r="J20" t="n">
        <v>4</v>
      </c>
      <c r="L20" s="5" t="n">
        <v>2860718.47</v>
      </c>
    </row>
    <row r="21">
      <c r="A21" t="inlineStr">
        <is>
          <t>LIMA</t>
        </is>
      </c>
      <c r="B21" t="inlineStr">
        <is>
          <t>LIMA</t>
        </is>
      </c>
      <c r="C21" t="inlineStr">
        <is>
          <t>SAN BORJA</t>
        </is>
      </c>
      <c r="D21" t="inlineStr">
        <is>
          <t>150130</t>
        </is>
      </c>
      <c r="E21" t="inlineStr">
        <is>
          <t>Av. José Gálvez Barrenechea 1105, Urb. Corpac, Av. San Luis 2480, Av. San Luis con Av. San Borja Sur, Av.Javier Prado Este con Av. Agustin de la Rosa Toro</t>
        </is>
      </c>
      <c r="F21" s="11" t="n">
        <v>0.0184</v>
      </c>
      <c r="G21" s="6">
        <f>IF($F$85=0,0,F21/$F$85)</f>
        <v/>
      </c>
      <c r="H21" s="5" t="n">
        <v>953572.8199999999</v>
      </c>
      <c r="I21" t="n">
        <v>1</v>
      </c>
      <c r="J21" t="n">
        <v>2</v>
      </c>
      <c r="L21" s="5" t="n">
        <v>1430359.23</v>
      </c>
    </row>
    <row r="22">
      <c r="A22" t="inlineStr">
        <is>
          <t>AREQUIPA</t>
        </is>
      </c>
      <c r="B22" t="inlineStr">
        <is>
          <t>AREQUIPA</t>
        </is>
      </c>
      <c r="C22" t="inlineStr">
        <is>
          <t>LA JOYA</t>
        </is>
      </c>
      <c r="D22" t="inlineStr">
        <is>
          <t>040108</t>
        </is>
      </c>
      <c r="E22" t="inlineStr">
        <is>
          <t>Carretera Arequipa - Camana Km 48, AA.HH. Progreso, Carretera Panamericana Sur Km. 957.8 cruce La Joya, Carretera Panamericana Sur Km. 983, PJ Progreso, Km. 48, Mz. VI, Lotes. 1, 2, 3, 4, y 5</t>
        </is>
      </c>
      <c r="F22" s="11" t="n">
        <v>0.0184</v>
      </c>
      <c r="G22" s="6">
        <f>IF($F$85=0,0,F22/$F$85)</f>
        <v/>
      </c>
      <c r="H22" s="5" t="n">
        <v>953572.8199999999</v>
      </c>
      <c r="I22" t="n">
        <v>4</v>
      </c>
      <c r="J22" t="n">
        <v>4</v>
      </c>
      <c r="L22" s="5" t="n">
        <v>3814291.29</v>
      </c>
    </row>
    <row r="23">
      <c r="A23" t="inlineStr">
        <is>
          <t>LIMA</t>
        </is>
      </c>
      <c r="B23" t="inlineStr">
        <is>
          <t>LIMA</t>
        </is>
      </c>
      <c r="C23" t="inlineStr">
        <is>
          <t>ATE</t>
        </is>
      </c>
      <c r="D23" t="inlineStr">
        <is>
          <t>150103</t>
        </is>
      </c>
      <c r="E23" t="inlineStr">
        <is>
          <t>Av. Nicolas Ayllon 2570, Av. Nicolás Ayllón 2162, Carretera Central Km.16</t>
        </is>
      </c>
      <c r="F23" s="11" t="n">
        <v>0.0138</v>
      </c>
      <c r="G23" s="6">
        <f>IF($F$85=0,0,F23/$F$85)</f>
        <v/>
      </c>
      <c r="H23" s="5" t="n">
        <v>715179.62</v>
      </c>
      <c r="I23" t="n">
        <v>4</v>
      </c>
      <c r="J23" t="n">
        <v>3</v>
      </c>
      <c r="L23" s="5" t="n">
        <v>2503128.66</v>
      </c>
    </row>
    <row r="24">
      <c r="A24" t="inlineStr">
        <is>
          <t>LIMA</t>
        </is>
      </c>
      <c r="B24" t="inlineStr">
        <is>
          <t>CAÑETE</t>
        </is>
      </c>
      <c r="C24" t="inlineStr">
        <is>
          <t>ASIA</t>
        </is>
      </c>
      <c r="D24" t="inlineStr">
        <is>
          <t>150502</t>
        </is>
      </c>
      <c r="E24" t="inlineStr">
        <is>
          <t>Carretera Panamericana Sur Km 97.5 Lote 30, Parcela la Querencia, Carretera Panamericana Sur Km. 106</t>
        </is>
      </c>
      <c r="F24" s="11" t="n">
        <v>0.0138</v>
      </c>
      <c r="G24" s="6">
        <f>IF($F$85=0,0,F24/$F$85)</f>
        <v/>
      </c>
      <c r="H24" s="5" t="n">
        <v>715179.62</v>
      </c>
      <c r="I24" t="n">
        <v>3</v>
      </c>
      <c r="J24" t="n">
        <v>3</v>
      </c>
      <c r="L24" s="5" t="n">
        <v>2145538.85</v>
      </c>
    </row>
    <row r="25">
      <c r="A25" t="inlineStr">
        <is>
          <t>LIMA</t>
        </is>
      </c>
      <c r="B25" t="inlineStr">
        <is>
          <t>LIMA</t>
        </is>
      </c>
      <c r="C25" t="inlineStr">
        <is>
          <t>SAN MARTIN DE PORRES</t>
        </is>
      </c>
      <c r="D25" t="inlineStr">
        <is>
          <t>150135</t>
        </is>
      </c>
      <c r="E25" t="inlineStr">
        <is>
          <t>Av. Angelica Gamarra 2039 con Universitaria, Av. Tomas Valle 1981, Av. Universitaria y Antunez de Mayolo Mz. B Lte. 1 y 2</t>
        </is>
      </c>
      <c r="F25" s="11" t="n">
        <v>0.0138</v>
      </c>
      <c r="G25" s="6">
        <f>IF($F$85=0,0,F25/$F$85)</f>
        <v/>
      </c>
      <c r="H25" s="5" t="n">
        <v>715179.62</v>
      </c>
      <c r="I25" t="n">
        <v>2</v>
      </c>
      <c r="J25" t="n">
        <v>5</v>
      </c>
      <c r="L25" s="5" t="n">
        <v>2503128.66</v>
      </c>
    </row>
    <row r="26">
      <c r="A26" t="inlineStr">
        <is>
          <t>LIMA</t>
        </is>
      </c>
      <c r="B26" t="inlineStr">
        <is>
          <t>LIMA</t>
        </is>
      </c>
      <c r="C26" t="inlineStr">
        <is>
          <t>SURQUILLO</t>
        </is>
      </c>
      <c r="D26" t="inlineStr">
        <is>
          <t>150141</t>
        </is>
      </c>
      <c r="E26" t="inlineStr">
        <is>
          <t>Av. Aviacion 4524, Av. Rep. de Panamá 5160, Av. Tomas Marsano 1008</t>
        </is>
      </c>
      <c r="F26" s="11" t="n">
        <v>0.0138</v>
      </c>
      <c r="G26" s="6">
        <f>IF($F$85=0,0,F26/$F$85)</f>
        <v/>
      </c>
      <c r="H26" s="5" t="n">
        <v>715179.62</v>
      </c>
      <c r="I26" t="n">
        <v>1</v>
      </c>
      <c r="J26" t="n">
        <v>4</v>
      </c>
      <c r="L26" s="5" t="n">
        <v>1787949.04</v>
      </c>
    </row>
    <row r="27">
      <c r="A27" t="inlineStr">
        <is>
          <t>LIMA</t>
        </is>
      </c>
      <c r="B27" t="inlineStr">
        <is>
          <t>LIMA</t>
        </is>
      </c>
      <c r="C27" t="inlineStr">
        <is>
          <t>VILLA EL SALVADOR</t>
        </is>
      </c>
      <c r="D27" t="inlineStr">
        <is>
          <t>150142</t>
        </is>
      </c>
      <c r="E27" t="inlineStr">
        <is>
          <t>Av. Jose Carlos Mariategui con Av.Revolución Sector 3 grupo 15 Mz. a Lte. 12 y 13, Av. Lima 2000 P.J. Poeta José Galvez (Mz. 159, Lte. 4), Av. Mateo Pumacahua Mz. D lote 5</t>
        </is>
      </c>
      <c r="F27" s="11" t="n">
        <v>0.0138</v>
      </c>
      <c r="G27" s="6">
        <f>IF($F$85=0,0,F27/$F$85)</f>
        <v/>
      </c>
      <c r="H27" s="5" t="n">
        <v>715179.62</v>
      </c>
      <c r="I27" t="n">
        <v>1</v>
      </c>
      <c r="J27" t="n">
        <v>3</v>
      </c>
      <c r="L27" s="5" t="n">
        <v>1430359.23</v>
      </c>
    </row>
    <row r="28">
      <c r="A28" t="inlineStr">
        <is>
          <t>LIMA</t>
        </is>
      </c>
      <c r="B28" t="inlineStr">
        <is>
          <t>LIMA</t>
        </is>
      </c>
      <c r="C28" t="inlineStr">
        <is>
          <t>PUENTE PIEDRA</t>
        </is>
      </c>
      <c r="D28" t="inlineStr">
        <is>
          <t>150125</t>
        </is>
      </c>
      <c r="E28" t="inlineStr">
        <is>
          <t>Av. Industrial Mz F Lt. 5 Urb. Las Vegas con Av. San Juan, Av. Leoncio Prado 780 (Panamericana Norte Km. 34.5), Av. República de Croacia con Av. Copacabana (Panamericana Norte Km. 35)</t>
        </is>
      </c>
      <c r="F28" s="11" t="n">
        <v>0.0138</v>
      </c>
      <c r="G28" s="6">
        <f>IF($F$85=0,0,F28/$F$85)</f>
        <v/>
      </c>
      <c r="H28" s="5" t="n">
        <v>715179.62</v>
      </c>
      <c r="I28" t="n">
        <v>2</v>
      </c>
      <c r="J28" t="n">
        <v>3</v>
      </c>
      <c r="L28" s="5" t="n">
        <v>1787949.04</v>
      </c>
    </row>
    <row r="29">
      <c r="A29" t="inlineStr">
        <is>
          <t>PIURA</t>
        </is>
      </c>
      <c r="B29" t="inlineStr">
        <is>
          <t>PIURA</t>
        </is>
      </c>
      <c r="C29" t="inlineStr">
        <is>
          <t>CASTILLA</t>
        </is>
      </c>
      <c r="D29" t="inlineStr">
        <is>
          <t>200104</t>
        </is>
      </c>
      <c r="E29" t="inlineStr">
        <is>
          <t>Av. Luis Montero S/N Urb. Miraflores, Av. Progreso 1702, Malecón María Auxiliadora Lote 34, Urb. Miraflores</t>
        </is>
      </c>
      <c r="F29" s="11" t="n">
        <v>0.0138</v>
      </c>
      <c r="G29" s="6">
        <f>IF($F$85=0,0,F29/$F$85)</f>
        <v/>
      </c>
      <c r="H29" s="5" t="n">
        <v>715179.62</v>
      </c>
      <c r="I29" t="n">
        <v>2</v>
      </c>
      <c r="J29" t="n">
        <v>5</v>
      </c>
      <c r="L29" s="5" t="n">
        <v>2503128.66</v>
      </c>
    </row>
    <row r="30">
      <c r="A30" t="inlineStr">
        <is>
          <t>AREQUIPA</t>
        </is>
      </c>
      <c r="B30" t="inlineStr">
        <is>
          <t>AREQUIPA</t>
        </is>
      </c>
      <c r="C30" t="inlineStr">
        <is>
          <t>YANAHUARA</t>
        </is>
      </c>
      <c r="D30" t="inlineStr">
        <is>
          <t>040126</t>
        </is>
      </c>
      <c r="E30" t="inlineStr">
        <is>
          <t>Av. Ejército 504, Av. José A. Quiñonez con Cl. S/N Mz.1,2,3 y 4 - Urb. Valencia y Lote B-12 Urb. Magisterial, Calle Grande 239</t>
        </is>
      </c>
      <c r="F30" s="11" t="n">
        <v>0.0138</v>
      </c>
      <c r="G30" s="6">
        <f>IF($F$85=0,0,F30/$F$85)</f>
        <v/>
      </c>
      <c r="H30" s="5" t="n">
        <v>715179.62</v>
      </c>
      <c r="I30" t="n">
        <v>2</v>
      </c>
      <c r="J30" t="n">
        <v>5</v>
      </c>
      <c r="L30" s="5" t="n">
        <v>2503128.66</v>
      </c>
    </row>
    <row r="31">
      <c r="A31" t="inlineStr">
        <is>
          <t>LIMA</t>
        </is>
      </c>
      <c r="B31" t="inlineStr">
        <is>
          <t>HUARAL</t>
        </is>
      </c>
      <c r="C31" t="inlineStr">
        <is>
          <t>HUARAL</t>
        </is>
      </c>
      <c r="D31" t="inlineStr">
        <is>
          <t>150601</t>
        </is>
      </c>
      <c r="E31" t="inlineStr">
        <is>
          <t>Av. Calle Derecha (Cuadra 9) con Camal Viejo S/N, Av. Chancay 513, Av. Chancay S/N con Calle 3 de Octubre - Urb. Rosario Huaral</t>
        </is>
      </c>
      <c r="F31" s="11" t="n">
        <v>0.0138</v>
      </c>
      <c r="G31" s="6">
        <f>IF($F$85=0,0,F31/$F$85)</f>
        <v/>
      </c>
      <c r="H31" s="5" t="n">
        <v>715179.62</v>
      </c>
      <c r="I31" t="n">
        <v>4</v>
      </c>
      <c r="J31" t="n">
        <v>4</v>
      </c>
      <c r="L31" s="5" t="n">
        <v>2860718.47</v>
      </c>
    </row>
    <row r="32">
      <c r="A32" t="inlineStr">
        <is>
          <t>AREQUIPA</t>
        </is>
      </c>
      <c r="B32" t="inlineStr">
        <is>
          <t>AREQUIPA</t>
        </is>
      </c>
      <c r="C32" t="inlineStr">
        <is>
          <t>JOSE LUIS BUSTAMANTE Y RIVERO</t>
        </is>
      </c>
      <c r="D32" t="inlineStr">
        <is>
          <t>040129</t>
        </is>
      </c>
      <c r="E32" t="inlineStr">
        <is>
          <t>Av Harley con Av Pizarro, Av. Andrés Avelino Cáceres Mz. C Lote 1, Av. Dolores con Av. Estados Unidos</t>
        </is>
      </c>
      <c r="F32" s="11" t="n">
        <v>0.0138</v>
      </c>
      <c r="G32" s="6">
        <f>IF($F$85=0,0,F32/$F$85)</f>
        <v/>
      </c>
      <c r="H32" s="5" t="n">
        <v>715179.62</v>
      </c>
      <c r="I32" t="n">
        <v>2</v>
      </c>
      <c r="J32" t="n">
        <v>5</v>
      </c>
      <c r="L32" s="5" t="n">
        <v>2503128.66</v>
      </c>
    </row>
    <row r="33">
      <c r="A33" t="inlineStr">
        <is>
          <t>LIMA</t>
        </is>
      </c>
      <c r="B33" t="inlineStr">
        <is>
          <t>BARRANCA</t>
        </is>
      </c>
      <c r="C33" t="inlineStr">
        <is>
          <t>BARRANCA</t>
        </is>
      </c>
      <c r="D33" t="inlineStr">
        <is>
          <t>150201</t>
        </is>
      </c>
      <c r="E33" t="inlineStr">
        <is>
          <t>Av. Ramon Castilla 921, Carretera Panamericana Norte Km.196</t>
        </is>
      </c>
      <c r="F33" s="11" t="n">
        <v>0.0092</v>
      </c>
      <c r="G33" s="6">
        <f>IF($F$85=0,0,F33/$F$85)</f>
        <v/>
      </c>
      <c r="H33" s="5" t="n">
        <v>476786.41</v>
      </c>
      <c r="I33" t="n">
        <v>3</v>
      </c>
      <c r="J33" t="n">
        <v>4</v>
      </c>
      <c r="L33" s="5" t="n">
        <v>1668752.44</v>
      </c>
    </row>
    <row r="34">
      <c r="A34" t="inlineStr">
        <is>
          <t>JUNIN</t>
        </is>
      </c>
      <c r="B34" t="inlineStr">
        <is>
          <t>TARMA</t>
        </is>
      </c>
      <c r="C34" t="inlineStr">
        <is>
          <t>TARMA</t>
        </is>
      </c>
      <c r="D34" t="inlineStr">
        <is>
          <t>120701</t>
        </is>
      </c>
      <c r="E34" t="inlineStr">
        <is>
          <t>Av. Pacheco 669 - 677, Av. Ramon Castilla 207 Int. 101</t>
        </is>
      </c>
      <c r="F34" s="11" t="n">
        <v>0.0092</v>
      </c>
      <c r="G34" s="6">
        <f>IF($F$85=0,0,F34/$F$85)</f>
        <v/>
      </c>
      <c r="H34" s="5" t="n">
        <v>476786.41</v>
      </c>
      <c r="I34" t="n">
        <v>5</v>
      </c>
      <c r="J34" t="n">
        <v>2</v>
      </c>
      <c r="K34" t="n">
        <v>5</v>
      </c>
      <c r="L34" s="5" t="n">
        <v>1907145.64</v>
      </c>
    </row>
    <row r="35">
      <c r="A35" t="inlineStr">
        <is>
          <t>LIMA</t>
        </is>
      </c>
      <c r="B35" t="inlineStr">
        <is>
          <t>LIMA</t>
        </is>
      </c>
      <c r="C35" t="inlineStr">
        <is>
          <t>RIMAC</t>
        </is>
      </c>
      <c r="D35" t="inlineStr">
        <is>
          <t>150128</t>
        </is>
      </c>
      <c r="E35" t="inlineStr">
        <is>
          <t>Av. Francisco Pizarro 1207, Av. Viru N° 606</t>
        </is>
      </c>
      <c r="F35" s="11" t="n">
        <v>0.0092</v>
      </c>
      <c r="G35" s="6">
        <f>IF($F$85=0,0,F35/$F$85)</f>
        <v/>
      </c>
      <c r="H35" s="5" t="n">
        <v>476786.41</v>
      </c>
      <c r="I35" t="n">
        <v>3</v>
      </c>
      <c r="J35" t="n">
        <v>3</v>
      </c>
      <c r="L35" s="5" t="n">
        <v>1430359.23</v>
      </c>
    </row>
    <row r="36">
      <c r="A36" t="inlineStr">
        <is>
          <t>LIMA</t>
        </is>
      </c>
      <c r="B36" t="inlineStr">
        <is>
          <t>LIMA</t>
        </is>
      </c>
      <c r="C36" t="inlineStr">
        <is>
          <t>MAGDALENA VIEJA</t>
        </is>
      </c>
      <c r="D36" t="inlineStr">
        <is>
          <t>150121</t>
        </is>
      </c>
      <c r="E36" t="inlineStr">
        <is>
          <t>Av. Bolívar 1020, Av. Sucre 1070</t>
        </is>
      </c>
      <c r="F36" s="11" t="n">
        <v>0.0092</v>
      </c>
      <c r="G36" s="6">
        <f>IF($F$85=0,0,F36/$F$85)</f>
        <v/>
      </c>
      <c r="H36" s="5" t="n">
        <v>476786.41</v>
      </c>
      <c r="I36" t="n">
        <v>1</v>
      </c>
      <c r="J36" t="n">
        <v>4</v>
      </c>
      <c r="L36" s="5" t="n">
        <v>1191966.03</v>
      </c>
    </row>
    <row r="37">
      <c r="A37" t="inlineStr">
        <is>
          <t>PIURA</t>
        </is>
      </c>
      <c r="B37" t="inlineStr">
        <is>
          <t>SULLANA</t>
        </is>
      </c>
      <c r="C37" t="inlineStr">
        <is>
          <t>SULLANA</t>
        </is>
      </c>
      <c r="D37" t="inlineStr">
        <is>
          <t>200601</t>
        </is>
      </c>
      <c r="E37" t="inlineStr">
        <is>
          <t>Av. Champagnat 1200, Urb. Santa Rosa, Carretera Sullana Km.1021 - Tambogrande</t>
        </is>
      </c>
      <c r="F37" s="11" t="n">
        <v>0.0092</v>
      </c>
      <c r="G37" s="6">
        <f>IF($F$85=0,0,F37/$F$85)</f>
        <v/>
      </c>
      <c r="H37" s="5" t="n">
        <v>476786.41</v>
      </c>
      <c r="I37" t="n">
        <v>2</v>
      </c>
      <c r="J37" t="n">
        <v>5</v>
      </c>
      <c r="K37" t="n">
        <v>2</v>
      </c>
      <c r="L37" s="5" t="n">
        <v>1430359.23</v>
      </c>
    </row>
    <row r="38">
      <c r="A38" t="inlineStr">
        <is>
          <t>LIMA</t>
        </is>
      </c>
      <c r="B38" t="inlineStr">
        <is>
          <t>LIMA</t>
        </is>
      </c>
      <c r="C38" t="inlineStr">
        <is>
          <t>LURIN</t>
        </is>
      </c>
      <c r="D38" t="inlineStr">
        <is>
          <t>150119</t>
        </is>
      </c>
      <c r="E38" t="inlineStr">
        <is>
          <t>Carretera Panamericana Sur Km. 29.5, Carretera Panamericana Sur Km. 30</t>
        </is>
      </c>
      <c r="F38" s="11" t="n">
        <v>0.0092</v>
      </c>
      <c r="G38" s="6">
        <f>IF($F$85=0,0,F38/$F$85)</f>
        <v/>
      </c>
      <c r="H38" s="5" t="n">
        <v>476786.41</v>
      </c>
      <c r="I38" t="n">
        <v>3</v>
      </c>
      <c r="J38" t="n">
        <v>3</v>
      </c>
      <c r="L38" s="5" t="n">
        <v>1430359.23</v>
      </c>
    </row>
    <row r="39">
      <c r="A39" t="inlineStr">
        <is>
          <t>LIMA</t>
        </is>
      </c>
      <c r="B39" t="inlineStr">
        <is>
          <t>LIMA</t>
        </is>
      </c>
      <c r="C39" t="inlineStr">
        <is>
          <t>LINCE</t>
        </is>
      </c>
      <c r="D39" t="inlineStr">
        <is>
          <t>150116</t>
        </is>
      </c>
      <c r="E39" t="inlineStr">
        <is>
          <t>Av. Arenales 2100, Av. Cesar Canevaro 1598</t>
        </is>
      </c>
      <c r="F39" s="11" t="n">
        <v>0.0092</v>
      </c>
      <c r="G39" s="6">
        <f>IF($F$85=0,0,F39/$F$85)</f>
        <v/>
      </c>
      <c r="H39" s="5" t="n">
        <v>476786.41</v>
      </c>
      <c r="I39" t="n">
        <v>1</v>
      </c>
      <c r="J39" t="n">
        <v>4</v>
      </c>
      <c r="L39" s="5" t="n">
        <v>1191966.03</v>
      </c>
    </row>
    <row r="40">
      <c r="A40" t="inlineStr">
        <is>
          <t>LIMA</t>
        </is>
      </c>
      <c r="B40" t="inlineStr">
        <is>
          <t>LIMA</t>
        </is>
      </c>
      <c r="C40" t="inlineStr">
        <is>
          <t>JESUS MARIA</t>
        </is>
      </c>
      <c r="D40" t="inlineStr">
        <is>
          <t>150113</t>
        </is>
      </c>
      <c r="E40" t="inlineStr">
        <is>
          <t>Av. Gregorio Escobedo 410-416, Av. José Faustino Sánchez Carrión 471</t>
        </is>
      </c>
      <c r="F40" s="11" t="n">
        <v>0.0092</v>
      </c>
      <c r="G40" s="6">
        <f>IF($F$85=0,0,F40/$F$85)</f>
        <v/>
      </c>
      <c r="H40" s="5" t="n">
        <v>476786.41</v>
      </c>
      <c r="I40" t="n">
        <v>1</v>
      </c>
      <c r="J40" t="n">
        <v>4</v>
      </c>
      <c r="L40" s="5" t="n">
        <v>1191966.03</v>
      </c>
    </row>
    <row r="41">
      <c r="A41" t="inlineStr">
        <is>
          <t>LIMA</t>
        </is>
      </c>
      <c r="B41" t="inlineStr">
        <is>
          <t>LIMA</t>
        </is>
      </c>
      <c r="C41" t="inlineStr">
        <is>
          <t>COMAS</t>
        </is>
      </c>
      <c r="D41" t="inlineStr">
        <is>
          <t>150110</t>
        </is>
      </c>
      <c r="E41" t="inlineStr">
        <is>
          <t>Av. Heroes del Alto Cenepa 697, Av. Universitaria con Av. Mexico, Urb.Santa Isolina 2da Etapa</t>
        </is>
      </c>
      <c r="F41" s="11" t="n">
        <v>0.0092</v>
      </c>
      <c r="G41" s="6">
        <f>IF($F$85=0,0,F41/$F$85)</f>
        <v/>
      </c>
      <c r="H41" s="5" t="n">
        <v>476786.41</v>
      </c>
      <c r="I41" t="n">
        <v>3</v>
      </c>
      <c r="J41" t="n">
        <v>3</v>
      </c>
      <c r="L41" s="5" t="n">
        <v>1430359.23</v>
      </c>
    </row>
    <row r="42">
      <c r="A42" t="inlineStr">
        <is>
          <t>CUSCO</t>
        </is>
      </c>
      <c r="B42" t="inlineStr">
        <is>
          <t>CUSCO</t>
        </is>
      </c>
      <c r="C42" t="inlineStr">
        <is>
          <t>SAN SEBASTIAN</t>
        </is>
      </c>
      <c r="D42" t="inlineStr">
        <is>
          <t>080105</t>
        </is>
      </c>
      <c r="E42" t="inlineStr">
        <is>
          <t>Av. Velasco Astete S/N, Prolongación Av. De La Cultura S/N</t>
        </is>
      </c>
      <c r="F42" s="11" t="n">
        <v>0.0092</v>
      </c>
      <c r="G42" s="6">
        <f>IF($F$85=0,0,F42/$F$85)</f>
        <v/>
      </c>
      <c r="H42" s="5" t="n">
        <v>476786.41</v>
      </c>
      <c r="I42" t="n">
        <v>4</v>
      </c>
      <c r="J42" t="n">
        <v>2</v>
      </c>
      <c r="K42" t="n">
        <v>3</v>
      </c>
      <c r="L42" s="5" t="n">
        <v>1430359.23</v>
      </c>
    </row>
    <row r="43">
      <c r="A43" t="inlineStr">
        <is>
          <t>LIMA</t>
        </is>
      </c>
      <c r="B43" t="inlineStr">
        <is>
          <t>LIMA</t>
        </is>
      </c>
      <c r="C43" t="inlineStr">
        <is>
          <t>BREÑA</t>
        </is>
      </c>
      <c r="D43" t="inlineStr">
        <is>
          <t>150105</t>
        </is>
      </c>
      <c r="E43" t="inlineStr">
        <is>
          <t>Av. Arica 499 con Jr. Varela, Av. Tingo María 1711</t>
        </is>
      </c>
      <c r="F43" s="11" t="n">
        <v>0.0092</v>
      </c>
      <c r="G43" s="6">
        <f>IF($F$85=0,0,F43/$F$85)</f>
        <v/>
      </c>
      <c r="H43" s="5" t="n">
        <v>476786.41</v>
      </c>
      <c r="I43" t="n">
        <v>1</v>
      </c>
      <c r="J43" t="n">
        <v>3</v>
      </c>
      <c r="L43" s="5" t="n">
        <v>953572.8199999999</v>
      </c>
    </row>
    <row r="44">
      <c r="A44" t="inlineStr">
        <is>
          <t>LIMA</t>
        </is>
      </c>
      <c r="B44" t="inlineStr">
        <is>
          <t>HUARAL</t>
        </is>
      </c>
      <c r="C44" t="inlineStr">
        <is>
          <t>CHANCAY</t>
        </is>
      </c>
      <c r="D44" t="inlineStr">
        <is>
          <t>150605</t>
        </is>
      </c>
      <c r="E44" t="inlineStr">
        <is>
          <t>Carretera Panamericana Norte Km. 84.9 Fundo Laure, Carretera Panamericana Norte Km. 90</t>
        </is>
      </c>
      <c r="F44" s="11" t="n">
        <v>0.0092</v>
      </c>
      <c r="G44" s="6">
        <f>IF($F$85=0,0,F44/$F$85)</f>
        <v/>
      </c>
      <c r="H44" s="5" t="n">
        <v>476786.41</v>
      </c>
      <c r="I44" t="n">
        <v>3</v>
      </c>
      <c r="J44" t="n">
        <v>4</v>
      </c>
      <c r="L44" s="5" t="n">
        <v>1668752.44</v>
      </c>
    </row>
    <row r="45">
      <c r="A45" t="inlineStr">
        <is>
          <t>LA LIBERTAD</t>
        </is>
      </c>
      <c r="B45" t="inlineStr">
        <is>
          <t>TRUJILLO</t>
        </is>
      </c>
      <c r="C45" t="inlineStr">
        <is>
          <t>MOCHE</t>
        </is>
      </c>
      <c r="D45" t="inlineStr">
        <is>
          <t>130107</t>
        </is>
      </c>
      <c r="E45" t="inlineStr">
        <is>
          <t>Av. La Marina con Carretera Industrial km. 559, Sub Lote 1B Grupo A, Sector V. Frente a la Carretera Panamericana Norte</t>
        </is>
      </c>
      <c r="F45" s="11" t="n">
        <v>0.0092</v>
      </c>
      <c r="G45" s="6">
        <f>IF($F$85=0,0,F45/$F$85)</f>
        <v/>
      </c>
      <c r="H45" s="5" t="n">
        <v>476786.41</v>
      </c>
      <c r="I45" t="n">
        <v>1</v>
      </c>
      <c r="J45" t="n">
        <v>4</v>
      </c>
      <c r="L45" s="5" t="n">
        <v>1191966.03</v>
      </c>
    </row>
    <row r="46">
      <c r="A46" t="inlineStr">
        <is>
          <t>ICA</t>
        </is>
      </c>
      <c r="B46" t="inlineStr">
        <is>
          <t>PISCO</t>
        </is>
      </c>
      <c r="C46" t="inlineStr">
        <is>
          <t>PISCO</t>
        </is>
      </c>
      <c r="D46" t="inlineStr">
        <is>
          <t>110501</t>
        </is>
      </c>
      <c r="E46" t="inlineStr">
        <is>
          <t>Av. Fermin Tanguis 220, Av. Fermin Tanguis con Cl. 5, Lotización Industrial Alto del Molino Mz. C-Lote 1</t>
        </is>
      </c>
      <c r="F46" s="11" t="n">
        <v>0.0092</v>
      </c>
      <c r="G46" s="6">
        <f>IF($F$85=0,0,F46/$F$85)</f>
        <v/>
      </c>
      <c r="H46" s="5" t="n">
        <v>476786.41</v>
      </c>
      <c r="I46" t="n">
        <v>3</v>
      </c>
      <c r="J46" t="n">
        <v>5</v>
      </c>
      <c r="L46" s="5" t="n">
        <v>1907145.64</v>
      </c>
    </row>
    <row r="47">
      <c r="A47" t="inlineStr">
        <is>
          <t>LA LIBERTAD</t>
        </is>
      </c>
      <c r="B47" t="inlineStr">
        <is>
          <t>TRUJILLO</t>
        </is>
      </c>
      <c r="C47" t="inlineStr">
        <is>
          <t>HUANCHACO</t>
        </is>
      </c>
      <c r="D47" t="inlineStr">
        <is>
          <t>130104</t>
        </is>
      </c>
      <c r="E47" t="inlineStr">
        <is>
          <t>Mz. 5 Lt.4 A.H.El Milagro ST.1, Mz.A Lote 1 A.H. Huanchaquito Bajo (Ref: Carretera Hco. Ovalo Hco</t>
        </is>
      </c>
      <c r="F47" s="11" t="n">
        <v>0.0092</v>
      </c>
      <c r="G47" s="6">
        <f>IF($F$85=0,0,F47/$F$85)</f>
        <v/>
      </c>
      <c r="H47" s="5" t="n">
        <v>476786.41</v>
      </c>
      <c r="I47" t="n">
        <v>2</v>
      </c>
      <c r="J47" t="n">
        <v>4</v>
      </c>
      <c r="L47" s="5" t="n">
        <v>1430359.23</v>
      </c>
    </row>
    <row r="48">
      <c r="A48" t="inlineStr">
        <is>
          <t>JUNIN</t>
        </is>
      </c>
      <c r="B48" t="inlineStr">
        <is>
          <t>HUANCAYO</t>
        </is>
      </c>
      <c r="C48" t="inlineStr">
        <is>
          <t>EL TAMBO</t>
        </is>
      </c>
      <c r="D48" t="inlineStr">
        <is>
          <t>120114</t>
        </is>
      </c>
      <c r="E48" t="inlineStr">
        <is>
          <t>Av Mariategui 600 con Jr. Arequipa, Av. Mariscal Castilla 1810, El Tambo</t>
        </is>
      </c>
      <c r="F48" s="11" t="n">
        <v>0.0092</v>
      </c>
      <c r="G48" s="6">
        <f>IF($F$85=0,0,F48/$F$85)</f>
        <v/>
      </c>
      <c r="H48" s="5" t="n">
        <v>476786.41</v>
      </c>
      <c r="I48" t="n">
        <v>4</v>
      </c>
      <c r="J48" t="n">
        <v>2</v>
      </c>
      <c r="K48" t="n">
        <v>3</v>
      </c>
      <c r="L48" s="5" t="n">
        <v>1430359.23</v>
      </c>
    </row>
    <row r="49">
      <c r="A49" t="inlineStr">
        <is>
          <t>TACNA</t>
        </is>
      </c>
      <c r="B49" t="inlineStr">
        <is>
          <t>TACNA</t>
        </is>
      </c>
      <c r="C49" t="inlineStr">
        <is>
          <t>TACNA</t>
        </is>
      </c>
      <c r="D49" t="inlineStr">
        <is>
          <t>230101</t>
        </is>
      </c>
      <c r="E49" t="inlineStr">
        <is>
          <t>Av. Ejercito 1595 con Av. Manuel Odría 1594, Av. Industrial 415 con Av. Tarata y Psje. S/N</t>
        </is>
      </c>
      <c r="F49" s="11" t="n">
        <v>0.0092</v>
      </c>
      <c r="G49" s="6">
        <f>IF($F$85=0,0,F49/$F$85)</f>
        <v/>
      </c>
      <c r="H49" s="5" t="n">
        <v>476786.41</v>
      </c>
      <c r="I49" t="n">
        <v>3</v>
      </c>
      <c r="J49" t="n">
        <v>3</v>
      </c>
      <c r="L49" s="5" t="n">
        <v>1430359.23</v>
      </c>
    </row>
    <row r="50">
      <c r="A50" t="inlineStr">
        <is>
          <t>LIMA</t>
        </is>
      </c>
      <c r="B50" t="inlineStr">
        <is>
          <t>HUAURA</t>
        </is>
      </c>
      <c r="C50" t="inlineStr">
        <is>
          <t>HUACHO</t>
        </is>
      </c>
      <c r="D50" t="inlineStr">
        <is>
          <t>150801</t>
        </is>
      </c>
      <c r="E50" t="inlineStr">
        <is>
          <t>Cl. Domingo Coloma 152</t>
        </is>
      </c>
      <c r="F50" s="11" t="n">
        <v>0.0046</v>
      </c>
      <c r="G50" s="6">
        <f>IF($F$85=0,0,F50/$F$85)</f>
        <v/>
      </c>
      <c r="H50" s="5" t="n">
        <v>238393.21</v>
      </c>
      <c r="I50" t="n">
        <v>3</v>
      </c>
      <c r="J50" t="n">
        <v>3</v>
      </c>
      <c r="L50" s="5" t="n">
        <v>715179.62</v>
      </c>
    </row>
    <row r="51">
      <c r="A51" t="inlineStr">
        <is>
          <t>LIMA</t>
        </is>
      </c>
      <c r="B51" t="inlineStr">
        <is>
          <t>HUAROCHIRI</t>
        </is>
      </c>
      <c r="C51" t="inlineStr">
        <is>
          <t>SANTA CRUZ DE COCACHACRA</t>
        </is>
      </c>
      <c r="D51" t="inlineStr">
        <is>
          <t>150727</t>
        </is>
      </c>
      <c r="E51" t="inlineStr">
        <is>
          <t>Av. Nicolas De Pierola Sur 3021 (Altura Carretera Central Km. 47.7 - Corcona)</t>
        </is>
      </c>
      <c r="F51" s="11" t="n">
        <v>0.0046</v>
      </c>
      <c r="G51" s="6">
        <f>IF($F$85=0,0,F51/$F$85)</f>
        <v/>
      </c>
      <c r="H51" s="5" t="n">
        <v>238393.21</v>
      </c>
      <c r="L51" s="5" t="n">
        <v>0</v>
      </c>
    </row>
    <row r="52">
      <c r="A52" t="inlineStr">
        <is>
          <t>LIMA</t>
        </is>
      </c>
      <c r="B52" t="inlineStr">
        <is>
          <t>LIMA</t>
        </is>
      </c>
      <c r="C52" t="inlineStr">
        <is>
          <t>SAN LUIS</t>
        </is>
      </c>
      <c r="D52" t="inlineStr">
        <is>
          <t>150134</t>
        </is>
      </c>
      <c r="E52" t="inlineStr">
        <is>
          <t>Av. Nicolás Ayllón 1340</t>
        </is>
      </c>
      <c r="F52" s="11" t="n">
        <v>0.0046</v>
      </c>
      <c r="G52" s="6">
        <f>IF($F$85=0,0,F52/$F$85)</f>
        <v/>
      </c>
      <c r="H52" s="5" t="n">
        <v>238393.21</v>
      </c>
      <c r="I52" t="n">
        <v>1</v>
      </c>
      <c r="J52" t="n">
        <v>3</v>
      </c>
      <c r="L52" s="5" t="n">
        <v>476786.41</v>
      </c>
    </row>
    <row r="53">
      <c r="A53" t="inlineStr">
        <is>
          <t>LIMA</t>
        </is>
      </c>
      <c r="B53" t="inlineStr">
        <is>
          <t>CAÑETE</t>
        </is>
      </c>
      <c r="C53" t="inlineStr">
        <is>
          <t>SAN LUIS</t>
        </is>
      </c>
      <c r="D53" t="inlineStr">
        <is>
          <t>150514</t>
        </is>
      </c>
      <c r="E53" t="inlineStr">
        <is>
          <t>Av. 28 de Julio 216, San Luis Cañete (Km. 138 Pan. Sur)</t>
        </is>
      </c>
      <c r="F53" s="11" t="n">
        <v>0.0046</v>
      </c>
      <c r="G53" s="6">
        <f>IF($F$85=0,0,F53/$F$85)</f>
        <v/>
      </c>
      <c r="H53" s="5" t="n">
        <v>238393.21</v>
      </c>
      <c r="L53" s="5" t="n">
        <v>0</v>
      </c>
    </row>
    <row r="54">
      <c r="A54" t="inlineStr">
        <is>
          <t>LIMA</t>
        </is>
      </c>
      <c r="B54" t="inlineStr">
        <is>
          <t>CAÑETE</t>
        </is>
      </c>
      <c r="C54" t="inlineStr">
        <is>
          <t>CHILCA</t>
        </is>
      </c>
      <c r="D54" t="inlineStr">
        <is>
          <t>150505</t>
        </is>
      </c>
      <c r="E54" t="inlineStr">
        <is>
          <t>Carretera Panamericana Sur Km. 63.5</t>
        </is>
      </c>
      <c r="F54" s="11" t="n">
        <v>0.0046</v>
      </c>
      <c r="G54" s="6">
        <f>IF($F$85=0,0,F54/$F$85)</f>
        <v/>
      </c>
      <c r="H54" s="5" t="n">
        <v>238393.21</v>
      </c>
      <c r="I54" t="n">
        <v>4</v>
      </c>
      <c r="J54" t="n">
        <v>3</v>
      </c>
      <c r="L54" s="5" t="n">
        <v>834376.22</v>
      </c>
    </row>
    <row r="55">
      <c r="A55" t="inlineStr">
        <is>
          <t>LIMA</t>
        </is>
      </c>
      <c r="B55" t="inlineStr">
        <is>
          <t>CAÑETE</t>
        </is>
      </c>
      <c r="C55" t="inlineStr">
        <is>
          <t>CERRO AZUL</t>
        </is>
      </c>
      <c r="D55" t="inlineStr">
        <is>
          <t>150504</t>
        </is>
      </c>
      <c r="E55" t="inlineStr">
        <is>
          <t>Carretera Panamericana Sur Km. 129</t>
        </is>
      </c>
      <c r="F55" s="11" t="n">
        <v>0.0046</v>
      </c>
      <c r="G55" s="6">
        <f>IF($F$85=0,0,F55/$F$85)</f>
        <v/>
      </c>
      <c r="H55" s="5" t="n">
        <v>238393.21</v>
      </c>
      <c r="L55" s="5" t="n">
        <v>0</v>
      </c>
    </row>
    <row r="56">
      <c r="A56" t="inlineStr">
        <is>
          <t>PIURA</t>
        </is>
      </c>
      <c r="B56" t="inlineStr">
        <is>
          <t>PIURA</t>
        </is>
      </c>
      <c r="C56" t="inlineStr">
        <is>
          <t>VEINTISEIS DE OCTUBRE</t>
        </is>
      </c>
      <c r="D56" t="inlineStr">
        <is>
          <t>200115</t>
        </is>
      </c>
      <c r="E56" t="inlineStr">
        <is>
          <t>Lote P2-28-A1, Ubicación Rural Valle Medio Piura, Sector Piura 2, Parcela 17322</t>
        </is>
      </c>
      <c r="F56" s="11" t="n">
        <v>0.0046</v>
      </c>
      <c r="G56" s="6">
        <f>IF($F$85=0,0,F56/$F$85)</f>
        <v/>
      </c>
      <c r="H56" s="5" t="n">
        <v>238393.21</v>
      </c>
      <c r="I56" t="n">
        <v>1</v>
      </c>
      <c r="J56" t="n">
        <v>4</v>
      </c>
      <c r="L56" s="5" t="n">
        <v>595983.01</v>
      </c>
    </row>
    <row r="57">
      <c r="A57" t="inlineStr">
        <is>
          <t>LIMA</t>
        </is>
      </c>
      <c r="B57" t="inlineStr">
        <is>
          <t>LIMA</t>
        </is>
      </c>
      <c r="C57" t="inlineStr">
        <is>
          <t>PUNTA HERMOSA</t>
        </is>
      </c>
      <c r="D57" t="inlineStr">
        <is>
          <t>150126</t>
        </is>
      </c>
      <c r="E57" t="inlineStr">
        <is>
          <t>Carretera Panamericana Sur KM. 40 Mz. D Lote 2</t>
        </is>
      </c>
      <c r="F57" s="11" t="n">
        <v>0.0046</v>
      </c>
      <c r="G57" s="6">
        <f>IF($F$85=0,0,F57/$F$85)</f>
        <v/>
      </c>
      <c r="H57" s="5" t="n">
        <v>238393.21</v>
      </c>
      <c r="L57" s="5" t="n">
        <v>0</v>
      </c>
    </row>
    <row r="58">
      <c r="A58" t="inlineStr">
        <is>
          <t>PIURA</t>
        </is>
      </c>
      <c r="B58" t="inlineStr">
        <is>
          <t>TALARA</t>
        </is>
      </c>
      <c r="C58" t="inlineStr">
        <is>
          <t>PARIÑAS</t>
        </is>
      </c>
      <c r="D58" t="inlineStr">
        <is>
          <t>200701</t>
        </is>
      </c>
      <c r="E58" t="inlineStr">
        <is>
          <t>Cruce Av.A y Av.B S/N</t>
        </is>
      </c>
      <c r="F58" s="11" t="n">
        <v>0.0046</v>
      </c>
      <c r="G58" s="6">
        <f>IF($F$85=0,0,F58/$F$85)</f>
        <v/>
      </c>
      <c r="H58" s="5" t="n">
        <v>238393.21</v>
      </c>
      <c r="I58" t="n">
        <v>3</v>
      </c>
      <c r="J58" t="n">
        <v>4</v>
      </c>
      <c r="K58" t="n">
        <v>3</v>
      </c>
      <c r="L58" s="5" t="n">
        <v>794644.02</v>
      </c>
    </row>
    <row r="59">
      <c r="A59" t="inlineStr">
        <is>
          <t>ANCASH</t>
        </is>
      </c>
      <c r="B59" t="inlineStr">
        <is>
          <t>CASMA</t>
        </is>
      </c>
      <c r="C59" t="inlineStr">
        <is>
          <t>COMANDANTE NOEL</t>
        </is>
      </c>
      <c r="D59" t="inlineStr">
        <is>
          <t>020803</t>
        </is>
      </c>
      <c r="E59" t="inlineStr">
        <is>
          <t>Lote 5B Fundo Santa Catalina, Ubicación Rural Valle Tabon</t>
        </is>
      </c>
      <c r="F59" s="11" t="n">
        <v>0.0046</v>
      </c>
      <c r="G59" s="6">
        <f>IF($F$85=0,0,F59/$F$85)</f>
        <v/>
      </c>
      <c r="H59" s="5" t="n">
        <v>238393.21</v>
      </c>
      <c r="L59" s="5" t="n">
        <v>0</v>
      </c>
    </row>
    <row r="60">
      <c r="A60" t="inlineStr">
        <is>
          <t>LIMA</t>
        </is>
      </c>
      <c r="B60" t="inlineStr">
        <is>
          <t>LIMA</t>
        </is>
      </c>
      <c r="C60" t="inlineStr">
        <is>
          <t>PACHACAMAC</t>
        </is>
      </c>
      <c r="D60" t="inlineStr">
        <is>
          <t>150123</t>
        </is>
      </c>
      <c r="E60" t="inlineStr">
        <is>
          <t>Av. Víctor Malasquez S/N Comunidad Campesino del Collac Manchay Lotes 130 y 131</t>
        </is>
      </c>
      <c r="F60" s="11" t="n">
        <v>0.0046</v>
      </c>
      <c r="G60" s="6">
        <f>IF($F$85=0,0,F60/$F$85)</f>
        <v/>
      </c>
      <c r="H60" s="5" t="n">
        <v>238393.21</v>
      </c>
      <c r="I60" t="n">
        <v>4</v>
      </c>
      <c r="J60" t="n">
        <v>2</v>
      </c>
      <c r="L60" s="5" t="n">
        <v>715179.62</v>
      </c>
    </row>
    <row r="61">
      <c r="A61" t="inlineStr">
        <is>
          <t>ICA</t>
        </is>
      </c>
      <c r="B61" t="inlineStr">
        <is>
          <t>CHINCHA</t>
        </is>
      </c>
      <c r="C61" t="inlineStr">
        <is>
          <t>CHINCHA ALTA</t>
        </is>
      </c>
      <c r="D61" t="inlineStr">
        <is>
          <t>110201</t>
        </is>
      </c>
      <c r="E61" t="inlineStr">
        <is>
          <t>Av. Oscar Benavides 711</t>
        </is>
      </c>
      <c r="F61" s="11" t="n">
        <v>0.0046</v>
      </c>
      <c r="G61" s="6">
        <f>IF($F$85=0,0,F61/$F$85)</f>
        <v/>
      </c>
      <c r="H61" s="5" t="n">
        <v>238393.21</v>
      </c>
      <c r="I61" t="n">
        <v>4</v>
      </c>
      <c r="J61" t="n">
        <v>4</v>
      </c>
      <c r="L61" s="5" t="n">
        <v>953572.8199999999</v>
      </c>
    </row>
    <row r="62">
      <c r="A62" t="inlineStr">
        <is>
          <t>AREQUIPA</t>
        </is>
      </c>
      <c r="B62" t="inlineStr">
        <is>
          <t>AREQUIPA</t>
        </is>
      </c>
      <c r="C62" t="inlineStr">
        <is>
          <t>PAUCARPATA</t>
        </is>
      </c>
      <c r="D62" t="inlineStr">
        <is>
          <t>040112</t>
        </is>
      </c>
      <c r="E62" t="inlineStr">
        <is>
          <t>Av. Jesus 1400</t>
        </is>
      </c>
      <c r="F62" s="11" t="n">
        <v>0.0046</v>
      </c>
      <c r="G62" s="6">
        <f>IF($F$85=0,0,F62/$F$85)</f>
        <v/>
      </c>
      <c r="H62" s="5" t="n">
        <v>238393.21</v>
      </c>
      <c r="I62" t="n">
        <v>5</v>
      </c>
      <c r="J62" t="n">
        <v>4</v>
      </c>
      <c r="K62" t="n">
        <v>2</v>
      </c>
      <c r="L62" s="5" t="n">
        <v>874108.42</v>
      </c>
    </row>
    <row r="63">
      <c r="A63" t="inlineStr">
        <is>
          <t>AREQUIPA</t>
        </is>
      </c>
      <c r="B63" t="inlineStr">
        <is>
          <t>AREQUIPA</t>
        </is>
      </c>
      <c r="C63" t="inlineStr">
        <is>
          <t>SACHACA</t>
        </is>
      </c>
      <c r="D63" t="inlineStr">
        <is>
          <t>040117</t>
        </is>
      </c>
      <c r="E63" t="inlineStr">
        <is>
          <t>Av. Fernandini S/N</t>
        </is>
      </c>
      <c r="F63" s="11" t="n">
        <v>0.0046</v>
      </c>
      <c r="G63" s="6">
        <f>IF($F$85=0,0,F63/$F$85)</f>
        <v/>
      </c>
      <c r="H63" s="5" t="n">
        <v>238393.21</v>
      </c>
      <c r="I63" t="n">
        <v>4</v>
      </c>
      <c r="J63" t="n">
        <v>5</v>
      </c>
      <c r="L63" s="5" t="n">
        <v>1072769.42</v>
      </c>
    </row>
    <row r="64">
      <c r="A64" t="inlineStr">
        <is>
          <t>AREQUIPA</t>
        </is>
      </c>
      <c r="B64" t="inlineStr">
        <is>
          <t>AREQUIPA</t>
        </is>
      </c>
      <c r="C64" t="inlineStr">
        <is>
          <t>SOCABAYA</t>
        </is>
      </c>
      <c r="D64" t="inlineStr">
        <is>
          <t>040122</t>
        </is>
      </c>
      <c r="E64" t="inlineStr">
        <is>
          <t>Av. Socabaya 794</t>
        </is>
      </c>
      <c r="F64" s="11" t="n">
        <v>0.0046</v>
      </c>
      <c r="G64" s="6">
        <f>IF($F$85=0,0,F64/$F$85)</f>
        <v/>
      </c>
      <c r="H64" s="5" t="n">
        <v>238393.21</v>
      </c>
      <c r="I64" t="n">
        <v>3</v>
      </c>
      <c r="J64" t="n">
        <v>5</v>
      </c>
      <c r="L64" s="5" t="n">
        <v>953572.8199999999</v>
      </c>
    </row>
    <row r="65">
      <c r="A65" t="inlineStr">
        <is>
          <t>AREQUIPA</t>
        </is>
      </c>
      <c r="B65" t="inlineStr">
        <is>
          <t>AREQUIPA</t>
        </is>
      </c>
      <c r="C65" t="inlineStr">
        <is>
          <t>TIABAYA</t>
        </is>
      </c>
      <c r="D65" t="inlineStr">
        <is>
          <t>040123</t>
        </is>
      </c>
      <c r="E65" t="inlineStr">
        <is>
          <t>Variante De Uchumayo Km. 6</t>
        </is>
      </c>
      <c r="F65" s="11" t="n">
        <v>0.0046</v>
      </c>
      <c r="G65" s="6">
        <f>IF($F$85=0,0,F65/$F$85)</f>
        <v/>
      </c>
      <c r="H65" s="5" t="n">
        <v>238393.21</v>
      </c>
      <c r="L65" s="5" t="n">
        <v>0</v>
      </c>
    </row>
    <row r="66">
      <c r="A66" t="inlineStr">
        <is>
          <t>AREQUIPA</t>
        </is>
      </c>
      <c r="B66" t="inlineStr">
        <is>
          <t>CAYLLOMA</t>
        </is>
      </c>
      <c r="C66" t="inlineStr">
        <is>
          <t>MAJES</t>
        </is>
      </c>
      <c r="D66" t="inlineStr">
        <is>
          <t>040520</t>
        </is>
      </c>
      <c r="E66" t="inlineStr">
        <is>
          <t>Asociación de Microempresarios de la Irrigación Majes “AMEIN” Mz T lote n°6 y 7</t>
        </is>
      </c>
      <c r="F66" s="11" t="n">
        <v>0.0046</v>
      </c>
      <c r="G66" s="6">
        <f>IF($F$85=0,0,F66/$F$85)</f>
        <v/>
      </c>
      <c r="H66" s="5" t="n">
        <v>238393.21</v>
      </c>
      <c r="I66" t="n">
        <v>4</v>
      </c>
      <c r="J66" t="n">
        <v>4</v>
      </c>
      <c r="L66" s="5" t="n">
        <v>953572.8199999999</v>
      </c>
    </row>
    <row r="67">
      <c r="A67" t="inlineStr">
        <is>
          <t>CUSCO</t>
        </is>
      </c>
      <c r="B67" t="inlineStr">
        <is>
          <t>CUSCO</t>
        </is>
      </c>
      <c r="C67" t="inlineStr">
        <is>
          <t>SANTIAGO</t>
        </is>
      </c>
      <c r="D67" t="inlineStr">
        <is>
          <t>080106</t>
        </is>
      </c>
      <c r="E67" t="inlineStr">
        <is>
          <t>Alameda Pachacútec, Mz D, Sub Lote 5-6, Urb. Bancopata</t>
        </is>
      </c>
      <c r="F67" s="11" t="n">
        <v>0.0046</v>
      </c>
      <c r="G67" s="6">
        <f>IF($F$85=0,0,F67/$F$85)</f>
        <v/>
      </c>
      <c r="H67" s="5" t="n">
        <v>238393.21</v>
      </c>
      <c r="I67" t="n">
        <v>4</v>
      </c>
      <c r="J67" t="n">
        <v>2</v>
      </c>
      <c r="K67" t="n">
        <v>3</v>
      </c>
      <c r="L67" s="5" t="n">
        <v>715179.62</v>
      </c>
    </row>
    <row r="68">
      <c r="A68" t="inlineStr">
        <is>
          <t>CUSCO</t>
        </is>
      </c>
      <c r="B68" t="inlineStr">
        <is>
          <t>CUSCO</t>
        </is>
      </c>
      <c r="C68" t="inlineStr">
        <is>
          <t>WANCHAQ</t>
        </is>
      </c>
      <c r="D68" t="inlineStr">
        <is>
          <t>080108</t>
        </is>
      </c>
      <c r="E68" t="inlineStr">
        <is>
          <t>Parque Industrial Lote A-20</t>
        </is>
      </c>
      <c r="F68" s="11" t="n">
        <v>0.0046</v>
      </c>
      <c r="G68" s="6">
        <f>IF($F$85=0,0,F68/$F$85)</f>
        <v/>
      </c>
      <c r="H68" s="5" t="n">
        <v>238393.21</v>
      </c>
      <c r="I68" t="n">
        <v>3</v>
      </c>
      <c r="J68" t="n">
        <v>4</v>
      </c>
      <c r="K68" t="n">
        <v>4</v>
      </c>
      <c r="L68" s="5" t="n">
        <v>874108.42</v>
      </c>
    </row>
    <row r="69">
      <c r="A69" t="inlineStr">
        <is>
          <t>ICA</t>
        </is>
      </c>
      <c r="B69" t="inlineStr">
        <is>
          <t>ICA</t>
        </is>
      </c>
      <c r="C69" t="inlineStr">
        <is>
          <t>ICA</t>
        </is>
      </c>
      <c r="D69" t="inlineStr">
        <is>
          <t>110101</t>
        </is>
      </c>
      <c r="E69" t="inlineStr">
        <is>
          <t>Av. Los Maestros S/N con Av. Manuel Santana Chiri</t>
        </is>
      </c>
      <c r="F69" s="11" t="n">
        <v>0.0046</v>
      </c>
      <c r="G69" s="6">
        <f>IF($F$85=0,0,F69/$F$85)</f>
        <v/>
      </c>
      <c r="H69" s="5" t="n">
        <v>238393.21</v>
      </c>
      <c r="I69" t="n">
        <v>1</v>
      </c>
      <c r="J69" t="n">
        <v>5</v>
      </c>
      <c r="L69" s="5" t="n">
        <v>715179.62</v>
      </c>
    </row>
    <row r="70">
      <c r="A70" t="inlineStr">
        <is>
          <t>ICA</t>
        </is>
      </c>
      <c r="B70" t="inlineStr">
        <is>
          <t>ICA</t>
        </is>
      </c>
      <c r="C70" t="inlineStr">
        <is>
          <t>LOS AQUIJES</t>
        </is>
      </c>
      <c r="D70" t="inlineStr">
        <is>
          <t>110103</t>
        </is>
      </c>
      <c r="E70" t="inlineStr">
        <is>
          <t>Carretera Panamericana Sur Km. 307</t>
        </is>
      </c>
      <c r="F70" s="11" t="n">
        <v>0.0046</v>
      </c>
      <c r="G70" s="6">
        <f>IF($F$85=0,0,F70/$F$85)</f>
        <v/>
      </c>
      <c r="H70" s="5" t="n">
        <v>238393.21</v>
      </c>
      <c r="L70" s="5" t="n">
        <v>0</v>
      </c>
    </row>
    <row r="71">
      <c r="A71" t="inlineStr">
        <is>
          <t>ICA</t>
        </is>
      </c>
      <c r="B71" t="inlineStr">
        <is>
          <t>ICA</t>
        </is>
      </c>
      <c r="C71" t="inlineStr">
        <is>
          <t>PARCONA</t>
        </is>
      </c>
      <c r="D71" t="inlineStr">
        <is>
          <t>110106</t>
        </is>
      </c>
      <c r="E71" t="inlineStr">
        <is>
          <t>Av. Prolongacion Grau Cdra. 2</t>
        </is>
      </c>
      <c r="F71" s="11" t="n">
        <v>0.0046</v>
      </c>
      <c r="G71" s="6">
        <f>IF($F$85=0,0,F71/$F$85)</f>
        <v/>
      </c>
      <c r="H71" s="5" t="n">
        <v>238393.21</v>
      </c>
      <c r="I71" t="n">
        <v>4</v>
      </c>
      <c r="J71" t="n">
        <v>5</v>
      </c>
      <c r="L71" s="5" t="n">
        <v>1072769.42</v>
      </c>
    </row>
    <row r="72">
      <c r="A72" t="inlineStr">
        <is>
          <t>ICA</t>
        </is>
      </c>
      <c r="B72" t="inlineStr">
        <is>
          <t>CHINCHA</t>
        </is>
      </c>
      <c r="C72" t="inlineStr">
        <is>
          <t>EL CARMEN</t>
        </is>
      </c>
      <c r="D72" t="inlineStr">
        <is>
          <t>110205</t>
        </is>
      </c>
      <c r="E72" t="inlineStr">
        <is>
          <t>Carretera Panamericana Sur Km. 204 Fundo Pozuelo Norte</t>
        </is>
      </c>
      <c r="F72" s="11" t="n">
        <v>0.0046</v>
      </c>
      <c r="G72" s="6">
        <f>IF($F$85=0,0,F72/$F$85)</f>
        <v/>
      </c>
      <c r="H72" s="5" t="n">
        <v>238393.21</v>
      </c>
      <c r="L72" s="5" t="n">
        <v>0</v>
      </c>
    </row>
    <row r="73">
      <c r="A73" t="inlineStr">
        <is>
          <t>LIMA</t>
        </is>
      </c>
      <c r="B73" t="inlineStr">
        <is>
          <t>LIMA</t>
        </is>
      </c>
      <c r="C73" t="inlineStr">
        <is>
          <t>LOS OLIVOS</t>
        </is>
      </c>
      <c r="D73" t="inlineStr">
        <is>
          <t>150117</t>
        </is>
      </c>
      <c r="E73" t="inlineStr">
        <is>
          <t>Av. Tomás Valle 846 con Av. Beta</t>
        </is>
      </c>
      <c r="F73" s="11" t="n">
        <v>0.0046</v>
      </c>
      <c r="G73" s="6">
        <f>IF($F$85=0,0,F73/$F$85)</f>
        <v/>
      </c>
      <c r="H73" s="5" t="n">
        <v>238393.21</v>
      </c>
      <c r="I73" t="n">
        <v>1</v>
      </c>
      <c r="J73" t="n">
        <v>4</v>
      </c>
      <c r="L73" s="5" t="n">
        <v>595983.01</v>
      </c>
    </row>
    <row r="74">
      <c r="A74" t="inlineStr">
        <is>
          <t>JUNIN</t>
        </is>
      </c>
      <c r="B74" t="inlineStr">
        <is>
          <t>CONCEPCION</t>
        </is>
      </c>
      <c r="C74" t="inlineStr">
        <is>
          <t>CONCEPCION</t>
        </is>
      </c>
      <c r="D74" t="inlineStr">
        <is>
          <t>120201</t>
        </is>
      </c>
      <c r="E74" t="inlineStr">
        <is>
          <t>Carretera Central KM. 21 (Esquina con Av. 8 de Diciembre)</t>
        </is>
      </c>
      <c r="F74" s="11" t="n">
        <v>0.0046</v>
      </c>
      <c r="G74" s="6">
        <f>IF($F$85=0,0,F74/$F$85)</f>
        <v/>
      </c>
      <c r="H74" s="5" t="n">
        <v>238393.21</v>
      </c>
      <c r="I74" t="n">
        <v>3</v>
      </c>
      <c r="J74" t="n">
        <v>4</v>
      </c>
      <c r="K74" t="n">
        <v>4</v>
      </c>
      <c r="L74" s="5" t="n">
        <v>874108.42</v>
      </c>
    </row>
    <row r="75">
      <c r="A75" t="inlineStr">
        <is>
          <t>JUNIN</t>
        </is>
      </c>
      <c r="B75" t="inlineStr">
        <is>
          <t>JUNIN</t>
        </is>
      </c>
      <c r="C75" t="inlineStr">
        <is>
          <t>CARHUAMAYO</t>
        </is>
      </c>
      <c r="D75" t="inlineStr">
        <is>
          <t>120502</t>
        </is>
      </c>
      <c r="E75" t="inlineStr">
        <is>
          <t>Prolongación de la Av.Manuel Prado 1483 - Lado Norte</t>
        </is>
      </c>
      <c r="F75" s="11" t="n">
        <v>0.0046</v>
      </c>
      <c r="G75" s="6">
        <f>IF($F$85=0,0,F75/$F$85)</f>
        <v/>
      </c>
      <c r="H75" s="5" t="n">
        <v>238393.21</v>
      </c>
      <c r="L75" s="5" t="n">
        <v>0</v>
      </c>
    </row>
    <row r="76">
      <c r="A76" t="inlineStr">
        <is>
          <t>JUNIN</t>
        </is>
      </c>
      <c r="B76" t="inlineStr">
        <is>
          <t>YAULI</t>
        </is>
      </c>
      <c r="C76" t="inlineStr">
        <is>
          <t>SANTA ROSA DE SACCO</t>
        </is>
      </c>
      <c r="D76" t="inlineStr">
        <is>
          <t>120808</t>
        </is>
      </c>
      <c r="E76" t="inlineStr">
        <is>
          <t>Av. Miguel Grau Cuadra 1, Distrito Santa Rosa De Sacco, Provincia Yauli</t>
        </is>
      </c>
      <c r="F76" s="11" t="n">
        <v>0.0046</v>
      </c>
      <c r="G76" s="6">
        <f>IF($F$85=0,0,F76/$F$85)</f>
        <v/>
      </c>
      <c r="H76" s="5" t="n">
        <v>238393.21</v>
      </c>
      <c r="L76" s="5" t="n">
        <v>0</v>
      </c>
    </row>
    <row r="77">
      <c r="A77" t="inlineStr">
        <is>
          <t>LA LIBERTAD</t>
        </is>
      </c>
      <c r="B77" t="inlineStr">
        <is>
          <t>TRUJILLO</t>
        </is>
      </c>
      <c r="C77" t="inlineStr">
        <is>
          <t>LA ESPERANZA</t>
        </is>
      </c>
      <c r="D77" t="inlineStr">
        <is>
          <t>130105</t>
        </is>
      </c>
      <c r="E77" t="inlineStr">
        <is>
          <t>Av. Condorcanqui 2492</t>
        </is>
      </c>
      <c r="F77" s="11" t="n">
        <v>0.0046</v>
      </c>
      <c r="G77" s="6">
        <f>IF($F$85=0,0,F77/$F$85)</f>
        <v/>
      </c>
      <c r="H77" s="5" t="n">
        <v>238393.21</v>
      </c>
      <c r="I77" t="n">
        <v>1</v>
      </c>
      <c r="J77" t="n">
        <v>4</v>
      </c>
      <c r="L77" s="5" t="n">
        <v>595983.01</v>
      </c>
    </row>
    <row r="78">
      <c r="A78" t="inlineStr">
        <is>
          <t>LA LIBERTAD</t>
        </is>
      </c>
      <c r="B78" t="inlineStr">
        <is>
          <t>PACASMAYO</t>
        </is>
      </c>
      <c r="C78" t="inlineStr">
        <is>
          <t>PACASMAYO</t>
        </is>
      </c>
      <c r="D78" t="inlineStr">
        <is>
          <t>130704</t>
        </is>
      </c>
      <c r="E78" t="inlineStr">
        <is>
          <t>Av. Enrique Valenzuela 882</t>
        </is>
      </c>
      <c r="F78" s="11" t="n">
        <v>0.0046</v>
      </c>
      <c r="G78" s="6">
        <f>IF($F$85=0,0,F78/$F$85)</f>
        <v/>
      </c>
      <c r="H78" s="5" t="n">
        <v>238393.21</v>
      </c>
      <c r="I78" t="n">
        <v>2</v>
      </c>
      <c r="J78" t="n">
        <v>4</v>
      </c>
      <c r="L78" s="5" t="n">
        <v>715179.62</v>
      </c>
    </row>
    <row r="79">
      <c r="A79" t="inlineStr">
        <is>
          <t>LAMBAYEQUE</t>
        </is>
      </c>
      <c r="B79" t="inlineStr">
        <is>
          <t>CHICLAYO</t>
        </is>
      </c>
      <c r="C79" t="inlineStr">
        <is>
          <t>LA VICTORIA</t>
        </is>
      </c>
      <c r="D79" t="inlineStr">
        <is>
          <t>140106</t>
        </is>
      </c>
      <c r="E79" t="inlineStr">
        <is>
          <t>Av. Los Incas 270, Programa De Vivienda Primer Sector</t>
        </is>
      </c>
      <c r="F79" s="11" t="n">
        <v>0.0046</v>
      </c>
      <c r="G79" s="6">
        <f>IF($F$85=0,0,F79/$F$85)</f>
        <v/>
      </c>
      <c r="H79" s="5" t="n">
        <v>238393.21</v>
      </c>
      <c r="I79" t="n">
        <v>1</v>
      </c>
      <c r="J79" t="n">
        <v>4</v>
      </c>
      <c r="L79" s="5" t="n">
        <v>595983.01</v>
      </c>
    </row>
    <row r="80">
      <c r="A80" t="inlineStr">
        <is>
          <t>LAMBAYEQUE</t>
        </is>
      </c>
      <c r="B80" t="inlineStr">
        <is>
          <t>CHICLAYO</t>
        </is>
      </c>
      <c r="C80" t="inlineStr">
        <is>
          <t>MONSEFU</t>
        </is>
      </c>
      <c r="D80" t="inlineStr">
        <is>
          <t>140108</t>
        </is>
      </c>
      <c r="E80" t="inlineStr">
        <is>
          <t>Carretera Panamericanan Norte con Carretera Monsefu</t>
        </is>
      </c>
      <c r="F80" s="11" t="n">
        <v>0.0046</v>
      </c>
      <c r="G80" s="6">
        <f>IF($F$85=0,0,F80/$F$85)</f>
        <v/>
      </c>
      <c r="H80" s="5" t="n">
        <v>238393.21</v>
      </c>
      <c r="L80" s="5" t="n">
        <v>0</v>
      </c>
    </row>
    <row r="81">
      <c r="A81" t="inlineStr">
        <is>
          <t>LAMBAYEQUE</t>
        </is>
      </c>
      <c r="B81" t="inlineStr">
        <is>
          <t>LAMBAYEQUE</t>
        </is>
      </c>
      <c r="C81" t="inlineStr">
        <is>
          <t>LAMBAYEQUE</t>
        </is>
      </c>
      <c r="D81" t="inlineStr">
        <is>
          <t>140301</t>
        </is>
      </c>
      <c r="E81" t="inlineStr">
        <is>
          <t>Carretera Panamericana Norte KM 777, Sector San Nicolás</t>
        </is>
      </c>
      <c r="F81" s="11" t="n">
        <v>0.0046</v>
      </c>
      <c r="G81" s="6">
        <f>IF($F$85=0,0,F81/$F$85)</f>
        <v/>
      </c>
      <c r="H81" s="5" t="n">
        <v>238393.21</v>
      </c>
      <c r="I81" t="n">
        <v>1</v>
      </c>
      <c r="J81" t="n">
        <v>4</v>
      </c>
      <c r="L81" s="5" t="n">
        <v>595983.01</v>
      </c>
    </row>
    <row r="82">
      <c r="A82" t="inlineStr">
        <is>
          <t>LIMA</t>
        </is>
      </c>
      <c r="B82" t="inlineStr">
        <is>
          <t>LIMA</t>
        </is>
      </c>
      <c r="C82" t="inlineStr">
        <is>
          <t>BARRANCO</t>
        </is>
      </c>
      <c r="D82" t="inlineStr">
        <is>
          <t>150104</t>
        </is>
      </c>
      <c r="E82" t="inlineStr">
        <is>
          <t>Av. El Sol 697 con Av. República de Panamá</t>
        </is>
      </c>
      <c r="F82" s="11" t="n">
        <v>0.0046</v>
      </c>
      <c r="G82" s="6">
        <f>IF($F$85=0,0,F82/$F$85)</f>
        <v/>
      </c>
      <c r="H82" s="5" t="n">
        <v>238393.21</v>
      </c>
      <c r="I82" t="n">
        <v>1</v>
      </c>
      <c r="J82" t="n">
        <v>4</v>
      </c>
      <c r="L82" s="5" t="n">
        <v>595983.01</v>
      </c>
    </row>
    <row r="83">
      <c r="A83" t="inlineStr">
        <is>
          <t>ANCASH</t>
        </is>
      </c>
      <c r="B83" t="inlineStr">
        <is>
          <t>SANTA</t>
        </is>
      </c>
      <c r="C83" t="inlineStr">
        <is>
          <t>NUEVO CHIMBOTE</t>
        </is>
      </c>
      <c r="D83" t="inlineStr">
        <is>
          <t>021809</t>
        </is>
      </c>
      <c r="E83" t="inlineStr">
        <is>
          <t>Carretera Panamericana Norte Km. 425 Mz. A Lote 2 Prog.Viv. HUP Villa Maria Sub Lt.B2</t>
        </is>
      </c>
      <c r="F83" s="11" t="n">
        <v>0.0046</v>
      </c>
      <c r="G83" s="6">
        <f>IF($F$85=0,0,F83/$F$85)</f>
        <v/>
      </c>
      <c r="H83" s="5" t="n">
        <v>238393.21</v>
      </c>
      <c r="I83" t="n">
        <v>2</v>
      </c>
      <c r="J83" t="n">
        <v>3</v>
      </c>
      <c r="L83" s="5" t="n">
        <v>595983.01</v>
      </c>
    </row>
    <row r="84">
      <c r="A84" t="inlineStr">
        <is>
          <t>LIMA</t>
        </is>
      </c>
      <c r="B84" t="inlineStr">
        <is>
          <t>LIMA</t>
        </is>
      </c>
      <c r="C84" t="inlineStr">
        <is>
          <t>CHACLACAYO</t>
        </is>
      </c>
      <c r="D84" t="inlineStr">
        <is>
          <t>150107</t>
        </is>
      </c>
      <c r="E84" t="inlineStr">
        <is>
          <t>Av Nicolas Ayllon 1500 Ñaña (Carretera Central Km 19)</t>
        </is>
      </c>
      <c r="F84" s="11" t="n">
        <v>0.0046</v>
      </c>
      <c r="G84" s="6">
        <f>IF($F$85=0,0,F84/$F$85)</f>
        <v/>
      </c>
      <c r="H84" s="5" t="n">
        <v>238393.21</v>
      </c>
      <c r="I84" t="n">
        <v>4</v>
      </c>
      <c r="J84" t="n">
        <v>4</v>
      </c>
      <c r="L84" s="5" t="n">
        <v>953572.8199999999</v>
      </c>
    </row>
    <row r="85">
      <c r="A85" s="12" t="inlineStr">
        <is>
          <t>TOTAL</t>
        </is>
      </c>
      <c r="B85" t="inlineStr"/>
      <c r="C85" t="inlineStr"/>
      <c r="D85" t="inlineStr"/>
      <c r="E85" t="inlineStr"/>
      <c r="F85" s="13">
        <f>SUM(F5:F84)</f>
        <v/>
      </c>
      <c r="G85" t="inlineStr"/>
      <c r="H85" s="14">
        <f>SUM(H5:H84)</f>
        <v/>
      </c>
      <c r="I85" t="inlineStr"/>
      <c r="J85" t="inlineStr"/>
      <c r="K85" t="inlineStr"/>
      <c r="L85" s="14">
        <f>SUM(L5:L84)</f>
        <v/>
      </c>
    </row>
    <row r="88">
      <c r="A88" s="15" t="inlineStr">
        <is>
          <t>Detalle por ubicación (%)</t>
        </is>
      </c>
    </row>
    <row r="89">
      <c r="A89" s="3" t="inlineStr">
        <is>
          <t>Distrito</t>
        </is>
      </c>
      <c r="B89" s="3" t="inlineStr">
        <is>
          <t>Ubigeo</t>
        </is>
      </c>
      <c r="C89" s="3" t="inlineStr">
        <is>
          <t>Mineral</t>
        </is>
      </c>
      <c r="D89" s="3" t="inlineStr">
        <is>
          <t>Unidad</t>
        </is>
      </c>
      <c r="E89" s="3" t="inlineStr">
        <is>
          <t>Cantidad (orig.)</t>
        </is>
      </c>
      <c r="F89" s="3" t="inlineStr">
        <is>
          <t>TMF equiv.</t>
        </is>
      </c>
    </row>
    <row r="90">
      <c r="A90" t="inlineStr">
        <is>
          <t>TRUJILLO</t>
        </is>
      </c>
      <c r="B90" t="inlineStr">
        <is>
          <t>130101</t>
        </is>
      </c>
      <c r="C90" t="inlineStr">
        <is>
          <t>Distribución</t>
        </is>
      </c>
      <c r="D90" t="inlineStr">
        <is>
          <t>%</t>
        </is>
      </c>
      <c r="E90" s="11" t="n">
        <v>0.0507</v>
      </c>
      <c r="F90" s="16" t="n">
        <v>0.050691</v>
      </c>
    </row>
    <row r="91">
      <c r="A91" t="inlineStr">
        <is>
          <t>PIURA</t>
        </is>
      </c>
      <c r="B91" t="inlineStr">
        <is>
          <t>200101</t>
        </is>
      </c>
      <c r="C91" t="inlineStr">
        <is>
          <t>Distribución</t>
        </is>
      </c>
      <c r="D91" t="inlineStr">
        <is>
          <t>%</t>
        </is>
      </c>
      <c r="E91" s="11" t="n">
        <v>0.0507</v>
      </c>
      <c r="F91" s="16" t="n">
        <v>0.050691</v>
      </c>
    </row>
    <row r="92">
      <c r="A92" t="inlineStr">
        <is>
          <t>SANTIAGO DE SURCO</t>
        </is>
      </c>
      <c r="B92" t="inlineStr">
        <is>
          <t>150140</t>
        </is>
      </c>
      <c r="C92" t="inlineStr">
        <is>
          <t>Distribución</t>
        </is>
      </c>
      <c r="D92" t="inlineStr">
        <is>
          <t>%</t>
        </is>
      </c>
      <c r="E92" s="11" t="n">
        <v>0.0415</v>
      </c>
      <c r="F92" s="16" t="n">
        <v>0.041475</v>
      </c>
    </row>
    <row r="93">
      <c r="A93" t="inlineStr">
        <is>
          <t>CALLAO</t>
        </is>
      </c>
      <c r="B93" t="inlineStr">
        <is>
          <t>070101</t>
        </is>
      </c>
      <c r="C93" t="inlineStr">
        <is>
          <t>Distribución</t>
        </is>
      </c>
      <c r="D93" t="inlineStr">
        <is>
          <t>%</t>
        </is>
      </c>
      <c r="E93" s="11" t="n">
        <v>0.0369</v>
      </c>
      <c r="F93" s="16" t="n">
        <v>0.036866</v>
      </c>
    </row>
    <row r="94">
      <c r="A94" t="inlineStr">
        <is>
          <t>SAN MIGUEL</t>
        </is>
      </c>
      <c r="B94" t="inlineStr">
        <is>
          <t>150136</t>
        </is>
      </c>
      <c r="C94" t="inlineStr">
        <is>
          <t>Distribución</t>
        </is>
      </c>
      <c r="D94" t="inlineStr">
        <is>
          <t>%</t>
        </is>
      </c>
      <c r="E94" s="11" t="n">
        <v>0.0369</v>
      </c>
      <c r="F94" s="16" t="n">
        <v>0.036866</v>
      </c>
    </row>
    <row r="95">
      <c r="A95" t="inlineStr">
        <is>
          <t>CERRO COLORADO</t>
        </is>
      </c>
      <c r="B95" t="inlineStr">
        <is>
          <t>040104</t>
        </is>
      </c>
      <c r="C95" t="inlineStr">
        <is>
          <t>Distribución</t>
        </is>
      </c>
      <c r="D95" t="inlineStr">
        <is>
          <t>%</t>
        </is>
      </c>
      <c r="E95" s="11" t="n">
        <v>0.0369</v>
      </c>
      <c r="F95" s="16" t="n">
        <v>0.036866</v>
      </c>
    </row>
    <row r="96">
      <c r="A96" t="inlineStr">
        <is>
          <t>MIRAFLORES</t>
        </is>
      </c>
      <c r="B96" t="inlineStr">
        <is>
          <t>150122</t>
        </is>
      </c>
      <c r="C96" t="inlineStr">
        <is>
          <t>Distribución</t>
        </is>
      </c>
      <c r="D96" t="inlineStr">
        <is>
          <t>%</t>
        </is>
      </c>
      <c r="E96" s="11" t="n">
        <v>0.0323</v>
      </c>
      <c r="F96" s="16" t="n">
        <v>0.032258</v>
      </c>
    </row>
    <row r="97">
      <c r="A97" t="inlineStr">
        <is>
          <t>LA VICTORIA</t>
        </is>
      </c>
      <c r="B97" t="inlineStr">
        <is>
          <t>150115</t>
        </is>
      </c>
      <c r="C97" t="inlineStr">
        <is>
          <t>Distribución</t>
        </is>
      </c>
      <c r="D97" t="inlineStr">
        <is>
          <t>%</t>
        </is>
      </c>
      <c r="E97" s="11" t="n">
        <v>0.0323</v>
      </c>
      <c r="F97" s="16" t="n">
        <v>0.032258</v>
      </c>
    </row>
    <row r="98">
      <c r="A98" t="inlineStr">
        <is>
          <t>CHICLAYO</t>
        </is>
      </c>
      <c r="B98" t="inlineStr">
        <is>
          <t>140101</t>
        </is>
      </c>
      <c r="C98" t="inlineStr">
        <is>
          <t>Distribución</t>
        </is>
      </c>
      <c r="D98" t="inlineStr">
        <is>
          <t>%</t>
        </is>
      </c>
      <c r="E98" s="11" t="n">
        <v>0.0276</v>
      </c>
      <c r="F98" s="16" t="n">
        <v>0.02765</v>
      </c>
    </row>
    <row r="99">
      <c r="A99" t="inlineStr">
        <is>
          <t>LIMA</t>
        </is>
      </c>
      <c r="B99" t="inlineStr">
        <is>
          <t>150101</t>
        </is>
      </c>
      <c r="C99" t="inlineStr">
        <is>
          <t>Distribución</t>
        </is>
      </c>
      <c r="D99" t="inlineStr">
        <is>
          <t>%</t>
        </is>
      </c>
      <c r="E99" s="11" t="n">
        <v>0.0276</v>
      </c>
      <c r="F99" s="16" t="n">
        <v>0.02765</v>
      </c>
    </row>
    <row r="100">
      <c r="A100" t="inlineStr">
        <is>
          <t>SAN JUAN DE LURIGANCHO</t>
        </is>
      </c>
      <c r="B100" t="inlineStr">
        <is>
          <t>150132</t>
        </is>
      </c>
      <c r="C100" t="inlineStr">
        <is>
          <t>Distribución</t>
        </is>
      </c>
      <c r="D100" t="inlineStr">
        <is>
          <t>%</t>
        </is>
      </c>
      <c r="E100" s="11" t="n">
        <v>0.023</v>
      </c>
      <c r="F100" s="16" t="n">
        <v>0.023041</v>
      </c>
    </row>
    <row r="101">
      <c r="A101" t="inlineStr">
        <is>
          <t>MAGDALENA DEL MAR</t>
        </is>
      </c>
      <c r="B101" t="inlineStr">
        <is>
          <t>150120</t>
        </is>
      </c>
      <c r="C101" t="inlineStr">
        <is>
          <t>Distribución</t>
        </is>
      </c>
      <c r="D101" t="inlineStr">
        <is>
          <t>%</t>
        </is>
      </c>
      <c r="E101" s="11" t="n">
        <v>0.023</v>
      </c>
      <c r="F101" s="16" t="n">
        <v>0.023041</v>
      </c>
    </row>
    <row r="102">
      <c r="A102" t="inlineStr">
        <is>
          <t>LA MOLINA</t>
        </is>
      </c>
      <c r="B102" t="inlineStr">
        <is>
          <t>150114</t>
        </is>
      </c>
      <c r="C102" t="inlineStr">
        <is>
          <t>Distribución</t>
        </is>
      </c>
      <c r="D102" t="inlineStr">
        <is>
          <t>%</t>
        </is>
      </c>
      <c r="E102" s="11" t="n">
        <v>0.023</v>
      </c>
      <c r="F102" s="16" t="n">
        <v>0.023041</v>
      </c>
    </row>
    <row r="103">
      <c r="A103" t="inlineStr">
        <is>
          <t>AREQUIPA</t>
        </is>
      </c>
      <c r="B103" t="inlineStr">
        <is>
          <t>040101</t>
        </is>
      </c>
      <c r="C103" t="inlineStr">
        <is>
          <t>Distribución</t>
        </is>
      </c>
      <c r="D103" t="inlineStr">
        <is>
          <t>%</t>
        </is>
      </c>
      <c r="E103" s="11" t="n">
        <v>0.0184</v>
      </c>
      <c r="F103" s="16" t="n">
        <v>0.018433</v>
      </c>
    </row>
    <row r="104">
      <c r="A104" t="inlineStr">
        <is>
          <t>SAN ISIDRO</t>
        </is>
      </c>
      <c r="B104" t="inlineStr">
        <is>
          <t>150131</t>
        </is>
      </c>
      <c r="C104" t="inlineStr">
        <is>
          <t>Distribución</t>
        </is>
      </c>
      <c r="D104" t="inlineStr">
        <is>
          <t>%</t>
        </is>
      </c>
      <c r="E104" s="11" t="n">
        <v>0.0184</v>
      </c>
      <c r="F104" s="16" t="n">
        <v>0.018433</v>
      </c>
    </row>
    <row r="105">
      <c r="A105" t="inlineStr">
        <is>
          <t>CHORRILLOS</t>
        </is>
      </c>
      <c r="B105" t="inlineStr">
        <is>
          <t>150108</t>
        </is>
      </c>
      <c r="C105" t="inlineStr">
        <is>
          <t>Distribución</t>
        </is>
      </c>
      <c r="D105" t="inlineStr">
        <is>
          <t>%</t>
        </is>
      </c>
      <c r="E105" s="11" t="n">
        <v>0.0184</v>
      </c>
      <c r="F105" s="16" t="n">
        <v>0.018433</v>
      </c>
    </row>
    <row r="106">
      <c r="A106" t="inlineStr">
        <is>
          <t>SAN BORJA</t>
        </is>
      </c>
      <c r="B106" t="inlineStr">
        <is>
          <t>150130</t>
        </is>
      </c>
      <c r="C106" t="inlineStr">
        <is>
          <t>Distribución</t>
        </is>
      </c>
      <c r="D106" t="inlineStr">
        <is>
          <t>%</t>
        </is>
      </c>
      <c r="E106" s="11" t="n">
        <v>0.0184</v>
      </c>
      <c r="F106" s="16" t="n">
        <v>0.018433</v>
      </c>
    </row>
    <row r="107">
      <c r="A107" t="inlineStr">
        <is>
          <t>LA JOYA</t>
        </is>
      </c>
      <c r="B107" t="inlineStr">
        <is>
          <t>040108</t>
        </is>
      </c>
      <c r="C107" t="inlineStr">
        <is>
          <t>Distribución</t>
        </is>
      </c>
      <c r="D107" t="inlineStr">
        <is>
          <t>%</t>
        </is>
      </c>
      <c r="E107" s="11" t="n">
        <v>0.0184</v>
      </c>
      <c r="F107" s="16" t="n">
        <v>0.018433</v>
      </c>
    </row>
    <row r="108">
      <c r="A108" t="inlineStr">
        <is>
          <t>ATE</t>
        </is>
      </c>
      <c r="B108" t="inlineStr">
        <is>
          <t>150103</t>
        </is>
      </c>
      <c r="C108" t="inlineStr">
        <is>
          <t>Distribución</t>
        </is>
      </c>
      <c r="D108" t="inlineStr">
        <is>
          <t>%</t>
        </is>
      </c>
      <c r="E108" s="11" t="n">
        <v>0.0138</v>
      </c>
      <c r="F108" s="16" t="n">
        <v>0.013825</v>
      </c>
    </row>
    <row r="109">
      <c r="A109" t="inlineStr">
        <is>
          <t>ASIA</t>
        </is>
      </c>
      <c r="B109" t="inlineStr">
        <is>
          <t>150502</t>
        </is>
      </c>
      <c r="C109" t="inlineStr">
        <is>
          <t>Distribución</t>
        </is>
      </c>
      <c r="D109" t="inlineStr">
        <is>
          <t>%</t>
        </is>
      </c>
      <c r="E109" s="11" t="n">
        <v>0.0138</v>
      </c>
      <c r="F109" s="16" t="n">
        <v>0.013825</v>
      </c>
    </row>
    <row r="110">
      <c r="A110" t="inlineStr">
        <is>
          <t>SAN MARTIN DE PORRES</t>
        </is>
      </c>
      <c r="B110" t="inlineStr">
        <is>
          <t>150135</t>
        </is>
      </c>
      <c r="C110" t="inlineStr">
        <is>
          <t>Distribución</t>
        </is>
      </c>
      <c r="D110" t="inlineStr">
        <is>
          <t>%</t>
        </is>
      </c>
      <c r="E110" s="11" t="n">
        <v>0.0138</v>
      </c>
      <c r="F110" s="16" t="n">
        <v>0.013825</v>
      </c>
    </row>
    <row r="111">
      <c r="A111" t="inlineStr">
        <is>
          <t>SURQUILLO</t>
        </is>
      </c>
      <c r="B111" t="inlineStr">
        <is>
          <t>150141</t>
        </is>
      </c>
      <c r="C111" t="inlineStr">
        <is>
          <t>Distribución</t>
        </is>
      </c>
      <c r="D111" t="inlineStr">
        <is>
          <t>%</t>
        </is>
      </c>
      <c r="E111" s="11" t="n">
        <v>0.0138</v>
      </c>
      <c r="F111" s="16" t="n">
        <v>0.013825</v>
      </c>
    </row>
    <row r="112">
      <c r="A112" t="inlineStr">
        <is>
          <t>VILLA EL SALVADOR</t>
        </is>
      </c>
      <c r="B112" t="inlineStr">
        <is>
          <t>150142</t>
        </is>
      </c>
      <c r="C112" t="inlineStr">
        <is>
          <t>Distribución</t>
        </is>
      </c>
      <c r="D112" t="inlineStr">
        <is>
          <t>%</t>
        </is>
      </c>
      <c r="E112" s="11" t="n">
        <v>0.0138</v>
      </c>
      <c r="F112" s="16" t="n">
        <v>0.013825</v>
      </c>
    </row>
    <row r="113">
      <c r="A113" t="inlineStr">
        <is>
          <t>PUENTE PIEDRA</t>
        </is>
      </c>
      <c r="B113" t="inlineStr">
        <is>
          <t>150125</t>
        </is>
      </c>
      <c r="C113" t="inlineStr">
        <is>
          <t>Distribución</t>
        </is>
      </c>
      <c r="D113" t="inlineStr">
        <is>
          <t>%</t>
        </is>
      </c>
      <c r="E113" s="11" t="n">
        <v>0.0138</v>
      </c>
      <c r="F113" s="16" t="n">
        <v>0.013825</v>
      </c>
    </row>
    <row r="114">
      <c r="A114" t="inlineStr">
        <is>
          <t>CASTILLA</t>
        </is>
      </c>
      <c r="B114" t="inlineStr">
        <is>
          <t>200104</t>
        </is>
      </c>
      <c r="C114" t="inlineStr">
        <is>
          <t>Distribución</t>
        </is>
      </c>
      <c r="D114" t="inlineStr">
        <is>
          <t>%</t>
        </is>
      </c>
      <c r="E114" s="11" t="n">
        <v>0.0138</v>
      </c>
      <c r="F114" s="16" t="n">
        <v>0.013825</v>
      </c>
    </row>
    <row r="115">
      <c r="A115" t="inlineStr">
        <is>
          <t>YANAHUARA</t>
        </is>
      </c>
      <c r="B115" t="inlineStr">
        <is>
          <t>040126</t>
        </is>
      </c>
      <c r="C115" t="inlineStr">
        <is>
          <t>Distribución</t>
        </is>
      </c>
      <c r="D115" t="inlineStr">
        <is>
          <t>%</t>
        </is>
      </c>
      <c r="E115" s="11" t="n">
        <v>0.0138</v>
      </c>
      <c r="F115" s="16" t="n">
        <v>0.013825</v>
      </c>
    </row>
    <row r="116">
      <c r="A116" t="inlineStr">
        <is>
          <t>HUARAL</t>
        </is>
      </c>
      <c r="B116" t="inlineStr">
        <is>
          <t>150601</t>
        </is>
      </c>
      <c r="C116" t="inlineStr">
        <is>
          <t>Distribución</t>
        </is>
      </c>
      <c r="D116" t="inlineStr">
        <is>
          <t>%</t>
        </is>
      </c>
      <c r="E116" s="11" t="n">
        <v>0.0138</v>
      </c>
      <c r="F116" s="16" t="n">
        <v>0.013825</v>
      </c>
    </row>
    <row r="117">
      <c r="A117" t="inlineStr">
        <is>
          <t>JOSE LUIS BUSTAMANTE Y RIVERO</t>
        </is>
      </c>
      <c r="B117" t="inlineStr">
        <is>
          <t>040129</t>
        </is>
      </c>
      <c r="C117" t="inlineStr">
        <is>
          <t>Distribución</t>
        </is>
      </c>
      <c r="D117" t="inlineStr">
        <is>
          <t>%</t>
        </is>
      </c>
      <c r="E117" s="11" t="n">
        <v>0.0138</v>
      </c>
      <c r="F117" s="16" t="n">
        <v>0.013825</v>
      </c>
    </row>
    <row r="118">
      <c r="A118" t="inlineStr">
        <is>
          <t>BARRANCA</t>
        </is>
      </c>
      <c r="B118" t="inlineStr">
        <is>
          <t>150201</t>
        </is>
      </c>
      <c r="C118" t="inlineStr">
        <is>
          <t>Distribución</t>
        </is>
      </c>
      <c r="D118" t="inlineStr">
        <is>
          <t>%</t>
        </is>
      </c>
      <c r="E118" s="11" t="n">
        <v>0.0092</v>
      </c>
      <c r="F118" s="16" t="n">
        <v>0.009216999999999999</v>
      </c>
    </row>
    <row r="119">
      <c r="A119" t="inlineStr">
        <is>
          <t>TARMA</t>
        </is>
      </c>
      <c r="B119" t="inlineStr">
        <is>
          <t>120701</t>
        </is>
      </c>
      <c r="C119" t="inlineStr">
        <is>
          <t>Distribución</t>
        </is>
      </c>
      <c r="D119" t="inlineStr">
        <is>
          <t>%</t>
        </is>
      </c>
      <c r="E119" s="11" t="n">
        <v>0.0092</v>
      </c>
      <c r="F119" s="16" t="n">
        <v>0.009216999999999999</v>
      </c>
    </row>
    <row r="120">
      <c r="A120" t="inlineStr">
        <is>
          <t>RIMAC</t>
        </is>
      </c>
      <c r="B120" t="inlineStr">
        <is>
          <t>150128</t>
        </is>
      </c>
      <c r="C120" t="inlineStr">
        <is>
          <t>Distribución</t>
        </is>
      </c>
      <c r="D120" t="inlineStr">
        <is>
          <t>%</t>
        </is>
      </c>
      <c r="E120" s="11" t="n">
        <v>0.0092</v>
      </c>
      <c r="F120" s="16" t="n">
        <v>0.009216999999999999</v>
      </c>
    </row>
    <row r="121">
      <c r="A121" t="inlineStr">
        <is>
          <t>MAGDALENA VIEJA</t>
        </is>
      </c>
      <c r="B121" t="inlineStr">
        <is>
          <t>150121</t>
        </is>
      </c>
      <c r="C121" t="inlineStr">
        <is>
          <t>Distribución</t>
        </is>
      </c>
      <c r="D121" t="inlineStr">
        <is>
          <t>%</t>
        </is>
      </c>
      <c r="E121" s="11" t="n">
        <v>0.0092</v>
      </c>
      <c r="F121" s="16" t="n">
        <v>0.009216999999999999</v>
      </c>
    </row>
    <row r="122">
      <c r="A122" t="inlineStr">
        <is>
          <t>SULLANA</t>
        </is>
      </c>
      <c r="B122" t="inlineStr">
        <is>
          <t>200601</t>
        </is>
      </c>
      <c r="C122" t="inlineStr">
        <is>
          <t>Distribución</t>
        </is>
      </c>
      <c r="D122" t="inlineStr">
        <is>
          <t>%</t>
        </is>
      </c>
      <c r="E122" s="11" t="n">
        <v>0.0092</v>
      </c>
      <c r="F122" s="16" t="n">
        <v>0.009216999999999999</v>
      </c>
    </row>
    <row r="123">
      <c r="A123" t="inlineStr">
        <is>
          <t>LURIN</t>
        </is>
      </c>
      <c r="B123" t="inlineStr">
        <is>
          <t>150119</t>
        </is>
      </c>
      <c r="C123" t="inlineStr">
        <is>
          <t>Distribución</t>
        </is>
      </c>
      <c r="D123" t="inlineStr">
        <is>
          <t>%</t>
        </is>
      </c>
      <c r="E123" s="11" t="n">
        <v>0.0092</v>
      </c>
      <c r="F123" s="16" t="n">
        <v>0.009216999999999999</v>
      </c>
    </row>
    <row r="124">
      <c r="A124" t="inlineStr">
        <is>
          <t>LINCE</t>
        </is>
      </c>
      <c r="B124" t="inlineStr">
        <is>
          <t>150116</t>
        </is>
      </c>
      <c r="C124" t="inlineStr">
        <is>
          <t>Distribución</t>
        </is>
      </c>
      <c r="D124" t="inlineStr">
        <is>
          <t>%</t>
        </is>
      </c>
      <c r="E124" s="11" t="n">
        <v>0.0092</v>
      </c>
      <c r="F124" s="16" t="n">
        <v>0.009216999999999999</v>
      </c>
    </row>
    <row r="125">
      <c r="A125" t="inlineStr">
        <is>
          <t>JESUS MARIA</t>
        </is>
      </c>
      <c r="B125" t="inlineStr">
        <is>
          <t>150113</t>
        </is>
      </c>
      <c r="C125" t="inlineStr">
        <is>
          <t>Distribución</t>
        </is>
      </c>
      <c r="D125" t="inlineStr">
        <is>
          <t>%</t>
        </is>
      </c>
      <c r="E125" s="11" t="n">
        <v>0.0092</v>
      </c>
      <c r="F125" s="16" t="n">
        <v>0.009216999999999999</v>
      </c>
    </row>
    <row r="126">
      <c r="A126" t="inlineStr">
        <is>
          <t>COMAS</t>
        </is>
      </c>
      <c r="B126" t="inlineStr">
        <is>
          <t>150110</t>
        </is>
      </c>
      <c r="C126" t="inlineStr">
        <is>
          <t>Distribución</t>
        </is>
      </c>
      <c r="D126" t="inlineStr">
        <is>
          <t>%</t>
        </is>
      </c>
      <c r="E126" s="11" t="n">
        <v>0.0092</v>
      </c>
      <c r="F126" s="16" t="n">
        <v>0.009216999999999999</v>
      </c>
    </row>
    <row r="127">
      <c r="A127" t="inlineStr">
        <is>
          <t>SAN SEBASTIAN</t>
        </is>
      </c>
      <c r="B127" t="inlineStr">
        <is>
          <t>080105</t>
        </is>
      </c>
      <c r="C127" t="inlineStr">
        <is>
          <t>Distribución</t>
        </is>
      </c>
      <c r="D127" t="inlineStr">
        <is>
          <t>%</t>
        </is>
      </c>
      <c r="E127" s="11" t="n">
        <v>0.0092</v>
      </c>
      <c r="F127" s="16" t="n">
        <v>0.009216999999999999</v>
      </c>
    </row>
    <row r="128">
      <c r="A128" t="inlineStr">
        <is>
          <t>BREÑA</t>
        </is>
      </c>
      <c r="B128" t="inlineStr">
        <is>
          <t>150105</t>
        </is>
      </c>
      <c r="C128" t="inlineStr">
        <is>
          <t>Distribución</t>
        </is>
      </c>
      <c r="D128" t="inlineStr">
        <is>
          <t>%</t>
        </is>
      </c>
      <c r="E128" s="11" t="n">
        <v>0.0092</v>
      </c>
      <c r="F128" s="16" t="n">
        <v>0.009216999999999999</v>
      </c>
    </row>
    <row r="129">
      <c r="A129" t="inlineStr">
        <is>
          <t>CHANCAY</t>
        </is>
      </c>
      <c r="B129" t="inlineStr">
        <is>
          <t>150605</t>
        </is>
      </c>
      <c r="C129" t="inlineStr">
        <is>
          <t>Distribución</t>
        </is>
      </c>
      <c r="D129" t="inlineStr">
        <is>
          <t>%</t>
        </is>
      </c>
      <c r="E129" s="11" t="n">
        <v>0.0092</v>
      </c>
      <c r="F129" s="16" t="n">
        <v>0.009216999999999999</v>
      </c>
    </row>
    <row r="130">
      <c r="A130" t="inlineStr">
        <is>
          <t>MOCHE</t>
        </is>
      </c>
      <c r="B130" t="inlineStr">
        <is>
          <t>130107</t>
        </is>
      </c>
      <c r="C130" t="inlineStr">
        <is>
          <t>Distribución</t>
        </is>
      </c>
      <c r="D130" t="inlineStr">
        <is>
          <t>%</t>
        </is>
      </c>
      <c r="E130" s="11" t="n">
        <v>0.0092</v>
      </c>
      <c r="F130" s="16" t="n">
        <v>0.009216999999999999</v>
      </c>
    </row>
    <row r="131">
      <c r="A131" t="inlineStr">
        <is>
          <t>PISCO</t>
        </is>
      </c>
      <c r="B131" t="inlineStr">
        <is>
          <t>110501</t>
        </is>
      </c>
      <c r="C131" t="inlineStr">
        <is>
          <t>Distribución</t>
        </is>
      </c>
      <c r="D131" t="inlineStr">
        <is>
          <t>%</t>
        </is>
      </c>
      <c r="E131" s="11" t="n">
        <v>0.0092</v>
      </c>
      <c r="F131" s="16" t="n">
        <v>0.009216999999999999</v>
      </c>
    </row>
    <row r="132">
      <c r="A132" t="inlineStr">
        <is>
          <t>HUANCHACO</t>
        </is>
      </c>
      <c r="B132" t="inlineStr">
        <is>
          <t>130104</t>
        </is>
      </c>
      <c r="C132" t="inlineStr">
        <is>
          <t>Distribución</t>
        </is>
      </c>
      <c r="D132" t="inlineStr">
        <is>
          <t>%</t>
        </is>
      </c>
      <c r="E132" s="11" t="n">
        <v>0.0092</v>
      </c>
      <c r="F132" s="16" t="n">
        <v>0.009216999999999999</v>
      </c>
    </row>
    <row r="133">
      <c r="A133" t="inlineStr">
        <is>
          <t>EL TAMBO</t>
        </is>
      </c>
      <c r="B133" t="inlineStr">
        <is>
          <t>120114</t>
        </is>
      </c>
      <c r="C133" t="inlineStr">
        <is>
          <t>Distribución</t>
        </is>
      </c>
      <c r="D133" t="inlineStr">
        <is>
          <t>%</t>
        </is>
      </c>
      <c r="E133" s="11" t="n">
        <v>0.0092</v>
      </c>
      <c r="F133" s="16" t="n">
        <v>0.009216999999999999</v>
      </c>
    </row>
    <row r="134">
      <c r="A134" t="inlineStr">
        <is>
          <t>TACNA</t>
        </is>
      </c>
      <c r="B134" t="inlineStr">
        <is>
          <t>230101</t>
        </is>
      </c>
      <c r="C134" t="inlineStr">
        <is>
          <t>Distribución</t>
        </is>
      </c>
      <c r="D134" t="inlineStr">
        <is>
          <t>%</t>
        </is>
      </c>
      <c r="E134" s="11" t="n">
        <v>0.0092</v>
      </c>
      <c r="F134" s="16" t="n">
        <v>0.009216999999999999</v>
      </c>
    </row>
    <row r="135">
      <c r="A135" t="inlineStr">
        <is>
          <t>HUACHO</t>
        </is>
      </c>
      <c r="B135" t="inlineStr">
        <is>
          <t>150801</t>
        </is>
      </c>
      <c r="C135" t="inlineStr">
        <is>
          <t>Distribución</t>
        </is>
      </c>
      <c r="D135" t="inlineStr">
        <is>
          <t>%</t>
        </is>
      </c>
      <c r="E135" s="11" t="n">
        <v>0.0046</v>
      </c>
      <c r="F135" s="16" t="n">
        <v>0.004608</v>
      </c>
    </row>
    <row r="136">
      <c r="A136" t="inlineStr">
        <is>
          <t>SANTA CRUZ DE COCACHACRA</t>
        </is>
      </c>
      <c r="B136" t="inlineStr">
        <is>
          <t>150727</t>
        </is>
      </c>
      <c r="C136" t="inlineStr">
        <is>
          <t>Distribución</t>
        </is>
      </c>
      <c r="D136" t="inlineStr">
        <is>
          <t>%</t>
        </is>
      </c>
      <c r="E136" s="11" t="n">
        <v>0.0046</v>
      </c>
      <c r="F136" s="16" t="n">
        <v>0.004608</v>
      </c>
    </row>
    <row r="137">
      <c r="A137" t="inlineStr">
        <is>
          <t>SAN LUIS</t>
        </is>
      </c>
      <c r="B137" t="inlineStr">
        <is>
          <t>150134</t>
        </is>
      </c>
      <c r="C137" t="inlineStr">
        <is>
          <t>Distribución</t>
        </is>
      </c>
      <c r="D137" t="inlineStr">
        <is>
          <t>%</t>
        </is>
      </c>
      <c r="E137" s="11" t="n">
        <v>0.0046</v>
      </c>
      <c r="F137" s="16" t="n">
        <v>0.004608</v>
      </c>
    </row>
    <row r="138">
      <c r="A138" t="inlineStr">
        <is>
          <t>SAN LUIS</t>
        </is>
      </c>
      <c r="B138" t="inlineStr">
        <is>
          <t>150514</t>
        </is>
      </c>
      <c r="C138" t="inlineStr">
        <is>
          <t>Distribución</t>
        </is>
      </c>
      <c r="D138" t="inlineStr">
        <is>
          <t>%</t>
        </is>
      </c>
      <c r="E138" s="11" t="n">
        <v>0.0046</v>
      </c>
      <c r="F138" s="16" t="n">
        <v>0.004608</v>
      </c>
    </row>
    <row r="139">
      <c r="A139" t="inlineStr">
        <is>
          <t>CHILCA</t>
        </is>
      </c>
      <c r="B139" t="inlineStr">
        <is>
          <t>150505</t>
        </is>
      </c>
      <c r="C139" t="inlineStr">
        <is>
          <t>Distribución</t>
        </is>
      </c>
      <c r="D139" t="inlineStr">
        <is>
          <t>%</t>
        </is>
      </c>
      <c r="E139" s="11" t="n">
        <v>0.0046</v>
      </c>
      <c r="F139" s="16" t="n">
        <v>0.004608</v>
      </c>
    </row>
    <row r="140">
      <c r="A140" t="inlineStr">
        <is>
          <t>CERRO AZUL</t>
        </is>
      </c>
      <c r="B140" t="inlineStr">
        <is>
          <t>150504</t>
        </is>
      </c>
      <c r="C140" t="inlineStr">
        <is>
          <t>Distribución</t>
        </is>
      </c>
      <c r="D140" t="inlineStr">
        <is>
          <t>%</t>
        </is>
      </c>
      <c r="E140" s="11" t="n">
        <v>0.0046</v>
      </c>
      <c r="F140" s="16" t="n">
        <v>0.004608</v>
      </c>
    </row>
    <row r="141">
      <c r="A141" t="inlineStr">
        <is>
          <t>VEINTISEIS DE OCTUBRE</t>
        </is>
      </c>
      <c r="B141" t="inlineStr">
        <is>
          <t>200115</t>
        </is>
      </c>
      <c r="C141" t="inlineStr">
        <is>
          <t>Distribución</t>
        </is>
      </c>
      <c r="D141" t="inlineStr">
        <is>
          <t>%</t>
        </is>
      </c>
      <c r="E141" s="11" t="n">
        <v>0.0046</v>
      </c>
      <c r="F141" s="16" t="n">
        <v>0.004608</v>
      </c>
    </row>
    <row r="142">
      <c r="A142" t="inlineStr">
        <is>
          <t>PUNTA HERMOSA</t>
        </is>
      </c>
      <c r="B142" t="inlineStr">
        <is>
          <t>150126</t>
        </is>
      </c>
      <c r="C142" t="inlineStr">
        <is>
          <t>Distribución</t>
        </is>
      </c>
      <c r="D142" t="inlineStr">
        <is>
          <t>%</t>
        </is>
      </c>
      <c r="E142" s="11" t="n">
        <v>0.0046</v>
      </c>
      <c r="F142" s="16" t="n">
        <v>0.004608</v>
      </c>
    </row>
    <row r="143">
      <c r="A143" t="inlineStr">
        <is>
          <t>PARIÑAS</t>
        </is>
      </c>
      <c r="B143" t="inlineStr">
        <is>
          <t>200701</t>
        </is>
      </c>
      <c r="C143" t="inlineStr">
        <is>
          <t>Distribución</t>
        </is>
      </c>
      <c r="D143" t="inlineStr">
        <is>
          <t>%</t>
        </is>
      </c>
      <c r="E143" s="11" t="n">
        <v>0.0046</v>
      </c>
      <c r="F143" s="16" t="n">
        <v>0.004608</v>
      </c>
    </row>
    <row r="144">
      <c r="A144" t="inlineStr">
        <is>
          <t>COMANDANTE NOEL</t>
        </is>
      </c>
      <c r="B144" t="inlineStr">
        <is>
          <t>020803</t>
        </is>
      </c>
      <c r="C144" t="inlineStr">
        <is>
          <t>Distribución</t>
        </is>
      </c>
      <c r="D144" t="inlineStr">
        <is>
          <t>%</t>
        </is>
      </c>
      <c r="E144" s="11" t="n">
        <v>0.0046</v>
      </c>
      <c r="F144" s="16" t="n">
        <v>0.004608</v>
      </c>
    </row>
    <row r="145">
      <c r="A145" t="inlineStr">
        <is>
          <t>PACHACAMAC</t>
        </is>
      </c>
      <c r="B145" t="inlineStr">
        <is>
          <t>150123</t>
        </is>
      </c>
      <c r="C145" t="inlineStr">
        <is>
          <t>Distribución</t>
        </is>
      </c>
      <c r="D145" t="inlineStr">
        <is>
          <t>%</t>
        </is>
      </c>
      <c r="E145" s="11" t="n">
        <v>0.0046</v>
      </c>
      <c r="F145" s="16" t="n">
        <v>0.004608</v>
      </c>
    </row>
    <row r="146">
      <c r="A146" t="inlineStr">
        <is>
          <t>CHINCHA ALTA</t>
        </is>
      </c>
      <c r="B146" t="inlineStr">
        <is>
          <t>110201</t>
        </is>
      </c>
      <c r="C146" t="inlineStr">
        <is>
          <t>Distribución</t>
        </is>
      </c>
      <c r="D146" t="inlineStr">
        <is>
          <t>%</t>
        </is>
      </c>
      <c r="E146" s="11" t="n">
        <v>0.0046</v>
      </c>
      <c r="F146" s="16" t="n">
        <v>0.004608</v>
      </c>
    </row>
    <row r="147">
      <c r="A147" t="inlineStr">
        <is>
          <t>PAUCARPATA</t>
        </is>
      </c>
      <c r="B147" t="inlineStr">
        <is>
          <t>040112</t>
        </is>
      </c>
      <c r="C147" t="inlineStr">
        <is>
          <t>Distribución</t>
        </is>
      </c>
      <c r="D147" t="inlineStr">
        <is>
          <t>%</t>
        </is>
      </c>
      <c r="E147" s="11" t="n">
        <v>0.0046</v>
      </c>
      <c r="F147" s="16" t="n">
        <v>0.004608</v>
      </c>
    </row>
    <row r="148">
      <c r="A148" t="inlineStr">
        <is>
          <t>SACHACA</t>
        </is>
      </c>
      <c r="B148" t="inlineStr">
        <is>
          <t>040117</t>
        </is>
      </c>
      <c r="C148" t="inlineStr">
        <is>
          <t>Distribución</t>
        </is>
      </c>
      <c r="D148" t="inlineStr">
        <is>
          <t>%</t>
        </is>
      </c>
      <c r="E148" s="11" t="n">
        <v>0.0046</v>
      </c>
      <c r="F148" s="16" t="n">
        <v>0.004608</v>
      </c>
    </row>
    <row r="149">
      <c r="A149" t="inlineStr">
        <is>
          <t>SOCABAYA</t>
        </is>
      </c>
      <c r="B149" t="inlineStr">
        <is>
          <t>040122</t>
        </is>
      </c>
      <c r="C149" t="inlineStr">
        <is>
          <t>Distribución</t>
        </is>
      </c>
      <c r="D149" t="inlineStr">
        <is>
          <t>%</t>
        </is>
      </c>
      <c r="E149" s="11" t="n">
        <v>0.0046</v>
      </c>
      <c r="F149" s="16" t="n">
        <v>0.004608</v>
      </c>
    </row>
    <row r="150">
      <c r="A150" t="inlineStr">
        <is>
          <t>TIABAYA</t>
        </is>
      </c>
      <c r="B150" t="inlineStr">
        <is>
          <t>040123</t>
        </is>
      </c>
      <c r="C150" t="inlineStr">
        <is>
          <t>Distribución</t>
        </is>
      </c>
      <c r="D150" t="inlineStr">
        <is>
          <t>%</t>
        </is>
      </c>
      <c r="E150" s="11" t="n">
        <v>0.0046</v>
      </c>
      <c r="F150" s="16" t="n">
        <v>0.004608</v>
      </c>
    </row>
    <row r="151">
      <c r="A151" t="inlineStr">
        <is>
          <t>MAJES</t>
        </is>
      </c>
      <c r="B151" t="inlineStr">
        <is>
          <t>040520</t>
        </is>
      </c>
      <c r="C151" t="inlineStr">
        <is>
          <t>Distribución</t>
        </is>
      </c>
      <c r="D151" t="inlineStr">
        <is>
          <t>%</t>
        </is>
      </c>
      <c r="E151" s="11" t="n">
        <v>0.0046</v>
      </c>
      <c r="F151" s="16" t="n">
        <v>0.004608</v>
      </c>
    </row>
    <row r="152">
      <c r="A152" t="inlineStr">
        <is>
          <t>SANTIAGO</t>
        </is>
      </c>
      <c r="B152" t="inlineStr">
        <is>
          <t>080106</t>
        </is>
      </c>
      <c r="C152" t="inlineStr">
        <is>
          <t>Distribución</t>
        </is>
      </c>
      <c r="D152" t="inlineStr">
        <is>
          <t>%</t>
        </is>
      </c>
      <c r="E152" s="11" t="n">
        <v>0.0046</v>
      </c>
      <c r="F152" s="16" t="n">
        <v>0.004608</v>
      </c>
    </row>
    <row r="153">
      <c r="A153" t="inlineStr">
        <is>
          <t>WANCHAQ</t>
        </is>
      </c>
      <c r="B153" t="inlineStr">
        <is>
          <t>080108</t>
        </is>
      </c>
      <c r="C153" t="inlineStr">
        <is>
          <t>Distribución</t>
        </is>
      </c>
      <c r="D153" t="inlineStr">
        <is>
          <t>%</t>
        </is>
      </c>
      <c r="E153" s="11" t="n">
        <v>0.0046</v>
      </c>
      <c r="F153" s="16" t="n">
        <v>0.004608</v>
      </c>
    </row>
    <row r="154">
      <c r="A154" t="inlineStr">
        <is>
          <t>ICA</t>
        </is>
      </c>
      <c r="B154" t="inlineStr">
        <is>
          <t>110101</t>
        </is>
      </c>
      <c r="C154" t="inlineStr">
        <is>
          <t>Distribución</t>
        </is>
      </c>
      <c r="D154" t="inlineStr">
        <is>
          <t>%</t>
        </is>
      </c>
      <c r="E154" s="11" t="n">
        <v>0.0046</v>
      </c>
      <c r="F154" s="16" t="n">
        <v>0.004608</v>
      </c>
    </row>
    <row r="155">
      <c r="A155" t="inlineStr">
        <is>
          <t>LOS AQUIJES</t>
        </is>
      </c>
      <c r="B155" t="inlineStr">
        <is>
          <t>110103</t>
        </is>
      </c>
      <c r="C155" t="inlineStr">
        <is>
          <t>Distribución</t>
        </is>
      </c>
      <c r="D155" t="inlineStr">
        <is>
          <t>%</t>
        </is>
      </c>
      <c r="E155" s="11" t="n">
        <v>0.0046</v>
      </c>
      <c r="F155" s="16" t="n">
        <v>0.004608</v>
      </c>
    </row>
    <row r="156">
      <c r="A156" t="inlineStr">
        <is>
          <t>PARCONA</t>
        </is>
      </c>
      <c r="B156" t="inlineStr">
        <is>
          <t>110106</t>
        </is>
      </c>
      <c r="C156" t="inlineStr">
        <is>
          <t>Distribución</t>
        </is>
      </c>
      <c r="D156" t="inlineStr">
        <is>
          <t>%</t>
        </is>
      </c>
      <c r="E156" s="11" t="n">
        <v>0.0046</v>
      </c>
      <c r="F156" s="16" t="n">
        <v>0.004608</v>
      </c>
    </row>
    <row r="157">
      <c r="A157" t="inlineStr">
        <is>
          <t>EL CARMEN</t>
        </is>
      </c>
      <c r="B157" t="inlineStr">
        <is>
          <t>110205</t>
        </is>
      </c>
      <c r="C157" t="inlineStr">
        <is>
          <t>Distribución</t>
        </is>
      </c>
      <c r="D157" t="inlineStr">
        <is>
          <t>%</t>
        </is>
      </c>
      <c r="E157" s="11" t="n">
        <v>0.0046</v>
      </c>
      <c r="F157" s="16" t="n">
        <v>0.004608</v>
      </c>
    </row>
    <row r="158">
      <c r="A158" t="inlineStr">
        <is>
          <t>LOS OLIVOS</t>
        </is>
      </c>
      <c r="B158" t="inlineStr">
        <is>
          <t>150117</t>
        </is>
      </c>
      <c r="C158" t="inlineStr">
        <is>
          <t>Distribución</t>
        </is>
      </c>
      <c r="D158" t="inlineStr">
        <is>
          <t>%</t>
        </is>
      </c>
      <c r="E158" s="11" t="n">
        <v>0.0046</v>
      </c>
      <c r="F158" s="16" t="n">
        <v>0.004608</v>
      </c>
    </row>
    <row r="159">
      <c r="A159" t="inlineStr">
        <is>
          <t>CONCEPCION</t>
        </is>
      </c>
      <c r="B159" t="inlineStr">
        <is>
          <t>120201</t>
        </is>
      </c>
      <c r="C159" t="inlineStr">
        <is>
          <t>Distribución</t>
        </is>
      </c>
      <c r="D159" t="inlineStr">
        <is>
          <t>%</t>
        </is>
      </c>
      <c r="E159" s="11" t="n">
        <v>0.0046</v>
      </c>
      <c r="F159" s="16" t="n">
        <v>0.004608</v>
      </c>
    </row>
    <row r="160">
      <c r="A160" t="inlineStr">
        <is>
          <t>CARHUAMAYO</t>
        </is>
      </c>
      <c r="B160" t="inlineStr">
        <is>
          <t>120502</t>
        </is>
      </c>
      <c r="C160" t="inlineStr">
        <is>
          <t>Distribución</t>
        </is>
      </c>
      <c r="D160" t="inlineStr">
        <is>
          <t>%</t>
        </is>
      </c>
      <c r="E160" s="11" t="n">
        <v>0.0046</v>
      </c>
      <c r="F160" s="16" t="n">
        <v>0.004608</v>
      </c>
    </row>
    <row r="161">
      <c r="A161" t="inlineStr">
        <is>
          <t>SANTA ROSA DE SACCO</t>
        </is>
      </c>
      <c r="B161" t="inlineStr">
        <is>
          <t>120808</t>
        </is>
      </c>
      <c r="C161" t="inlineStr">
        <is>
          <t>Distribución</t>
        </is>
      </c>
      <c r="D161" t="inlineStr">
        <is>
          <t>%</t>
        </is>
      </c>
      <c r="E161" s="11" t="n">
        <v>0.0046</v>
      </c>
      <c r="F161" s="16" t="n">
        <v>0.004608</v>
      </c>
    </row>
    <row r="162">
      <c r="A162" t="inlineStr">
        <is>
          <t>LA ESPERANZA</t>
        </is>
      </c>
      <c r="B162" t="inlineStr">
        <is>
          <t>130105</t>
        </is>
      </c>
      <c r="C162" t="inlineStr">
        <is>
          <t>Distribución</t>
        </is>
      </c>
      <c r="D162" t="inlineStr">
        <is>
          <t>%</t>
        </is>
      </c>
      <c r="E162" s="11" t="n">
        <v>0.0046</v>
      </c>
      <c r="F162" s="16" t="n">
        <v>0.004608</v>
      </c>
    </row>
    <row r="163">
      <c r="A163" t="inlineStr">
        <is>
          <t>PACASMAYO</t>
        </is>
      </c>
      <c r="B163" t="inlineStr">
        <is>
          <t>130704</t>
        </is>
      </c>
      <c r="C163" t="inlineStr">
        <is>
          <t>Distribución</t>
        </is>
      </c>
      <c r="D163" t="inlineStr">
        <is>
          <t>%</t>
        </is>
      </c>
      <c r="E163" s="11" t="n">
        <v>0.0046</v>
      </c>
      <c r="F163" s="16" t="n">
        <v>0.004608</v>
      </c>
    </row>
    <row r="164">
      <c r="A164" t="inlineStr">
        <is>
          <t>LA VICTORIA</t>
        </is>
      </c>
      <c r="B164" t="inlineStr">
        <is>
          <t>140106</t>
        </is>
      </c>
      <c r="C164" t="inlineStr">
        <is>
          <t>Distribución</t>
        </is>
      </c>
      <c r="D164" t="inlineStr">
        <is>
          <t>%</t>
        </is>
      </c>
      <c r="E164" s="11" t="n">
        <v>0.0046</v>
      </c>
      <c r="F164" s="16" t="n">
        <v>0.004608</v>
      </c>
    </row>
    <row r="165">
      <c r="A165" t="inlineStr">
        <is>
          <t>MONSEFU</t>
        </is>
      </c>
      <c r="B165" t="inlineStr">
        <is>
          <t>140108</t>
        </is>
      </c>
      <c r="C165" t="inlineStr">
        <is>
          <t>Distribución</t>
        </is>
      </c>
      <c r="D165" t="inlineStr">
        <is>
          <t>%</t>
        </is>
      </c>
      <c r="E165" s="11" t="n">
        <v>0.0046</v>
      </c>
      <c r="F165" s="16" t="n">
        <v>0.004608</v>
      </c>
    </row>
    <row r="166">
      <c r="A166" t="inlineStr">
        <is>
          <t>LAMBAYEQUE</t>
        </is>
      </c>
      <c r="B166" t="inlineStr">
        <is>
          <t>140301</t>
        </is>
      </c>
      <c r="C166" t="inlineStr">
        <is>
          <t>Distribución</t>
        </is>
      </c>
      <c r="D166" t="inlineStr">
        <is>
          <t>%</t>
        </is>
      </c>
      <c r="E166" s="11" t="n">
        <v>0.0046</v>
      </c>
      <c r="F166" s="16" t="n">
        <v>0.004608</v>
      </c>
    </row>
    <row r="167">
      <c r="A167" t="inlineStr">
        <is>
          <t>BARRANCO</t>
        </is>
      </c>
      <c r="B167" t="inlineStr">
        <is>
          <t>150104</t>
        </is>
      </c>
      <c r="C167" t="inlineStr">
        <is>
          <t>Distribución</t>
        </is>
      </c>
      <c r="D167" t="inlineStr">
        <is>
          <t>%</t>
        </is>
      </c>
      <c r="E167" s="11" t="n">
        <v>0.0046</v>
      </c>
      <c r="F167" s="16" t="n">
        <v>0.004608</v>
      </c>
    </row>
    <row r="168">
      <c r="A168" t="inlineStr">
        <is>
          <t>NUEVO CHIMBOTE</t>
        </is>
      </c>
      <c r="B168" t="inlineStr">
        <is>
          <t>021809</t>
        </is>
      </c>
      <c r="C168" t="inlineStr">
        <is>
          <t>Distribución</t>
        </is>
      </c>
      <c r="D168" t="inlineStr">
        <is>
          <t>%</t>
        </is>
      </c>
      <c r="E168" s="11" t="n">
        <v>0.0046</v>
      </c>
      <c r="F168" s="16" t="n">
        <v>0.004608</v>
      </c>
    </row>
    <row r="169">
      <c r="A169" t="inlineStr">
        <is>
          <t>CHACLACAYO</t>
        </is>
      </c>
      <c r="B169" t="inlineStr">
        <is>
          <t>150107</t>
        </is>
      </c>
      <c r="C169" t="inlineStr">
        <is>
          <t>Distribución</t>
        </is>
      </c>
      <c r="D169" t="inlineStr">
        <is>
          <t>%</t>
        </is>
      </c>
      <c r="E169" s="11" t="n">
        <v>0.0046</v>
      </c>
      <c r="F169" s="16" t="n">
        <v>0.004608</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29"/>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Auna — Distribución por distrito y exposición asignada</t>
        </is>
      </c>
    </row>
    <row r="2">
      <c r="A2" s="2" t="inlineStr">
        <is>
          <t>Distribución total: 25.00 %   ·   Exposición en cartera: S/ 148,605,548   ·   Asignación: tmf_share</t>
        </is>
      </c>
    </row>
    <row r="4">
      <c r="A4" s="3" t="inlineStr">
        <is>
          <t>Departamento</t>
        </is>
      </c>
      <c r="B4" s="3" t="inlineStr">
        <is>
          <t>Provincia</t>
        </is>
      </c>
      <c r="C4" s="3" t="inlineStr">
        <is>
          <t>Distrito</t>
        </is>
      </c>
      <c r="D4" s="3" t="inlineStr">
        <is>
          <t>Ubigeo</t>
        </is>
      </c>
      <c r="E4" s="3" t="inlineStr">
        <is>
          <t>Sedes / clínicas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LAMBAYEQUE</t>
        </is>
      </c>
      <c r="B5" t="inlineStr">
        <is>
          <t>CHICLAYO</t>
        </is>
      </c>
      <c r="C5" t="inlineStr">
        <is>
          <t>CHICLAYO</t>
        </is>
      </c>
      <c r="D5" t="inlineStr">
        <is>
          <t>140101</t>
        </is>
      </c>
      <c r="E5" t="inlineStr">
        <is>
          <t>Centro Médico Auna Servimédicos (Chiclayo), Clínica Auna Chiclayo</t>
        </is>
      </c>
      <c r="F5" s="11" t="n">
        <v>4</v>
      </c>
      <c r="G5" s="6">
        <f>IF($F$15=0,0,F5/$F$15)</f>
        <v/>
      </c>
      <c r="H5" s="5" t="n">
        <v>23776887.74</v>
      </c>
      <c r="I5" t="n">
        <v>1</v>
      </c>
      <c r="J5" t="n">
        <v>4</v>
      </c>
      <c r="L5" s="5" t="n">
        <v>59442219.34</v>
      </c>
    </row>
    <row r="6">
      <c r="A6" t="inlineStr">
        <is>
          <t>LIMA</t>
        </is>
      </c>
      <c r="B6" t="inlineStr">
        <is>
          <t>LIMA</t>
        </is>
      </c>
      <c r="C6" t="inlineStr">
        <is>
          <t>MIRAFLORES</t>
        </is>
      </c>
      <c r="D6" t="inlineStr">
        <is>
          <t>150122</t>
        </is>
      </c>
      <c r="E6" t="inlineStr">
        <is>
          <t>Centro de Bienestar Auna - Benavides, Centro de Bienestar Auna - Independencia, Clínica Delgado Auna</t>
        </is>
      </c>
      <c r="F6" s="11" t="n">
        <v>4</v>
      </c>
      <c r="G6" s="6">
        <f>IF($F$15=0,0,F6/$F$15)</f>
        <v/>
      </c>
      <c r="H6" s="5" t="n">
        <v>23776887.74</v>
      </c>
      <c r="I6" t="n">
        <v>2</v>
      </c>
      <c r="J6" t="n">
        <v>4</v>
      </c>
      <c r="L6" s="5" t="n">
        <v>71330663.20999999</v>
      </c>
    </row>
    <row r="7">
      <c r="A7" t="inlineStr">
        <is>
          <t>AREQUIPA</t>
        </is>
      </c>
      <c r="B7" t="inlineStr">
        <is>
          <t>AREQUIPA</t>
        </is>
      </c>
      <c r="C7" t="inlineStr">
        <is>
          <t>AREQUIPA</t>
        </is>
      </c>
      <c r="D7" t="inlineStr">
        <is>
          <t>040101</t>
        </is>
      </c>
      <c r="E7" t="inlineStr">
        <is>
          <t>Clínica Auna Arequipa (Vallesur)</t>
        </is>
      </c>
      <c r="F7" s="11" t="n">
        <v>3</v>
      </c>
      <c r="G7" s="6">
        <f>IF($F$15=0,0,F7/$F$15)</f>
        <v/>
      </c>
      <c r="H7" s="5" t="n">
        <v>17832665.8</v>
      </c>
      <c r="I7" t="n">
        <v>2</v>
      </c>
      <c r="J7" t="n">
        <v>5</v>
      </c>
      <c r="L7" s="5" t="n">
        <v>62414330.31</v>
      </c>
    </row>
    <row r="8">
      <c r="A8" t="inlineStr">
        <is>
          <t>CALLAO</t>
        </is>
      </c>
      <c r="B8" t="inlineStr">
        <is>
          <t>CALLAO</t>
        </is>
      </c>
      <c r="C8" t="inlineStr">
        <is>
          <t>BELLAVISTA</t>
        </is>
      </c>
      <c r="D8" t="inlineStr">
        <is>
          <t>070102</t>
        </is>
      </c>
      <c r="E8" t="inlineStr">
        <is>
          <t>Clínica Auna Bellavista</t>
        </is>
      </c>
      <c r="F8" s="11" t="n">
        <v>3</v>
      </c>
      <c r="G8" s="6">
        <f>IF($F$15=0,0,F8/$F$15)</f>
        <v/>
      </c>
      <c r="H8" s="5" t="n">
        <v>17832665.8</v>
      </c>
      <c r="I8" t="n">
        <v>1</v>
      </c>
      <c r="J8" t="n">
        <v>4</v>
      </c>
      <c r="L8" s="5" t="n">
        <v>44581664.51</v>
      </c>
    </row>
    <row r="9">
      <c r="A9" t="inlineStr">
        <is>
          <t>LA LIBERTAD</t>
        </is>
      </c>
      <c r="B9" t="inlineStr">
        <is>
          <t>TRUJILLO</t>
        </is>
      </c>
      <c r="C9" t="inlineStr">
        <is>
          <t>TRUJILLO</t>
        </is>
      </c>
      <c r="D9" t="inlineStr">
        <is>
          <t>130101</t>
        </is>
      </c>
      <c r="E9" t="inlineStr">
        <is>
          <t>Clínica Auna Trujillo (Camino Real)</t>
        </is>
      </c>
      <c r="F9" s="11" t="n">
        <v>3</v>
      </c>
      <c r="G9" s="6">
        <f>IF($F$15=0,0,F9/$F$15)</f>
        <v/>
      </c>
      <c r="H9" s="5" t="n">
        <v>17832665.8</v>
      </c>
      <c r="I9" t="n">
        <v>1</v>
      </c>
      <c r="J9" t="n">
        <v>5</v>
      </c>
      <c r="L9" s="5" t="n">
        <v>53497997.41</v>
      </c>
    </row>
    <row r="10">
      <c r="A10" t="inlineStr">
        <is>
          <t>LIMA</t>
        </is>
      </c>
      <c r="B10" t="inlineStr">
        <is>
          <t>LIMA</t>
        </is>
      </c>
      <c r="C10" t="inlineStr">
        <is>
          <t>SAN ISIDRO</t>
        </is>
      </c>
      <c r="D10" t="inlineStr">
        <is>
          <t>150131</t>
        </is>
      </c>
      <c r="E10" t="inlineStr">
        <is>
          <t>Clínica Auna Guardia Civil, Oncocenter Radioncología - San Isidro</t>
        </is>
      </c>
      <c r="F10" s="11" t="n">
        <v>3</v>
      </c>
      <c r="G10" s="6">
        <f>IF($F$15=0,0,F10/$F$15)</f>
        <v/>
      </c>
      <c r="H10" s="5" t="n">
        <v>17832665.8</v>
      </c>
      <c r="I10" t="n">
        <v>1</v>
      </c>
      <c r="J10" t="n">
        <v>4</v>
      </c>
      <c r="L10" s="5" t="n">
        <v>44581664.51</v>
      </c>
    </row>
    <row r="11">
      <c r="A11" t="inlineStr">
        <is>
          <t>PIURA</t>
        </is>
      </c>
      <c r="B11" t="inlineStr">
        <is>
          <t>PIURA</t>
        </is>
      </c>
      <c r="C11" t="inlineStr">
        <is>
          <t>CASTILLA</t>
        </is>
      </c>
      <c r="D11" t="inlineStr">
        <is>
          <t>200104</t>
        </is>
      </c>
      <c r="E11" t="inlineStr">
        <is>
          <t>Clínica Auna Piura (Miraflores, Castilla)</t>
        </is>
      </c>
      <c r="F11" s="11" t="n">
        <v>3</v>
      </c>
      <c r="G11" s="6">
        <f>IF($F$15=0,0,F11/$F$15)</f>
        <v/>
      </c>
      <c r="H11" s="5" t="n">
        <v>17832665.8</v>
      </c>
      <c r="I11" t="n">
        <v>2</v>
      </c>
      <c r="J11" t="n">
        <v>5</v>
      </c>
      <c r="L11" s="5" t="n">
        <v>62414330.31</v>
      </c>
    </row>
    <row r="12">
      <c r="A12" t="inlineStr">
        <is>
          <t>LIMA</t>
        </is>
      </c>
      <c r="B12" t="inlineStr">
        <is>
          <t>LIMA</t>
        </is>
      </c>
      <c r="C12" t="inlineStr">
        <is>
          <t>MAGDALENA DEL MAR</t>
        </is>
      </c>
      <c r="D12" t="inlineStr">
        <is>
          <t>150120</t>
        </is>
      </c>
      <c r="E12" t="inlineStr">
        <is>
          <t>Centro de Medicina Física y Rehabilitación - Magdalena del Mar</t>
        </is>
      </c>
      <c r="F12" s="11" t="n">
        <v>1</v>
      </c>
      <c r="G12" s="6">
        <f>IF($F$15=0,0,F12/$F$15)</f>
        <v/>
      </c>
      <c r="H12" s="5" t="n">
        <v>5944221.93</v>
      </c>
      <c r="I12" t="n">
        <v>2</v>
      </c>
      <c r="J12" t="n">
        <v>4</v>
      </c>
      <c r="L12" s="5" t="n">
        <v>17832665.8</v>
      </c>
    </row>
    <row r="13">
      <c r="A13" t="inlineStr">
        <is>
          <t>PIURA</t>
        </is>
      </c>
      <c r="B13" t="inlineStr">
        <is>
          <t>PIURA</t>
        </is>
      </c>
      <c r="C13" t="inlineStr">
        <is>
          <t>PIURA</t>
        </is>
      </c>
      <c r="D13" t="inlineStr">
        <is>
          <t>200101</t>
        </is>
      </c>
      <c r="E13" t="inlineStr">
        <is>
          <t>Centro Médico Auna Piura (Parque Infantil)</t>
        </is>
      </c>
      <c r="F13" s="11" t="n">
        <v>1</v>
      </c>
      <c r="G13" s="6">
        <f>IF($F$15=0,0,F13/$F$15)</f>
        <v/>
      </c>
      <c r="H13" s="5" t="n">
        <v>5944221.93</v>
      </c>
      <c r="I13" t="n">
        <v>1</v>
      </c>
      <c r="J13" t="n">
        <v>5</v>
      </c>
      <c r="L13" s="5" t="n">
        <v>17832665.8</v>
      </c>
    </row>
    <row r="14">
      <c r="A14" t="inlineStr">
        <is>
          <t>LIMA</t>
        </is>
      </c>
      <c r="B14" t="inlineStr">
        <is>
          <t>LIMA</t>
        </is>
      </c>
      <c r="C14" t="inlineStr">
        <is>
          <t>SAN BORJA</t>
        </is>
      </c>
      <c r="D14" t="inlineStr">
        <is>
          <t>150130</t>
        </is>
      </c>
      <c r="E14" t="inlineStr">
        <is>
          <t>Clínicas Oncosalud - Sede Ambulatoria (Guardia Civil 571), Clínicas Oncosalud - Sede Hospitalaria (Guardia Civil 227)</t>
        </is>
      </c>
      <c r="F14" s="11" t="n">
        <v>0</v>
      </c>
      <c r="G14" s="6">
        <f>IF($F$15=0,0,F14/$F$15)</f>
        <v/>
      </c>
      <c r="H14" s="5" t="n">
        <v>0</v>
      </c>
      <c r="I14" t="n">
        <v>1</v>
      </c>
      <c r="J14" t="n">
        <v>2</v>
      </c>
      <c r="L14" s="5" t="n">
        <v>0</v>
      </c>
    </row>
    <row r="15">
      <c r="A15" s="12" t="inlineStr">
        <is>
          <t>TOTAL</t>
        </is>
      </c>
      <c r="B15" t="inlineStr"/>
      <c r="C15" t="inlineStr"/>
      <c r="D15" t="inlineStr"/>
      <c r="E15" t="inlineStr"/>
      <c r="F15" s="13">
        <f>SUM(F5:F14)</f>
        <v/>
      </c>
      <c r="G15" t="inlineStr"/>
      <c r="H15" s="14">
        <f>SUM(H5:H14)</f>
        <v/>
      </c>
      <c r="I15" t="inlineStr"/>
      <c r="J15" t="inlineStr"/>
      <c r="K15" t="inlineStr"/>
      <c r="L15" s="14">
        <f>SUM(L5:L14)</f>
        <v/>
      </c>
    </row>
    <row r="18">
      <c r="A18" s="15" t="inlineStr">
        <is>
          <t>Detalle por ubicación (%)</t>
        </is>
      </c>
    </row>
    <row r="19">
      <c r="A19" s="3" t="inlineStr">
        <is>
          <t>Distrito</t>
        </is>
      </c>
      <c r="B19" s="3" t="inlineStr">
        <is>
          <t>Ubigeo</t>
        </is>
      </c>
      <c r="C19" s="3" t="inlineStr">
        <is>
          <t>Mineral</t>
        </is>
      </c>
      <c r="D19" s="3" t="inlineStr">
        <is>
          <t>Unidad</t>
        </is>
      </c>
      <c r="E19" s="3" t="inlineStr">
        <is>
          <t>Cantidad (orig.)</t>
        </is>
      </c>
      <c r="F19" s="3" t="inlineStr">
        <is>
          <t>TMF equiv.</t>
        </is>
      </c>
    </row>
    <row r="20">
      <c r="A20" t="inlineStr">
        <is>
          <t>CHICLAYO</t>
        </is>
      </c>
      <c r="B20" t="inlineStr">
        <is>
          <t>140101</t>
        </is>
      </c>
      <c r="C20" t="inlineStr">
        <is>
          <t>Distribución</t>
        </is>
      </c>
      <c r="D20" t="inlineStr">
        <is>
          <t>%</t>
        </is>
      </c>
      <c r="E20" s="11" t="n">
        <v>4</v>
      </c>
      <c r="F20" s="16" t="n">
        <v>4</v>
      </c>
    </row>
    <row r="21">
      <c r="A21" t="inlineStr">
        <is>
          <t>MIRAFLORES</t>
        </is>
      </c>
      <c r="B21" t="inlineStr">
        <is>
          <t>150122</t>
        </is>
      </c>
      <c r="C21" t="inlineStr">
        <is>
          <t>Distribución</t>
        </is>
      </c>
      <c r="D21" t="inlineStr">
        <is>
          <t>%</t>
        </is>
      </c>
      <c r="E21" s="11" t="n">
        <v>4</v>
      </c>
      <c r="F21" s="16" t="n">
        <v>4</v>
      </c>
    </row>
    <row r="22">
      <c r="A22" t="inlineStr">
        <is>
          <t>AREQUIPA</t>
        </is>
      </c>
      <c r="B22" t="inlineStr">
        <is>
          <t>040101</t>
        </is>
      </c>
      <c r="C22" t="inlineStr">
        <is>
          <t>Distribución</t>
        </is>
      </c>
      <c r="D22" t="inlineStr">
        <is>
          <t>%</t>
        </is>
      </c>
      <c r="E22" s="11" t="n">
        <v>3</v>
      </c>
      <c r="F22" s="16" t="n">
        <v>3</v>
      </c>
    </row>
    <row r="23">
      <c r="A23" t="inlineStr">
        <is>
          <t>BELLAVISTA</t>
        </is>
      </c>
      <c r="B23" t="inlineStr">
        <is>
          <t>070102</t>
        </is>
      </c>
      <c r="C23" t="inlineStr">
        <is>
          <t>Distribución</t>
        </is>
      </c>
      <c r="D23" t="inlineStr">
        <is>
          <t>%</t>
        </is>
      </c>
      <c r="E23" s="11" t="n">
        <v>3</v>
      </c>
      <c r="F23" s="16" t="n">
        <v>3</v>
      </c>
    </row>
    <row r="24">
      <c r="A24" t="inlineStr">
        <is>
          <t>TRUJILLO</t>
        </is>
      </c>
      <c r="B24" t="inlineStr">
        <is>
          <t>130101</t>
        </is>
      </c>
      <c r="C24" t="inlineStr">
        <is>
          <t>Distribución</t>
        </is>
      </c>
      <c r="D24" t="inlineStr">
        <is>
          <t>%</t>
        </is>
      </c>
      <c r="E24" s="11" t="n">
        <v>3</v>
      </c>
      <c r="F24" s="16" t="n">
        <v>3</v>
      </c>
    </row>
    <row r="25">
      <c r="A25" t="inlineStr">
        <is>
          <t>SAN ISIDRO</t>
        </is>
      </c>
      <c r="B25" t="inlineStr">
        <is>
          <t>150131</t>
        </is>
      </c>
      <c r="C25" t="inlineStr">
        <is>
          <t>Distribución</t>
        </is>
      </c>
      <c r="D25" t="inlineStr">
        <is>
          <t>%</t>
        </is>
      </c>
      <c r="E25" s="11" t="n">
        <v>3</v>
      </c>
      <c r="F25" s="16" t="n">
        <v>3</v>
      </c>
    </row>
    <row r="26">
      <c r="A26" t="inlineStr">
        <is>
          <t>CASTILLA</t>
        </is>
      </c>
      <c r="B26" t="inlineStr">
        <is>
          <t>200104</t>
        </is>
      </c>
      <c r="C26" t="inlineStr">
        <is>
          <t>Distribución</t>
        </is>
      </c>
      <c r="D26" t="inlineStr">
        <is>
          <t>%</t>
        </is>
      </c>
      <c r="E26" s="11" t="n">
        <v>3</v>
      </c>
      <c r="F26" s="16" t="n">
        <v>3</v>
      </c>
    </row>
    <row r="27">
      <c r="A27" t="inlineStr">
        <is>
          <t>MAGDALENA DEL MAR</t>
        </is>
      </c>
      <c r="B27" t="inlineStr">
        <is>
          <t>150120</t>
        </is>
      </c>
      <c r="C27" t="inlineStr">
        <is>
          <t>Distribución</t>
        </is>
      </c>
      <c r="D27" t="inlineStr">
        <is>
          <t>%</t>
        </is>
      </c>
      <c r="E27" s="11" t="n">
        <v>1</v>
      </c>
      <c r="F27" s="16" t="n">
        <v>1</v>
      </c>
    </row>
    <row r="28">
      <c r="A28" t="inlineStr">
        <is>
          <t>PIURA</t>
        </is>
      </c>
      <c r="B28" t="inlineStr">
        <is>
          <t>200101</t>
        </is>
      </c>
      <c r="C28" t="inlineStr">
        <is>
          <t>Distribución</t>
        </is>
      </c>
      <c r="D28" t="inlineStr">
        <is>
          <t>%</t>
        </is>
      </c>
      <c r="E28" s="11" t="n">
        <v>1</v>
      </c>
      <c r="F28" s="16" t="n">
        <v>1</v>
      </c>
    </row>
    <row r="29">
      <c r="A29" t="inlineStr">
        <is>
          <t>SAN BORJA</t>
        </is>
      </c>
      <c r="B29" t="inlineStr">
        <is>
          <t>150130</t>
        </is>
      </c>
      <c r="C29" t="inlineStr">
        <is>
          <t>Distribución</t>
        </is>
      </c>
      <c r="D29" t="inlineStr">
        <is>
          <t>%</t>
        </is>
      </c>
      <c r="E29" s="11" t="n">
        <v>0</v>
      </c>
      <c r="F29" s="1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145"/>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Pluz Energía — Potencia efectiva por distrito y exposición asignada</t>
        </is>
      </c>
    </row>
    <row r="2">
      <c r="A2" s="2" t="inlineStr">
        <is>
          <t>Potencia efectiva total: 1.00 MW   ·   Exposición en cartera: S/ 65,141,026   ·   Asignación: tmf_share</t>
        </is>
      </c>
    </row>
    <row r="4">
      <c r="A4" s="3" t="inlineStr">
        <is>
          <t>Departamento</t>
        </is>
      </c>
      <c r="B4" s="3" t="inlineStr">
        <is>
          <t>Provincia</t>
        </is>
      </c>
      <c r="C4" s="3" t="inlineStr">
        <is>
          <t>Distrito</t>
        </is>
      </c>
      <c r="D4" s="3" t="inlineStr">
        <is>
          <t>Ubigeo</t>
        </is>
      </c>
      <c r="E4" s="3" t="inlineStr">
        <is>
          <t>Centrales eléctricas</t>
        </is>
      </c>
      <c r="F4" s="3" t="inlineStr">
        <is>
          <t>Potencia efectiva (MW)</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SAN JUAN DE LURIGANCHO</t>
        </is>
      </c>
      <c r="D5" t="inlineStr">
        <is>
          <t>150132</t>
        </is>
      </c>
      <c r="E5" t="inlineStr">
        <is>
          <t>San Juan De Lurigancho</t>
        </is>
      </c>
      <c r="F5" s="11" t="n">
        <v>0.1183</v>
      </c>
      <c r="G5" s="6">
        <f>IF($F$73=0,0,F5/$F$73)</f>
        <v/>
      </c>
      <c r="H5" s="5" t="n">
        <v>7703753.54</v>
      </c>
      <c r="I5" t="n">
        <v>5</v>
      </c>
      <c r="J5" t="n">
        <v>2</v>
      </c>
      <c r="L5" s="5" t="n">
        <v>26963137.38</v>
      </c>
    </row>
    <row r="6">
      <c r="A6" t="inlineStr">
        <is>
          <t>LIMA</t>
        </is>
      </c>
      <c r="B6" t="inlineStr">
        <is>
          <t>LIMA</t>
        </is>
      </c>
      <c r="C6" t="inlineStr">
        <is>
          <t>LIMA</t>
        </is>
      </c>
      <c r="D6" t="inlineStr">
        <is>
          <t>150101</t>
        </is>
      </c>
      <c r="E6" t="inlineStr">
        <is>
          <t>Lima</t>
        </is>
      </c>
      <c r="F6" s="11" t="n">
        <v>0.0949</v>
      </c>
      <c r="G6" s="6">
        <f>IF($F$73=0,0,F6/$F$73)</f>
        <v/>
      </c>
      <c r="H6" s="5" t="n">
        <v>6184757.56</v>
      </c>
      <c r="I6" t="n">
        <v>2</v>
      </c>
      <c r="J6" t="n">
        <v>4</v>
      </c>
      <c r="L6" s="5" t="n">
        <v>18554272.69</v>
      </c>
    </row>
    <row r="7">
      <c r="A7" t="inlineStr">
        <is>
          <t>CALLAO</t>
        </is>
      </c>
      <c r="B7" t="inlineStr">
        <is>
          <t>CALLAO</t>
        </is>
      </c>
      <c r="C7" t="inlineStr">
        <is>
          <t>CALLAO</t>
        </is>
      </c>
      <c r="D7" t="inlineStr">
        <is>
          <t>070101</t>
        </is>
      </c>
      <c r="E7" t="inlineStr">
        <is>
          <t>Callao</t>
        </is>
      </c>
      <c r="F7" s="11" t="n">
        <v>0.076</v>
      </c>
      <c r="G7" s="6">
        <f>IF($F$73=0,0,F7/$F$73)</f>
        <v/>
      </c>
      <c r="H7" s="5" t="n">
        <v>4948454.69</v>
      </c>
      <c r="I7" t="n">
        <v>1</v>
      </c>
      <c r="J7" t="n">
        <v>5</v>
      </c>
      <c r="L7" s="5" t="n">
        <v>14845364.07</v>
      </c>
    </row>
    <row r="8">
      <c r="A8" t="inlineStr">
        <is>
          <t>LIMA</t>
        </is>
      </c>
      <c r="B8" t="inlineStr">
        <is>
          <t>LIMA</t>
        </is>
      </c>
      <c r="C8" t="inlineStr">
        <is>
          <t>COMAS</t>
        </is>
      </c>
      <c r="D8" t="inlineStr">
        <is>
          <t>150110</t>
        </is>
      </c>
      <c r="E8" t="inlineStr">
        <is>
          <t>Comas</t>
        </is>
      </c>
      <c r="F8" s="11" t="n">
        <v>0.07530000000000001</v>
      </c>
      <c r="G8" s="6">
        <f>IF($F$73=0,0,F8/$F$73)</f>
        <v/>
      </c>
      <c r="H8" s="5" t="n">
        <v>4906124.05</v>
      </c>
      <c r="I8" t="n">
        <v>3</v>
      </c>
      <c r="J8" t="n">
        <v>3</v>
      </c>
      <c r="L8" s="5" t="n">
        <v>14718372.14</v>
      </c>
    </row>
    <row r="9">
      <c r="A9" t="inlineStr">
        <is>
          <t>LIMA</t>
        </is>
      </c>
      <c r="B9" t="inlineStr">
        <is>
          <t>LIMA</t>
        </is>
      </c>
      <c r="C9" t="inlineStr">
        <is>
          <t>SAN MARTIN DE PORRES</t>
        </is>
      </c>
      <c r="D9" t="inlineStr">
        <is>
          <t>150135</t>
        </is>
      </c>
      <c r="E9" t="inlineStr">
        <is>
          <t>San Martin De Porres</t>
        </is>
      </c>
      <c r="F9" s="11" t="n">
        <v>0.067</v>
      </c>
      <c r="G9" s="6">
        <f>IF($F$73=0,0,F9/$F$73)</f>
        <v/>
      </c>
      <c r="H9" s="5" t="n">
        <v>4365893.7</v>
      </c>
      <c r="I9" t="n">
        <v>2</v>
      </c>
      <c r="J9" t="n">
        <v>5</v>
      </c>
      <c r="L9" s="5" t="n">
        <v>15280627.96</v>
      </c>
    </row>
    <row r="10">
      <c r="A10" t="inlineStr">
        <is>
          <t>LIMA</t>
        </is>
      </c>
      <c r="B10" t="inlineStr">
        <is>
          <t>LIMA</t>
        </is>
      </c>
      <c r="C10" t="inlineStr">
        <is>
          <t>PUENTE PIEDRA</t>
        </is>
      </c>
      <c r="D10" t="inlineStr">
        <is>
          <t>150125</t>
        </is>
      </c>
      <c r="E10" t="inlineStr">
        <is>
          <t>Puente Piedra</t>
        </is>
      </c>
      <c r="F10" s="11" t="n">
        <v>0.0567</v>
      </c>
      <c r="G10" s="6">
        <f>IF($F$73=0,0,F10/$F$73)</f>
        <v/>
      </c>
      <c r="H10" s="5" t="n">
        <v>3690831.38</v>
      </c>
      <c r="I10" t="n">
        <v>2</v>
      </c>
      <c r="J10" t="n">
        <v>3</v>
      </c>
      <c r="L10" s="5" t="n">
        <v>9227078.460000001</v>
      </c>
    </row>
    <row r="11">
      <c r="A11" t="inlineStr">
        <is>
          <t>LIMA</t>
        </is>
      </c>
      <c r="B11" t="inlineStr">
        <is>
          <t>LIMA</t>
        </is>
      </c>
      <c r="C11" t="inlineStr">
        <is>
          <t>CARABAYLLO</t>
        </is>
      </c>
      <c r="D11" t="inlineStr">
        <is>
          <t>150106</t>
        </is>
      </c>
      <c r="E11" t="inlineStr">
        <is>
          <t>Carabayllo</t>
        </is>
      </c>
      <c r="F11" s="11" t="n">
        <v>0.055</v>
      </c>
      <c r="G11" s="6">
        <f>IF($F$73=0,0,F11/$F$73)</f>
        <v/>
      </c>
      <c r="H11" s="5" t="n">
        <v>3580337.41</v>
      </c>
      <c r="I11" t="n">
        <v>5</v>
      </c>
      <c r="J11" t="n">
        <v>3</v>
      </c>
      <c r="L11" s="5" t="n">
        <v>14321349.66</v>
      </c>
    </row>
    <row r="12">
      <c r="A12" t="inlineStr">
        <is>
          <t>LIMA</t>
        </is>
      </c>
      <c r="B12" t="inlineStr">
        <is>
          <t>LIMA</t>
        </is>
      </c>
      <c r="C12" t="inlineStr">
        <is>
          <t>SAN MIGUEL</t>
        </is>
      </c>
      <c r="D12" t="inlineStr">
        <is>
          <t>150136</t>
        </is>
      </c>
      <c r="E12" t="inlineStr">
        <is>
          <t>San Miguel</t>
        </is>
      </c>
      <c r="F12" s="11" t="n">
        <v>0.048</v>
      </c>
      <c r="G12" s="6">
        <f>IF($F$73=0,0,F12/$F$73)</f>
        <v/>
      </c>
      <c r="H12" s="5" t="n">
        <v>3128744.78</v>
      </c>
      <c r="I12" t="n">
        <v>1</v>
      </c>
      <c r="J12" t="n">
        <v>4</v>
      </c>
      <c r="L12" s="5" t="n">
        <v>7821861.95</v>
      </c>
    </row>
    <row r="13">
      <c r="A13" t="inlineStr">
        <is>
          <t>LIMA</t>
        </is>
      </c>
      <c r="B13" t="inlineStr">
        <is>
          <t>LIMA</t>
        </is>
      </c>
      <c r="C13" t="inlineStr">
        <is>
          <t>LOS OLIVOS</t>
        </is>
      </c>
      <c r="D13" t="inlineStr">
        <is>
          <t>150117</t>
        </is>
      </c>
      <c r="E13" t="inlineStr">
        <is>
          <t>Los Olivos</t>
        </is>
      </c>
      <c r="F13" s="11" t="n">
        <v>0.0452</v>
      </c>
      <c r="G13" s="6">
        <f>IF($F$73=0,0,F13/$F$73)</f>
        <v/>
      </c>
      <c r="H13" s="5" t="n">
        <v>2944531.76</v>
      </c>
      <c r="I13" t="n">
        <v>1</v>
      </c>
      <c r="J13" t="n">
        <v>4</v>
      </c>
      <c r="L13" s="5" t="n">
        <v>7361329.4</v>
      </c>
    </row>
    <row r="14">
      <c r="A14" t="inlineStr">
        <is>
          <t>CALLAO</t>
        </is>
      </c>
      <c r="B14" t="inlineStr">
        <is>
          <t>CALLAO</t>
        </is>
      </c>
      <c r="C14" t="inlineStr">
        <is>
          <t>VENTANILLA</t>
        </is>
      </c>
      <c r="D14" t="inlineStr">
        <is>
          <t>070106</t>
        </is>
      </c>
      <c r="E14" t="inlineStr">
        <is>
          <t>Ventanilla</t>
        </is>
      </c>
      <c r="F14" s="11" t="n">
        <v>0.0341</v>
      </c>
      <c r="G14" s="6">
        <f>IF($F$73=0,0,F14/$F$73)</f>
        <v/>
      </c>
      <c r="H14" s="5" t="n">
        <v>2221554.88</v>
      </c>
      <c r="I14" t="n">
        <v>3</v>
      </c>
      <c r="J14" t="n">
        <v>3</v>
      </c>
      <c r="L14" s="5" t="n">
        <v>6664664.63</v>
      </c>
    </row>
    <row r="15">
      <c r="A15" t="inlineStr">
        <is>
          <t>LIMA</t>
        </is>
      </c>
      <c r="B15" t="inlineStr">
        <is>
          <t>LIMA</t>
        </is>
      </c>
      <c r="C15" t="inlineStr">
        <is>
          <t>MAGDALENA VIEJA</t>
        </is>
      </c>
      <c r="D15" t="inlineStr">
        <is>
          <t>150121</t>
        </is>
      </c>
      <c r="E15" t="inlineStr">
        <is>
          <t>Pueblo Libre</t>
        </is>
      </c>
      <c r="F15" s="11" t="n">
        <v>0.0326</v>
      </c>
      <c r="G15" s="6">
        <f>IF($F$73=0,0,F15/$F$73)</f>
        <v/>
      </c>
      <c r="H15" s="5" t="n">
        <v>2125415.53</v>
      </c>
      <c r="I15" t="n">
        <v>1</v>
      </c>
      <c r="J15" t="n">
        <v>4</v>
      </c>
      <c r="L15" s="5" t="n">
        <v>5313538.84</v>
      </c>
    </row>
    <row r="16">
      <c r="A16" t="inlineStr">
        <is>
          <t>LIMA</t>
        </is>
      </c>
      <c r="B16" t="inlineStr">
        <is>
          <t>LIMA</t>
        </is>
      </c>
      <c r="C16" t="inlineStr">
        <is>
          <t>MAGDALENA DEL MAR</t>
        </is>
      </c>
      <c r="D16" t="inlineStr">
        <is>
          <t>150120</t>
        </is>
      </c>
      <c r="E16" t="inlineStr">
        <is>
          <t>Magdalena Del Mar</t>
        </is>
      </c>
      <c r="F16" s="11" t="n">
        <v>0.0307</v>
      </c>
      <c r="G16" s="6">
        <f>IF($F$73=0,0,F16/$F$73)</f>
        <v/>
      </c>
      <c r="H16" s="5" t="n">
        <v>2002738.46</v>
      </c>
      <c r="I16" t="n">
        <v>2</v>
      </c>
      <c r="J16" t="n">
        <v>4</v>
      </c>
      <c r="L16" s="5" t="n">
        <v>6008215.39</v>
      </c>
    </row>
    <row r="17">
      <c r="A17" t="inlineStr">
        <is>
          <t>LIMA</t>
        </is>
      </c>
      <c r="B17" t="inlineStr">
        <is>
          <t>LIMA</t>
        </is>
      </c>
      <c r="C17" t="inlineStr">
        <is>
          <t>JESUS MARIA</t>
        </is>
      </c>
      <c r="D17" t="inlineStr">
        <is>
          <t>150113</t>
        </is>
      </c>
      <c r="E17" t="inlineStr">
        <is>
          <t>Jesus Maria</t>
        </is>
      </c>
      <c r="F17" s="11" t="n">
        <v>0.0292</v>
      </c>
      <c r="G17" s="6">
        <f>IF($F$73=0,0,F17/$F$73)</f>
        <v/>
      </c>
      <c r="H17" s="5" t="n">
        <v>1904314.79</v>
      </c>
      <c r="I17" t="n">
        <v>1</v>
      </c>
      <c r="J17" t="n">
        <v>4</v>
      </c>
      <c r="L17" s="5" t="n">
        <v>4760786.97</v>
      </c>
    </row>
    <row r="18">
      <c r="A18" t="inlineStr">
        <is>
          <t>LIMA</t>
        </is>
      </c>
      <c r="B18" t="inlineStr">
        <is>
          <t>LIMA</t>
        </is>
      </c>
      <c r="C18" t="inlineStr">
        <is>
          <t>INDEPENDENCIA</t>
        </is>
      </c>
      <c r="D18" t="inlineStr">
        <is>
          <t>150112</t>
        </is>
      </c>
      <c r="E18" t="inlineStr">
        <is>
          <t>Independencia</t>
        </is>
      </c>
      <c r="F18" s="11" t="n">
        <v>0.026</v>
      </c>
      <c r="G18" s="6">
        <f>IF($F$73=0,0,F18/$F$73)</f>
        <v/>
      </c>
      <c r="H18" s="5" t="n">
        <v>1693564.04</v>
      </c>
      <c r="I18" t="n">
        <v>5</v>
      </c>
      <c r="J18" t="n">
        <v>2</v>
      </c>
      <c r="L18" s="5" t="n">
        <v>5927474.13</v>
      </c>
    </row>
    <row r="19">
      <c r="A19" t="inlineStr">
        <is>
          <t>LIMA</t>
        </is>
      </c>
      <c r="B19" t="inlineStr">
        <is>
          <t>LIMA</t>
        </is>
      </c>
      <c r="C19" t="inlineStr">
        <is>
          <t>BREÑA</t>
        </is>
      </c>
      <c r="D19" t="inlineStr">
        <is>
          <t>150105</t>
        </is>
      </c>
      <c r="E19" t="inlineStr">
        <is>
          <t>Breña</t>
        </is>
      </c>
      <c r="F19" s="11" t="n">
        <v>0.0243</v>
      </c>
      <c r="G19" s="6">
        <f>IF($F$73=0,0,F19/$F$73)</f>
        <v/>
      </c>
      <c r="H19" s="5" t="n">
        <v>1582957.26</v>
      </c>
      <c r="I19" t="n">
        <v>1</v>
      </c>
      <c r="J19" t="n">
        <v>3</v>
      </c>
      <c r="L19" s="5" t="n">
        <v>3165914.52</v>
      </c>
    </row>
    <row r="20">
      <c r="A20" t="inlineStr">
        <is>
          <t>LIMA</t>
        </is>
      </c>
      <c r="B20" t="inlineStr">
        <is>
          <t>LIMA</t>
        </is>
      </c>
      <c r="C20" t="inlineStr">
        <is>
          <t>RIMAC</t>
        </is>
      </c>
      <c r="D20" t="inlineStr">
        <is>
          <t>150128</t>
        </is>
      </c>
      <c r="E20" t="inlineStr">
        <is>
          <t>Rimac</t>
        </is>
      </c>
      <c r="F20" s="11" t="n">
        <v>0.024</v>
      </c>
      <c r="G20" s="6">
        <f>IF($F$73=0,0,F20/$F$73)</f>
        <v/>
      </c>
      <c r="H20" s="5" t="n">
        <v>1564428.79</v>
      </c>
      <c r="I20" t="n">
        <v>3</v>
      </c>
      <c r="J20" t="n">
        <v>3</v>
      </c>
      <c r="L20" s="5" t="n">
        <v>4693286.38</v>
      </c>
    </row>
    <row r="21">
      <c r="A21" t="inlineStr">
        <is>
          <t>LIMA</t>
        </is>
      </c>
      <c r="B21" t="inlineStr">
        <is>
          <t>HUARAL</t>
        </is>
      </c>
      <c r="C21" t="inlineStr">
        <is>
          <t>HUARAL</t>
        </is>
      </c>
      <c r="D21" t="inlineStr">
        <is>
          <t>150601</t>
        </is>
      </c>
      <c r="E21" t="inlineStr">
        <is>
          <t>Huaral</t>
        </is>
      </c>
      <c r="F21" s="11" t="n">
        <v>0.0153</v>
      </c>
      <c r="G21" s="6">
        <f>IF($F$73=0,0,F21/$F$73)</f>
        <v/>
      </c>
      <c r="H21" s="5" t="n">
        <v>996476.25</v>
      </c>
      <c r="I21" t="n">
        <v>4</v>
      </c>
      <c r="J21" t="n">
        <v>4</v>
      </c>
      <c r="L21" s="5" t="n">
        <v>3985905</v>
      </c>
    </row>
    <row r="22">
      <c r="A22" t="inlineStr">
        <is>
          <t>LIMA</t>
        </is>
      </c>
      <c r="B22" t="inlineStr">
        <is>
          <t>LIMA</t>
        </is>
      </c>
      <c r="C22" t="inlineStr">
        <is>
          <t>EL AGUSTINO</t>
        </is>
      </c>
      <c r="D22" t="inlineStr">
        <is>
          <t>150111</t>
        </is>
      </c>
      <c r="E22" t="inlineStr">
        <is>
          <t>El Agustino</t>
        </is>
      </c>
      <c r="F22" s="11" t="n">
        <v>0.0153</v>
      </c>
      <c r="G22" s="6">
        <f>IF($F$73=0,0,F22/$F$73)</f>
        <v/>
      </c>
      <c r="H22" s="5" t="n">
        <v>993881.7</v>
      </c>
      <c r="I22" t="n">
        <v>2</v>
      </c>
      <c r="J22" t="n">
        <v>4</v>
      </c>
      <c r="L22" s="5" t="n">
        <v>2981645.1</v>
      </c>
    </row>
    <row r="23">
      <c r="A23" t="inlineStr">
        <is>
          <t>LIMA</t>
        </is>
      </c>
      <c r="B23" t="inlineStr">
        <is>
          <t>LIMA</t>
        </is>
      </c>
      <c r="C23" t="inlineStr">
        <is>
          <t>SAN ISIDRO</t>
        </is>
      </c>
      <c r="D23" t="inlineStr">
        <is>
          <t>150131</t>
        </is>
      </c>
      <c r="E23" t="inlineStr">
        <is>
          <t>San Isidro</t>
        </is>
      </c>
      <c r="F23" s="11" t="n">
        <v>0.0151</v>
      </c>
      <c r="G23" s="6">
        <f>IF($F$73=0,0,F23/$F$73)</f>
        <v/>
      </c>
      <c r="H23" s="5" t="n">
        <v>981839.61</v>
      </c>
      <c r="I23" t="n">
        <v>1</v>
      </c>
      <c r="J23" t="n">
        <v>4</v>
      </c>
      <c r="L23" s="5" t="n">
        <v>2454599.01</v>
      </c>
    </row>
    <row r="24">
      <c r="A24" t="inlineStr">
        <is>
          <t>CALLAO</t>
        </is>
      </c>
      <c r="B24" t="inlineStr">
        <is>
          <t>CALLAO</t>
        </is>
      </c>
      <c r="C24" t="inlineStr">
        <is>
          <t>BELLAVISTA</t>
        </is>
      </c>
      <c r="D24" t="inlineStr">
        <is>
          <t>070102</t>
        </is>
      </c>
      <c r="E24" t="inlineStr">
        <is>
          <t>Bellavista</t>
        </is>
      </c>
      <c r="F24" s="11" t="n">
        <v>0.0121</v>
      </c>
      <c r="G24" s="6">
        <f>IF($F$73=0,0,F24/$F$73)</f>
        <v/>
      </c>
      <c r="H24" s="5" t="n">
        <v>789927.54</v>
      </c>
      <c r="I24" t="n">
        <v>1</v>
      </c>
      <c r="J24" t="n">
        <v>4</v>
      </c>
      <c r="L24" s="5" t="n">
        <v>1974818.85</v>
      </c>
    </row>
    <row r="25">
      <c r="A25" t="inlineStr">
        <is>
          <t>LIMA</t>
        </is>
      </c>
      <c r="B25" t="inlineStr">
        <is>
          <t>LIMA</t>
        </is>
      </c>
      <c r="C25" t="inlineStr">
        <is>
          <t>ANCON</t>
        </is>
      </c>
      <c r="D25" t="inlineStr">
        <is>
          <t>150102</t>
        </is>
      </c>
      <c r="E25" t="inlineStr">
        <is>
          <t>Ancon</t>
        </is>
      </c>
      <c r="F25" s="11" t="n">
        <v>0.012</v>
      </c>
      <c r="G25" s="6">
        <f>IF($F$73=0,0,F25/$F$73)</f>
        <v/>
      </c>
      <c r="H25" s="5" t="n">
        <v>780028.77</v>
      </c>
      <c r="I25" t="n">
        <v>4</v>
      </c>
      <c r="J25" t="n">
        <v>2</v>
      </c>
      <c r="L25" s="5" t="n">
        <v>2340086.31</v>
      </c>
    </row>
    <row r="26">
      <c r="A26" t="inlineStr">
        <is>
          <t>LIMA</t>
        </is>
      </c>
      <c r="B26" t="inlineStr">
        <is>
          <t>HUAURA</t>
        </is>
      </c>
      <c r="C26" t="inlineStr">
        <is>
          <t>HUACHO</t>
        </is>
      </c>
      <c r="D26" t="inlineStr">
        <is>
          <t>150801</t>
        </is>
      </c>
      <c r="E26" t="inlineStr">
        <is>
          <t>Huacho</t>
        </is>
      </c>
      <c r="F26" s="11" t="n">
        <v>0.0109</v>
      </c>
      <c r="G26" s="6">
        <f>IF($F$73=0,0,F26/$F$73)</f>
        <v/>
      </c>
      <c r="H26" s="5" t="n">
        <v>708424.84</v>
      </c>
      <c r="I26" t="n">
        <v>3</v>
      </c>
      <c r="J26" t="n">
        <v>3</v>
      </c>
      <c r="L26" s="5" t="n">
        <v>2125274.53</v>
      </c>
    </row>
    <row r="27">
      <c r="A27" t="inlineStr">
        <is>
          <t>LIMA</t>
        </is>
      </c>
      <c r="B27" t="inlineStr">
        <is>
          <t>BARRANCA</t>
        </is>
      </c>
      <c r="C27" t="inlineStr">
        <is>
          <t>BARRANCA</t>
        </is>
      </c>
      <c r="D27" t="inlineStr">
        <is>
          <t>150201</t>
        </is>
      </c>
      <c r="E27" t="inlineStr">
        <is>
          <t>Barranca</t>
        </is>
      </c>
      <c r="F27" s="11" t="n">
        <v>0.0098</v>
      </c>
      <c r="G27" s="6">
        <f>IF($F$73=0,0,F27/$F$73)</f>
        <v/>
      </c>
      <c r="H27" s="5" t="n">
        <v>638372</v>
      </c>
      <c r="I27" t="n">
        <v>3</v>
      </c>
      <c r="J27" t="n">
        <v>4</v>
      </c>
      <c r="L27" s="5" t="n">
        <v>2234302.01</v>
      </c>
    </row>
    <row r="28">
      <c r="A28" t="inlineStr">
        <is>
          <t>LIMA</t>
        </is>
      </c>
      <c r="B28" t="inlineStr">
        <is>
          <t>HUARAL</t>
        </is>
      </c>
      <c r="C28" t="inlineStr">
        <is>
          <t>CHANCAY</t>
        </is>
      </c>
      <c r="D28" t="inlineStr">
        <is>
          <t>150605</t>
        </is>
      </c>
      <c r="E28" t="inlineStr">
        <is>
          <t>Chancay</t>
        </is>
      </c>
      <c r="F28" s="11" t="n">
        <v>0.0092</v>
      </c>
      <c r="G28" s="6">
        <f>IF($F$73=0,0,F28/$F$73)</f>
        <v/>
      </c>
      <c r="H28" s="5" t="n">
        <v>602471.33</v>
      </c>
      <c r="I28" t="n">
        <v>3</v>
      </c>
      <c r="J28" t="n">
        <v>4</v>
      </c>
      <c r="L28" s="5" t="n">
        <v>2108649.67</v>
      </c>
    </row>
    <row r="29">
      <c r="A29" t="inlineStr">
        <is>
          <t>CALLAO</t>
        </is>
      </c>
      <c r="B29" t="inlineStr">
        <is>
          <t>CALLAO</t>
        </is>
      </c>
      <c r="C29" t="inlineStr">
        <is>
          <t>LA PERLA</t>
        </is>
      </c>
      <c r="D29" t="inlineStr">
        <is>
          <t>070104</t>
        </is>
      </c>
      <c r="E29" t="inlineStr">
        <is>
          <t>La Perla</t>
        </is>
      </c>
      <c r="F29" s="11" t="n">
        <v>0.008500000000000001</v>
      </c>
      <c r="G29" s="6">
        <f>IF($F$73=0,0,F29/$F$73)</f>
        <v/>
      </c>
      <c r="H29" s="5" t="n">
        <v>552610.86</v>
      </c>
      <c r="I29" t="n">
        <v>1</v>
      </c>
      <c r="J29" t="n">
        <v>4</v>
      </c>
      <c r="L29" s="5" t="n">
        <v>1381527.15</v>
      </c>
    </row>
    <row r="30">
      <c r="A30" t="inlineStr">
        <is>
          <t>LIMA</t>
        </is>
      </c>
      <c r="B30" t="inlineStr">
        <is>
          <t>LIMA</t>
        </is>
      </c>
      <c r="C30" t="inlineStr">
        <is>
          <t>SANTA ROSA</t>
        </is>
      </c>
      <c r="D30" t="inlineStr">
        <is>
          <t>150139</t>
        </is>
      </c>
      <c r="E30" t="inlineStr">
        <is>
          <t>Santa Rosa</t>
        </is>
      </c>
      <c r="F30" s="11" t="n">
        <v>0.0059</v>
      </c>
      <c r="G30" s="6">
        <f>IF($F$73=0,0,F30/$F$73)</f>
        <v/>
      </c>
      <c r="H30" s="5" t="n">
        <v>384670.18</v>
      </c>
      <c r="I30" t="n">
        <v>3</v>
      </c>
      <c r="J30" t="n">
        <v>2</v>
      </c>
      <c r="L30" s="5" t="n">
        <v>961675.4399999999</v>
      </c>
    </row>
    <row r="31">
      <c r="A31" t="inlineStr">
        <is>
          <t>LIMA</t>
        </is>
      </c>
      <c r="B31" t="inlineStr">
        <is>
          <t>HUAURA</t>
        </is>
      </c>
      <c r="C31" t="inlineStr">
        <is>
          <t>VEGUETA</t>
        </is>
      </c>
      <c r="D31" t="inlineStr">
        <is>
          <t>150812</t>
        </is>
      </c>
      <c r="E31" t="inlineStr">
        <is>
          <t>Vegueta</t>
        </is>
      </c>
      <c r="F31" s="11" t="n">
        <v>0.0058</v>
      </c>
      <c r="G31" s="6">
        <f>IF($F$73=0,0,F31/$F$73)</f>
        <v/>
      </c>
      <c r="H31" s="5" t="n">
        <v>375645.66</v>
      </c>
      <c r="I31" t="n">
        <v>3</v>
      </c>
      <c r="J31" t="n">
        <v>4</v>
      </c>
      <c r="L31" s="5" t="n">
        <v>1314759.8</v>
      </c>
    </row>
    <row r="32">
      <c r="A32" t="inlineStr">
        <is>
          <t>LIMA</t>
        </is>
      </c>
      <c r="B32" t="inlineStr">
        <is>
          <t>HUAURA</t>
        </is>
      </c>
      <c r="C32" t="inlineStr">
        <is>
          <t>SANTA MARIA</t>
        </is>
      </c>
      <c r="D32" t="inlineStr">
        <is>
          <t>150810</t>
        </is>
      </c>
      <c r="E32" t="inlineStr">
        <is>
          <t>Santa Maria</t>
        </is>
      </c>
      <c r="F32" s="11" t="n">
        <v>0.0046</v>
      </c>
      <c r="G32" s="6">
        <f>IF($F$73=0,0,F32/$F$73)</f>
        <v/>
      </c>
      <c r="H32" s="5" t="n">
        <v>299670.48</v>
      </c>
      <c r="I32" t="n">
        <v>3</v>
      </c>
      <c r="J32" t="n">
        <v>3</v>
      </c>
      <c r="L32" s="5" t="n">
        <v>899011.4300000001</v>
      </c>
    </row>
    <row r="33">
      <c r="A33" t="inlineStr">
        <is>
          <t>LIMA</t>
        </is>
      </c>
      <c r="B33" t="inlineStr">
        <is>
          <t>HUAURA</t>
        </is>
      </c>
      <c r="C33" t="inlineStr">
        <is>
          <t>SAYAN</t>
        </is>
      </c>
      <c r="D33" t="inlineStr">
        <is>
          <t>150811</t>
        </is>
      </c>
      <c r="E33" t="inlineStr">
        <is>
          <t>Sayan</t>
        </is>
      </c>
      <c r="F33" s="11" t="n">
        <v>0.0045</v>
      </c>
      <c r="G33" s="6">
        <f>IF($F$73=0,0,F33/$F$73)</f>
        <v/>
      </c>
      <c r="H33" s="5" t="n">
        <v>296258.08</v>
      </c>
      <c r="I33" t="n">
        <v>5</v>
      </c>
      <c r="J33" t="n">
        <v>4</v>
      </c>
      <c r="L33" s="5" t="n">
        <v>1333161.36</v>
      </c>
    </row>
    <row r="34">
      <c r="A34" t="inlineStr">
        <is>
          <t>LIMA</t>
        </is>
      </c>
      <c r="B34" t="inlineStr">
        <is>
          <t>HUARAL</t>
        </is>
      </c>
      <c r="C34" t="inlineStr">
        <is>
          <t>AUCALLAMA</t>
        </is>
      </c>
      <c r="D34" t="inlineStr">
        <is>
          <t>150604</t>
        </is>
      </c>
      <c r="E34" t="inlineStr">
        <is>
          <t>Aucallama</t>
        </is>
      </c>
      <c r="F34" s="11" t="n">
        <v>0.0045</v>
      </c>
      <c r="G34" s="6">
        <f>IF($F$73=0,0,F34/$F$73)</f>
        <v/>
      </c>
      <c r="H34" s="5" t="n">
        <v>294283.97</v>
      </c>
      <c r="I34" t="n">
        <v>4</v>
      </c>
      <c r="J34" t="n">
        <v>3</v>
      </c>
      <c r="L34" s="5" t="n">
        <v>1029993.88</v>
      </c>
    </row>
    <row r="35">
      <c r="A35" t="inlineStr">
        <is>
          <t>CALLAO</t>
        </is>
      </c>
      <c r="B35" t="inlineStr">
        <is>
          <t>CALLAO</t>
        </is>
      </c>
      <c r="C35" t="inlineStr">
        <is>
          <t>CARMEN DE LA LEGUA REYNOSO</t>
        </is>
      </c>
      <c r="D35" t="inlineStr">
        <is>
          <t>070103</t>
        </is>
      </c>
      <c r="E35" t="inlineStr">
        <is>
          <t>Carmen De La Legua Reynoso</t>
        </is>
      </c>
      <c r="F35" s="11" t="n">
        <v>0.0045</v>
      </c>
      <c r="G35" s="6">
        <f>IF($F$73=0,0,F35/$F$73)</f>
        <v/>
      </c>
      <c r="H35" s="5" t="n">
        <v>290758.76</v>
      </c>
      <c r="I35" t="n">
        <v>1</v>
      </c>
      <c r="J35" t="n">
        <v>4</v>
      </c>
      <c r="L35" s="5" t="n">
        <v>726896.91</v>
      </c>
    </row>
    <row r="36">
      <c r="A36" t="inlineStr">
        <is>
          <t>LIMA</t>
        </is>
      </c>
      <c r="B36" t="inlineStr">
        <is>
          <t>LIMA</t>
        </is>
      </c>
      <c r="C36" t="inlineStr">
        <is>
          <t>LURIGANCHO</t>
        </is>
      </c>
      <c r="D36" t="inlineStr">
        <is>
          <t>150118</t>
        </is>
      </c>
      <c r="E36" t="inlineStr">
        <is>
          <t>Lurigancho</t>
        </is>
      </c>
      <c r="F36" s="11" t="n">
        <v>0.0042</v>
      </c>
      <c r="G36" s="6">
        <f>IF($F$73=0,0,F36/$F$73)</f>
        <v/>
      </c>
      <c r="H36" s="5" t="n">
        <v>270876.62</v>
      </c>
      <c r="I36" t="n">
        <v>5</v>
      </c>
      <c r="J36" t="n">
        <v>4</v>
      </c>
      <c r="L36" s="5" t="n">
        <v>1218944.77</v>
      </c>
    </row>
    <row r="37">
      <c r="A37" t="inlineStr">
        <is>
          <t>LIMA</t>
        </is>
      </c>
      <c r="B37" t="inlineStr">
        <is>
          <t>HUAURA</t>
        </is>
      </c>
      <c r="C37" t="inlineStr">
        <is>
          <t>HUALMAY</t>
        </is>
      </c>
      <c r="D37" t="inlineStr">
        <is>
          <t>150805</t>
        </is>
      </c>
      <c r="E37" t="inlineStr">
        <is>
          <t>Hualmay</t>
        </is>
      </c>
      <c r="F37" s="11" t="n">
        <v>0.0032</v>
      </c>
      <c r="G37" s="6">
        <f>IF($F$73=0,0,F37/$F$73)</f>
        <v/>
      </c>
      <c r="H37" s="5" t="n">
        <v>207253.75</v>
      </c>
      <c r="I37" t="n">
        <v>1</v>
      </c>
      <c r="J37" t="n">
        <v>5</v>
      </c>
      <c r="L37" s="5" t="n">
        <v>621761.25</v>
      </c>
    </row>
    <row r="38">
      <c r="A38" t="inlineStr">
        <is>
          <t>CALLAO</t>
        </is>
      </c>
      <c r="B38" t="inlineStr">
        <is>
          <t>CALLAO</t>
        </is>
      </c>
      <c r="C38" t="inlineStr">
        <is>
          <t>MI PERU</t>
        </is>
      </c>
      <c r="D38" t="inlineStr">
        <is>
          <t>070107</t>
        </is>
      </c>
      <c r="E38" t="inlineStr">
        <is>
          <t>Mi Peru</t>
        </is>
      </c>
      <c r="F38" s="11" t="n">
        <v>0.003</v>
      </c>
      <c r="G38" s="6">
        <f>IF($F$73=0,0,F38/$F$73)</f>
        <v/>
      </c>
      <c r="H38" s="5" t="n">
        <v>196988.36</v>
      </c>
      <c r="I38" t="n">
        <v>3</v>
      </c>
      <c r="J38" t="n">
        <v>1</v>
      </c>
      <c r="L38" s="5" t="n">
        <v>393976.71</v>
      </c>
    </row>
    <row r="39">
      <c r="A39" t="inlineStr">
        <is>
          <t>LIMA</t>
        </is>
      </c>
      <c r="B39" t="inlineStr">
        <is>
          <t>BARRANCA</t>
        </is>
      </c>
      <c r="C39" t="inlineStr">
        <is>
          <t>SUPE</t>
        </is>
      </c>
      <c r="D39" t="inlineStr">
        <is>
          <t>150204</t>
        </is>
      </c>
      <c r="E39" t="inlineStr">
        <is>
          <t>Supe</t>
        </is>
      </c>
      <c r="F39" s="11" t="n">
        <v>0.0025</v>
      </c>
      <c r="G39" s="6">
        <f>IF($F$73=0,0,F39/$F$73)</f>
        <v/>
      </c>
      <c r="H39" s="5" t="n">
        <v>163597.63</v>
      </c>
      <c r="I39" t="n">
        <v>4</v>
      </c>
      <c r="J39" t="n">
        <v>4</v>
      </c>
      <c r="L39" s="5" t="n">
        <v>654390.53</v>
      </c>
    </row>
    <row r="40">
      <c r="A40" t="inlineStr">
        <is>
          <t>LIMA</t>
        </is>
      </c>
      <c r="B40" t="inlineStr">
        <is>
          <t>CANTA</t>
        </is>
      </c>
      <c r="C40" t="inlineStr">
        <is>
          <t>SANTA ROSA DE QUIVES</t>
        </is>
      </c>
      <c r="D40" t="inlineStr">
        <is>
          <t>150407</t>
        </is>
      </c>
      <c r="E40" t="inlineStr">
        <is>
          <t>Santa Rosa De Quives</t>
        </is>
      </c>
      <c r="F40" s="11" t="n">
        <v>0.0023</v>
      </c>
      <c r="G40" s="6">
        <f>IF($F$73=0,0,F40/$F$73)</f>
        <v/>
      </c>
      <c r="H40" s="5" t="n">
        <v>151611.94</v>
      </c>
      <c r="I40" t="n">
        <v>5</v>
      </c>
      <c r="J40" t="n">
        <v>2</v>
      </c>
      <c r="K40" t="n">
        <v>4</v>
      </c>
      <c r="L40" s="5" t="n">
        <v>555910.45</v>
      </c>
    </row>
    <row r="41">
      <c r="A41" t="inlineStr">
        <is>
          <t>LIMA</t>
        </is>
      </c>
      <c r="B41" t="inlineStr">
        <is>
          <t>HUAURA</t>
        </is>
      </c>
      <c r="C41" t="inlineStr">
        <is>
          <t>HUAURA</t>
        </is>
      </c>
      <c r="D41" t="inlineStr">
        <is>
          <t>150806</t>
        </is>
      </c>
      <c r="E41" t="inlineStr">
        <is>
          <t>Huaura</t>
        </is>
      </c>
      <c r="F41" s="11" t="n">
        <v>0.0021</v>
      </c>
      <c r="G41" s="6">
        <f>IF($F$73=0,0,F41/$F$73)</f>
        <v/>
      </c>
      <c r="H41" s="5" t="n">
        <v>138610.99</v>
      </c>
      <c r="I41" t="n">
        <v>4</v>
      </c>
      <c r="J41" t="n">
        <v>4</v>
      </c>
      <c r="L41" s="5" t="n">
        <v>554443.96</v>
      </c>
    </row>
    <row r="42">
      <c r="A42" t="inlineStr">
        <is>
          <t>LIMA</t>
        </is>
      </c>
      <c r="B42" t="inlineStr">
        <is>
          <t>BARRANCA</t>
        </is>
      </c>
      <c r="C42" t="inlineStr">
        <is>
          <t>SUPE PUERTO</t>
        </is>
      </c>
      <c r="D42" t="inlineStr">
        <is>
          <t>150205</t>
        </is>
      </c>
      <c r="E42" t="inlineStr">
        <is>
          <t>Supe Puerto</t>
        </is>
      </c>
      <c r="F42" s="11" t="n">
        <v>0.0018</v>
      </c>
      <c r="G42" s="6">
        <f>IF($F$73=0,0,F42/$F$73)</f>
        <v/>
      </c>
      <c r="H42" s="5" t="n">
        <v>115344.65</v>
      </c>
      <c r="I42" t="n">
        <v>3</v>
      </c>
      <c r="J42" t="n">
        <v>4</v>
      </c>
      <c r="L42" s="5" t="n">
        <v>403706.27</v>
      </c>
    </row>
    <row r="43">
      <c r="A43" t="inlineStr">
        <is>
          <t>LIMA</t>
        </is>
      </c>
      <c r="B43" t="inlineStr">
        <is>
          <t>BARRANCA</t>
        </is>
      </c>
      <c r="C43" t="inlineStr">
        <is>
          <t>PATIVILCA</t>
        </is>
      </c>
      <c r="D43" t="inlineStr">
        <is>
          <t>150203</t>
        </is>
      </c>
      <c r="E43" t="inlineStr">
        <is>
          <t>Pativilca</t>
        </is>
      </c>
      <c r="F43" s="11" t="n">
        <v>0.0014</v>
      </c>
      <c r="G43" s="6">
        <f>IF($F$73=0,0,F43/$F$73)</f>
        <v/>
      </c>
      <c r="H43" s="5" t="n">
        <v>90104.19</v>
      </c>
      <c r="I43" t="n">
        <v>4</v>
      </c>
      <c r="J43" t="n">
        <v>3</v>
      </c>
      <c r="L43" s="5" t="n">
        <v>315364.68</v>
      </c>
    </row>
    <row r="44">
      <c r="A44" t="inlineStr">
        <is>
          <t>CALLAO</t>
        </is>
      </c>
      <c r="B44" t="inlineStr">
        <is>
          <t>CALLAO</t>
        </is>
      </c>
      <c r="C44" t="inlineStr">
        <is>
          <t>LA PUNTA</t>
        </is>
      </c>
      <c r="D44" t="inlineStr">
        <is>
          <t>070105</t>
        </is>
      </c>
      <c r="E44" t="inlineStr">
        <is>
          <t>La Punta</t>
        </is>
      </c>
      <c r="F44" s="11" t="n">
        <v>0.0011</v>
      </c>
      <c r="G44" s="6">
        <f>IF($F$73=0,0,F44/$F$73)</f>
        <v/>
      </c>
      <c r="H44" s="5" t="n">
        <v>72901.2</v>
      </c>
      <c r="I44" t="n">
        <v>1</v>
      </c>
      <c r="J44" t="n">
        <v>4</v>
      </c>
      <c r="L44" s="5" t="n">
        <v>182253.01</v>
      </c>
    </row>
    <row r="45">
      <c r="A45" t="inlineStr">
        <is>
          <t>LIMA</t>
        </is>
      </c>
      <c r="B45" t="inlineStr">
        <is>
          <t>OYON</t>
        </is>
      </c>
      <c r="C45" t="inlineStr">
        <is>
          <t>PACHANGARA</t>
        </is>
      </c>
      <c r="D45" t="inlineStr">
        <is>
          <t>150906</t>
        </is>
      </c>
      <c r="E45" t="inlineStr">
        <is>
          <t>Pachangara</t>
        </is>
      </c>
      <c r="F45" s="11" t="n">
        <v>0.0005999999999999999</v>
      </c>
      <c r="G45" s="6">
        <f>IF($F$73=0,0,F45/$F$73)</f>
        <v/>
      </c>
      <c r="H45" s="5" t="n">
        <v>39905.3</v>
      </c>
      <c r="I45" t="n">
        <v>5</v>
      </c>
      <c r="J45" t="n">
        <v>2</v>
      </c>
      <c r="K45" t="n">
        <v>4</v>
      </c>
      <c r="L45" s="5" t="n">
        <v>146319.44</v>
      </c>
    </row>
    <row r="46">
      <c r="A46" t="inlineStr">
        <is>
          <t>LIMA</t>
        </is>
      </c>
      <c r="B46" t="inlineStr">
        <is>
          <t>HUAURA</t>
        </is>
      </c>
      <c r="C46" t="inlineStr">
        <is>
          <t>CALETA DE CARQUIN</t>
        </is>
      </c>
      <c r="D46" t="inlineStr">
        <is>
          <t>150803</t>
        </is>
      </c>
      <c r="E46" t="inlineStr">
        <is>
          <t>Caleta De Carquin</t>
        </is>
      </c>
      <c r="F46" s="11" t="n">
        <v>0.0005999999999999999</v>
      </c>
      <c r="G46" s="6">
        <f>IF($F$73=0,0,F46/$F$73)</f>
        <v/>
      </c>
      <c r="H46" s="5" t="n">
        <v>38213.2</v>
      </c>
      <c r="I46" t="n">
        <v>1</v>
      </c>
      <c r="J46" t="n">
        <v>5</v>
      </c>
      <c r="L46" s="5" t="n">
        <v>114639.61</v>
      </c>
    </row>
    <row r="47">
      <c r="A47" t="inlineStr">
        <is>
          <t>LIMA</t>
        </is>
      </c>
      <c r="B47" t="inlineStr">
        <is>
          <t>CANTA</t>
        </is>
      </c>
      <c r="C47" t="inlineStr">
        <is>
          <t>CANTA</t>
        </is>
      </c>
      <c r="D47" t="inlineStr">
        <is>
          <t>150401</t>
        </is>
      </c>
      <c r="E47" t="inlineStr">
        <is>
          <t>Canta</t>
        </is>
      </c>
      <c r="F47" s="11" t="n">
        <v>0.0005</v>
      </c>
      <c r="G47" s="6">
        <f>IF($F$73=0,0,F47/$F$73)</f>
        <v/>
      </c>
      <c r="H47" s="5" t="n">
        <v>29893.72</v>
      </c>
      <c r="I47" t="n">
        <v>4</v>
      </c>
      <c r="J47" t="n">
        <v>1</v>
      </c>
      <c r="K47" t="n">
        <v>3</v>
      </c>
      <c r="L47" s="5" t="n">
        <v>79716.60000000001</v>
      </c>
    </row>
    <row r="48">
      <c r="A48" t="inlineStr">
        <is>
          <t>LIMA</t>
        </is>
      </c>
      <c r="B48" t="inlineStr">
        <is>
          <t>OYON</t>
        </is>
      </c>
      <c r="C48" t="inlineStr">
        <is>
          <t>OYON</t>
        </is>
      </c>
      <c r="D48" t="inlineStr">
        <is>
          <t>150901</t>
        </is>
      </c>
      <c r="E48" t="inlineStr">
        <is>
          <t>Oyon</t>
        </is>
      </c>
      <c r="F48" s="11" t="n">
        <v>0.0002</v>
      </c>
      <c r="G48" s="6">
        <f>IF($F$73=0,0,F48/$F$73)</f>
        <v/>
      </c>
      <c r="H48" s="5" t="n">
        <v>14580.24</v>
      </c>
      <c r="I48" t="n">
        <v>5</v>
      </c>
      <c r="J48" t="n">
        <v>3</v>
      </c>
      <c r="K48" t="n">
        <v>3</v>
      </c>
      <c r="L48" s="5" t="n">
        <v>53460.88</v>
      </c>
    </row>
    <row r="49">
      <c r="A49" t="inlineStr">
        <is>
          <t>LIMA</t>
        </is>
      </c>
      <c r="B49" t="inlineStr">
        <is>
          <t>HUARAL</t>
        </is>
      </c>
      <c r="C49" t="inlineStr">
        <is>
          <t>PACARAOS</t>
        </is>
      </c>
      <c r="D49" t="inlineStr">
        <is>
          <t>150608</t>
        </is>
      </c>
      <c r="E49" t="inlineStr">
        <is>
          <t>Pacaraos</t>
        </is>
      </c>
      <c r="F49" s="11" t="n">
        <v>0.0002</v>
      </c>
      <c r="G49" s="6">
        <f>IF($F$73=0,0,F49/$F$73)</f>
        <v/>
      </c>
      <c r="H49" s="5" t="n">
        <v>11562.67</v>
      </c>
      <c r="I49" t="n">
        <v>4</v>
      </c>
      <c r="J49" t="n">
        <v>2</v>
      </c>
      <c r="K49" t="n">
        <v>2</v>
      </c>
      <c r="L49" s="5" t="n">
        <v>30833.78</v>
      </c>
    </row>
    <row r="50">
      <c r="A50" t="inlineStr">
        <is>
          <t>LIMA</t>
        </is>
      </c>
      <c r="B50" t="inlineStr">
        <is>
          <t>HUARAL</t>
        </is>
      </c>
      <c r="C50" t="inlineStr">
        <is>
          <t>ATAVILLOS BAJO</t>
        </is>
      </c>
      <c r="D50" t="inlineStr">
        <is>
          <t>150603</t>
        </is>
      </c>
      <c r="E50" t="inlineStr">
        <is>
          <t>Atavillos Bajo</t>
        </is>
      </c>
      <c r="F50" s="11" t="n">
        <v>0.0002</v>
      </c>
      <c r="G50" s="6">
        <f>IF($F$73=0,0,F50/$F$73)</f>
        <v/>
      </c>
      <c r="H50" s="5" t="n">
        <v>11280.65</v>
      </c>
      <c r="I50" t="n">
        <v>5</v>
      </c>
      <c r="J50" t="n">
        <v>2</v>
      </c>
      <c r="K50" t="n">
        <v>4</v>
      </c>
      <c r="L50" s="5" t="n">
        <v>41362.38</v>
      </c>
    </row>
    <row r="51">
      <c r="A51" t="inlineStr">
        <is>
          <t>LIMA</t>
        </is>
      </c>
      <c r="B51" t="inlineStr">
        <is>
          <t>CANTA</t>
        </is>
      </c>
      <c r="C51" t="inlineStr">
        <is>
          <t>SAN BUENAVENTURA</t>
        </is>
      </c>
      <c r="D51" t="inlineStr">
        <is>
          <t>150406</t>
        </is>
      </c>
      <c r="E51" t="inlineStr">
        <is>
          <t>San Buenaventura</t>
        </is>
      </c>
      <c r="F51" s="11" t="n">
        <v>0.0002</v>
      </c>
      <c r="G51" s="6">
        <f>IF($F$73=0,0,F51/$F$73)</f>
        <v/>
      </c>
      <c r="H51" s="5" t="n">
        <v>10998.63</v>
      </c>
      <c r="I51" t="n">
        <v>5</v>
      </c>
      <c r="J51" t="n">
        <v>1</v>
      </c>
      <c r="K51" t="n">
        <v>4</v>
      </c>
      <c r="L51" s="5" t="n">
        <v>36662.11</v>
      </c>
    </row>
    <row r="52">
      <c r="A52" t="inlineStr">
        <is>
          <t>LIMA</t>
        </is>
      </c>
      <c r="B52" t="inlineStr">
        <is>
          <t>CANTA</t>
        </is>
      </c>
      <c r="C52" t="inlineStr">
        <is>
          <t>HUAROS</t>
        </is>
      </c>
      <c r="D52" t="inlineStr">
        <is>
          <t>150404</t>
        </is>
      </c>
      <c r="E52" t="inlineStr">
        <is>
          <t>Huaros</t>
        </is>
      </c>
      <c r="F52" s="11" t="n">
        <v>0.0001</v>
      </c>
      <c r="G52" s="6">
        <f>IF($F$73=0,0,F52/$F$73)</f>
        <v/>
      </c>
      <c r="H52" s="5" t="n">
        <v>6486.37</v>
      </c>
      <c r="I52" t="n">
        <v>4</v>
      </c>
      <c r="J52" t="n">
        <v>1</v>
      </c>
      <c r="K52" t="n">
        <v>2</v>
      </c>
      <c r="L52" s="5" t="n">
        <v>15134.87</v>
      </c>
    </row>
    <row r="53">
      <c r="A53" t="inlineStr">
        <is>
          <t>LIMA</t>
        </is>
      </c>
      <c r="B53" t="inlineStr">
        <is>
          <t>CANTA</t>
        </is>
      </c>
      <c r="C53" t="inlineStr">
        <is>
          <t>HUAMANTANGA</t>
        </is>
      </c>
      <c r="D53" t="inlineStr">
        <is>
          <t>150403</t>
        </is>
      </c>
      <c r="E53" t="inlineStr">
        <is>
          <t>Huamantanga</t>
        </is>
      </c>
      <c r="F53" s="11" t="n">
        <v>0.0001</v>
      </c>
      <c r="G53" s="6">
        <f>IF($F$73=0,0,F53/$F$73)</f>
        <v/>
      </c>
      <c r="H53" s="5" t="n">
        <v>6119.75</v>
      </c>
      <c r="I53" t="n">
        <v>5</v>
      </c>
      <c r="J53" t="n">
        <v>2</v>
      </c>
      <c r="K53" t="n">
        <v>4</v>
      </c>
      <c r="L53" s="5" t="n">
        <v>22439.09</v>
      </c>
    </row>
    <row r="54">
      <c r="A54" t="inlineStr">
        <is>
          <t>LIMA</t>
        </is>
      </c>
      <c r="B54" t="inlineStr">
        <is>
          <t>HUARAL</t>
        </is>
      </c>
      <c r="C54" t="inlineStr">
        <is>
          <t>LAMPIAN</t>
        </is>
      </c>
      <c r="D54" t="inlineStr">
        <is>
          <t>150607</t>
        </is>
      </c>
      <c r="E54" t="inlineStr">
        <is>
          <t>Lampian</t>
        </is>
      </c>
      <c r="F54" s="11" t="n">
        <v>0.0001</v>
      </c>
      <c r="G54" s="6">
        <f>IF($F$73=0,0,F54/$F$73)</f>
        <v/>
      </c>
      <c r="H54" s="5" t="n">
        <v>5696.73</v>
      </c>
      <c r="I54" t="n">
        <v>4</v>
      </c>
      <c r="J54" t="n">
        <v>1</v>
      </c>
      <c r="K54" t="n">
        <v>5</v>
      </c>
      <c r="L54" s="5" t="n">
        <v>18989.09</v>
      </c>
    </row>
    <row r="55">
      <c r="A55" t="inlineStr">
        <is>
          <t>LIMA</t>
        </is>
      </c>
      <c r="B55" t="inlineStr">
        <is>
          <t>OYON</t>
        </is>
      </c>
      <c r="C55" t="inlineStr">
        <is>
          <t>ANDAJES</t>
        </is>
      </c>
      <c r="D55" t="inlineStr">
        <is>
          <t>150902</t>
        </is>
      </c>
      <c r="E55" t="inlineStr">
        <is>
          <t>Andajes</t>
        </is>
      </c>
      <c r="F55" s="11" t="n">
        <v>0.0001</v>
      </c>
      <c r="G55" s="6">
        <f>IF($F$73=0,0,F55/$F$73)</f>
        <v/>
      </c>
      <c r="H55" s="5" t="n">
        <v>4709.67</v>
      </c>
      <c r="I55" t="n">
        <v>4</v>
      </c>
      <c r="J55" t="n">
        <v>2</v>
      </c>
      <c r="K55" t="n">
        <v>4</v>
      </c>
      <c r="L55" s="5" t="n">
        <v>15698.91</v>
      </c>
    </row>
    <row r="56">
      <c r="A56" t="inlineStr">
        <is>
          <t>LIMA</t>
        </is>
      </c>
      <c r="B56" t="inlineStr">
        <is>
          <t>CANTA</t>
        </is>
      </c>
      <c r="C56" t="inlineStr">
        <is>
          <t>LACHAQUI</t>
        </is>
      </c>
      <c r="D56" t="inlineStr">
        <is>
          <t>150405</t>
        </is>
      </c>
      <c r="E56" t="inlineStr">
        <is>
          <t>Lachaqui</t>
        </is>
      </c>
      <c r="F56" s="11" t="n">
        <v>0.0001</v>
      </c>
      <c r="G56" s="6">
        <f>IF($F$73=0,0,F56/$F$73)</f>
        <v/>
      </c>
      <c r="H56" s="5" t="n">
        <v>4653.27</v>
      </c>
      <c r="I56" t="n">
        <v>4</v>
      </c>
      <c r="J56" t="n">
        <v>1</v>
      </c>
      <c r="K56" t="n">
        <v>4</v>
      </c>
      <c r="L56" s="5" t="n">
        <v>13959.8</v>
      </c>
    </row>
    <row r="57">
      <c r="A57" t="inlineStr">
        <is>
          <t>LIMA</t>
        </is>
      </c>
      <c r="B57" t="inlineStr">
        <is>
          <t>HUARAL</t>
        </is>
      </c>
      <c r="C57" t="inlineStr">
        <is>
          <t>SAN MIGUEL DE ACOS</t>
        </is>
      </c>
      <c r="D57" t="inlineStr">
        <is>
          <t>150609</t>
        </is>
      </c>
      <c r="E57" t="inlineStr">
        <is>
          <t>San Miguel De Acos</t>
        </is>
      </c>
      <c r="F57" s="11" t="n">
        <v>0.0001</v>
      </c>
      <c r="G57" s="6">
        <f>IF($F$73=0,0,F57/$F$73)</f>
        <v/>
      </c>
      <c r="H57" s="5" t="n">
        <v>4371.25</v>
      </c>
      <c r="I57" t="n">
        <v>4</v>
      </c>
      <c r="J57" t="n">
        <v>2</v>
      </c>
      <c r="K57" t="n">
        <v>4</v>
      </c>
      <c r="L57" s="5" t="n">
        <v>14570.84</v>
      </c>
    </row>
    <row r="58">
      <c r="A58" t="inlineStr">
        <is>
          <t>LIMA</t>
        </is>
      </c>
      <c r="B58" t="inlineStr">
        <is>
          <t>HUARAL</t>
        </is>
      </c>
      <c r="C58" t="inlineStr">
        <is>
          <t>ATAVILLOS ALTO</t>
        </is>
      </c>
      <c r="D58" t="inlineStr">
        <is>
          <t>150602</t>
        </is>
      </c>
      <c r="E58" t="inlineStr">
        <is>
          <t>Atavillos Alto</t>
        </is>
      </c>
      <c r="F58" s="11" t="n">
        <v>0.0001</v>
      </c>
      <c r="G58" s="6">
        <f>IF($F$73=0,0,F58/$F$73)</f>
        <v/>
      </c>
      <c r="H58" s="5" t="n">
        <v>4230.24</v>
      </c>
      <c r="I58" t="n">
        <v>4</v>
      </c>
      <c r="J58" t="n">
        <v>1</v>
      </c>
      <c r="K58" t="n">
        <v>2</v>
      </c>
      <c r="L58" s="5" t="n">
        <v>9870.57</v>
      </c>
    </row>
    <row r="59">
      <c r="A59" t="inlineStr">
        <is>
          <t>LIMA</t>
        </is>
      </c>
      <c r="B59" t="inlineStr">
        <is>
          <t>HUARAL</t>
        </is>
      </c>
      <c r="C59" t="inlineStr">
        <is>
          <t>VEINTISIETE DE NOVIEMBRE</t>
        </is>
      </c>
      <c r="D59" t="inlineStr">
        <is>
          <t>150612</t>
        </is>
      </c>
      <c r="E59" t="inlineStr">
        <is>
          <t>Veintisiete De Noviembre</t>
        </is>
      </c>
      <c r="F59" s="11" t="n">
        <v>0.0001</v>
      </c>
      <c r="G59" s="6">
        <f>IF($F$73=0,0,F59/$F$73)</f>
        <v/>
      </c>
      <c r="H59" s="5" t="n">
        <v>4032.83</v>
      </c>
      <c r="I59" t="n">
        <v>4</v>
      </c>
      <c r="J59" t="n">
        <v>1</v>
      </c>
      <c r="K59" t="n">
        <v>4</v>
      </c>
      <c r="L59" s="5" t="n">
        <v>12098.5</v>
      </c>
    </row>
    <row r="60">
      <c r="A60" t="inlineStr">
        <is>
          <t>LIMA</t>
        </is>
      </c>
      <c r="B60" t="inlineStr">
        <is>
          <t>HUARAL</t>
        </is>
      </c>
      <c r="C60" t="inlineStr">
        <is>
          <t>SANTA CRUZ DE ANDAMARCA</t>
        </is>
      </c>
      <c r="D60" t="inlineStr">
        <is>
          <t>150610</t>
        </is>
      </c>
      <c r="E60" t="inlineStr">
        <is>
          <t>Santa Cruz De Andamarca</t>
        </is>
      </c>
      <c r="F60" s="11" t="n">
        <v>0</v>
      </c>
      <c r="G60" s="6">
        <f>IF($F$73=0,0,F60/$F$73)</f>
        <v/>
      </c>
      <c r="H60" s="5" t="n">
        <v>1833.11</v>
      </c>
      <c r="I60" t="n">
        <v>4</v>
      </c>
      <c r="J60" t="n">
        <v>2</v>
      </c>
      <c r="K60" t="n">
        <v>2</v>
      </c>
      <c r="L60" s="5" t="n">
        <v>4888.28</v>
      </c>
    </row>
    <row r="61">
      <c r="A61" t="inlineStr">
        <is>
          <t>LIMA</t>
        </is>
      </c>
      <c r="B61" t="inlineStr">
        <is>
          <t>HUARAL</t>
        </is>
      </c>
      <c r="C61" t="inlineStr">
        <is>
          <t>SUMBILCA</t>
        </is>
      </c>
      <c r="D61" t="inlineStr">
        <is>
          <t>150611</t>
        </is>
      </c>
      <c r="E61" t="inlineStr">
        <is>
          <t>Sumbilca</t>
        </is>
      </c>
      <c r="F61" s="11" t="n">
        <v>0</v>
      </c>
      <c r="G61" s="6">
        <f>IF($F$73=0,0,F61/$F$73)</f>
        <v/>
      </c>
      <c r="H61" s="5" t="n">
        <v>1410.08</v>
      </c>
      <c r="I61" t="n">
        <v>5</v>
      </c>
      <c r="J61" t="n">
        <v>2</v>
      </c>
      <c r="K61" t="n">
        <v>5</v>
      </c>
      <c r="L61" s="5" t="n">
        <v>5640.33</v>
      </c>
    </row>
    <row r="62">
      <c r="A62" t="inlineStr">
        <is>
          <t>LIMA</t>
        </is>
      </c>
      <c r="B62" t="inlineStr">
        <is>
          <t>OYON</t>
        </is>
      </c>
      <c r="C62" t="inlineStr">
        <is>
          <t>NAVAN</t>
        </is>
      </c>
      <c r="D62" t="inlineStr">
        <is>
          <t>150905</t>
        </is>
      </c>
      <c r="E62" t="inlineStr">
        <is>
          <t>Navan</t>
        </is>
      </c>
      <c r="F62" s="11" t="n">
        <v>0</v>
      </c>
      <c r="G62" s="6">
        <f>IF($F$73=0,0,F62/$F$73)</f>
        <v/>
      </c>
      <c r="H62" s="5" t="n">
        <v>36.1</v>
      </c>
      <c r="L62" s="5" t="n">
        <v>0</v>
      </c>
    </row>
    <row r="63">
      <c r="A63" t="inlineStr">
        <is>
          <t>LIMA</t>
        </is>
      </c>
      <c r="B63" t="inlineStr">
        <is>
          <t>HUAURA</t>
        </is>
      </c>
      <c r="C63" t="inlineStr">
        <is>
          <t>PACCHO</t>
        </is>
      </c>
      <c r="D63" t="inlineStr">
        <is>
          <t>150808</t>
        </is>
      </c>
      <c r="E63" t="inlineStr">
        <is>
          <t>Paccho</t>
        </is>
      </c>
      <c r="F63" s="11" t="n">
        <v>0</v>
      </c>
      <c r="G63" s="6">
        <f>IF($F$73=0,0,F63/$F$73)</f>
        <v/>
      </c>
      <c r="H63" s="5" t="n">
        <v>0</v>
      </c>
      <c r="L63" s="5" t="n">
        <v>0</v>
      </c>
    </row>
    <row r="64">
      <c r="A64" t="inlineStr">
        <is>
          <t>LIMA</t>
        </is>
      </c>
      <c r="B64" t="inlineStr">
        <is>
          <t>HUAURA</t>
        </is>
      </c>
      <c r="C64" t="inlineStr">
        <is>
          <t>LEONCIO PRADO</t>
        </is>
      </c>
      <c r="D64" t="inlineStr">
        <is>
          <t>150807</t>
        </is>
      </c>
      <c r="E64" t="inlineStr">
        <is>
          <t>Leoncio Prado</t>
        </is>
      </c>
      <c r="F64" s="11" t="n">
        <v>0</v>
      </c>
      <c r="G64" s="6">
        <f>IF($F$73=0,0,F64/$F$73)</f>
        <v/>
      </c>
      <c r="H64" s="5" t="n">
        <v>0</v>
      </c>
      <c r="L64" s="5" t="n">
        <v>0</v>
      </c>
    </row>
    <row r="65">
      <c r="A65" t="inlineStr">
        <is>
          <t>LIMA</t>
        </is>
      </c>
      <c r="B65" t="inlineStr">
        <is>
          <t>CANTA</t>
        </is>
      </c>
      <c r="C65" t="inlineStr">
        <is>
          <t>ARAHUAY</t>
        </is>
      </c>
      <c r="D65" t="inlineStr">
        <is>
          <t>150402</t>
        </is>
      </c>
      <c r="E65" t="inlineStr">
        <is>
          <t>Arahuay</t>
        </is>
      </c>
      <c r="F65" s="11" t="n">
        <v>0</v>
      </c>
      <c r="G65" s="6">
        <f>IF($F$73=0,0,F65/$F$73)</f>
        <v/>
      </c>
      <c r="H65" s="5" t="n">
        <v>0</v>
      </c>
      <c r="L65" s="5" t="n">
        <v>0</v>
      </c>
    </row>
    <row r="66">
      <c r="A66" t="inlineStr">
        <is>
          <t>LIMA</t>
        </is>
      </c>
      <c r="B66" t="inlineStr">
        <is>
          <t>HUAURA</t>
        </is>
      </c>
      <c r="C66" t="inlineStr">
        <is>
          <t>CHECRAS</t>
        </is>
      </c>
      <c r="D66" t="inlineStr">
        <is>
          <t>150804</t>
        </is>
      </c>
      <c r="E66" t="inlineStr">
        <is>
          <t>Checras</t>
        </is>
      </c>
      <c r="F66" s="11" t="n">
        <v>0</v>
      </c>
      <c r="G66" s="6">
        <f>IF($F$73=0,0,F66/$F$73)</f>
        <v/>
      </c>
      <c r="H66" s="5" t="n">
        <v>0</v>
      </c>
      <c r="L66" s="5" t="n">
        <v>0</v>
      </c>
    </row>
    <row r="67">
      <c r="A67" t="inlineStr">
        <is>
          <t>LIMA</t>
        </is>
      </c>
      <c r="B67" t="inlineStr">
        <is>
          <t>BARRANCA</t>
        </is>
      </c>
      <c r="C67" t="inlineStr">
        <is>
          <t>PARAMONGA</t>
        </is>
      </c>
      <c r="D67" t="inlineStr">
        <is>
          <t>150202</t>
        </is>
      </c>
      <c r="E67" t="inlineStr">
        <is>
          <t>Paramonga</t>
        </is>
      </c>
      <c r="F67" s="11" t="n">
        <v>0</v>
      </c>
      <c r="G67" s="6">
        <f>IF($F$73=0,0,F67/$F$73)</f>
        <v/>
      </c>
      <c r="H67" s="5" t="n">
        <v>0</v>
      </c>
      <c r="L67" s="5" t="n">
        <v>0</v>
      </c>
    </row>
    <row r="68">
      <c r="A68" t="inlineStr">
        <is>
          <t>LIMA</t>
        </is>
      </c>
      <c r="B68" t="inlineStr">
        <is>
          <t>HUARAL</t>
        </is>
      </c>
      <c r="C68" t="inlineStr">
        <is>
          <t>IHUARI</t>
        </is>
      </c>
      <c r="D68" t="inlineStr">
        <is>
          <t>150606</t>
        </is>
      </c>
      <c r="E68" t="inlineStr">
        <is>
          <t>Ihuari</t>
        </is>
      </c>
      <c r="F68" s="11" t="n">
        <v>0</v>
      </c>
      <c r="G68" s="6">
        <f>IF($F$73=0,0,F68/$F$73)</f>
        <v/>
      </c>
      <c r="H68" s="5" t="n">
        <v>0</v>
      </c>
      <c r="L68" s="5" t="n">
        <v>0</v>
      </c>
    </row>
    <row r="69">
      <c r="A69" t="inlineStr">
        <is>
          <t>LIMA</t>
        </is>
      </c>
      <c r="B69" t="inlineStr">
        <is>
          <t>HUAURA</t>
        </is>
      </c>
      <c r="C69" t="inlineStr">
        <is>
          <t>AMBAR</t>
        </is>
      </c>
      <c r="D69" t="inlineStr">
        <is>
          <t>150802</t>
        </is>
      </c>
      <c r="E69" t="inlineStr">
        <is>
          <t>Ambar</t>
        </is>
      </c>
      <c r="F69" s="11" t="n">
        <v>0</v>
      </c>
      <c r="G69" s="6">
        <f>IF($F$73=0,0,F69/$F$73)</f>
        <v/>
      </c>
      <c r="H69" s="5" t="n">
        <v>0</v>
      </c>
      <c r="L69" s="5" t="n">
        <v>0</v>
      </c>
    </row>
    <row r="70">
      <c r="A70" t="inlineStr">
        <is>
          <t>LIMA</t>
        </is>
      </c>
      <c r="B70" t="inlineStr">
        <is>
          <t>OYON</t>
        </is>
      </c>
      <c r="C70" t="inlineStr">
        <is>
          <t>CAUJUL</t>
        </is>
      </c>
      <c r="D70" t="inlineStr">
        <is>
          <t>150903</t>
        </is>
      </c>
      <c r="E70" t="inlineStr">
        <is>
          <t>Caujul</t>
        </is>
      </c>
      <c r="F70" s="11" t="n">
        <v>0</v>
      </c>
      <c r="G70" s="6">
        <f>IF($F$73=0,0,F70/$F$73)</f>
        <v/>
      </c>
      <c r="H70" s="5" t="n">
        <v>0</v>
      </c>
      <c r="L70" s="5" t="n">
        <v>0</v>
      </c>
    </row>
    <row r="71">
      <c r="A71" t="inlineStr">
        <is>
          <t>LIMA</t>
        </is>
      </c>
      <c r="B71" t="inlineStr">
        <is>
          <t>OYON</t>
        </is>
      </c>
      <c r="C71" t="inlineStr">
        <is>
          <t>COCHAMARCA</t>
        </is>
      </c>
      <c r="D71" t="inlineStr">
        <is>
          <t>150904</t>
        </is>
      </c>
      <c r="E71" t="inlineStr">
        <is>
          <t>Cochamarca</t>
        </is>
      </c>
      <c r="F71" s="11" t="n">
        <v>0</v>
      </c>
      <c r="G71" s="6">
        <f>IF($F$73=0,0,F71/$F$73)</f>
        <v/>
      </c>
      <c r="H71" s="5" t="n">
        <v>0</v>
      </c>
      <c r="L71" s="5" t="n">
        <v>0</v>
      </c>
    </row>
    <row r="72">
      <c r="A72" t="inlineStr">
        <is>
          <t>LIMA</t>
        </is>
      </c>
      <c r="B72" t="inlineStr">
        <is>
          <t>HUAURA</t>
        </is>
      </c>
      <c r="C72" t="inlineStr">
        <is>
          <t>SANTA LEONOR</t>
        </is>
      </c>
      <c r="D72" t="inlineStr">
        <is>
          <t>150809</t>
        </is>
      </c>
      <c r="E72" t="inlineStr">
        <is>
          <t>Santa Leonor</t>
        </is>
      </c>
      <c r="F72" s="11" t="n">
        <v>0</v>
      </c>
      <c r="G72" s="6">
        <f>IF($F$73=0,0,F72/$F$73)</f>
        <v/>
      </c>
      <c r="H72" s="5" t="n">
        <v>0</v>
      </c>
      <c r="L72" s="5" t="n">
        <v>0</v>
      </c>
    </row>
    <row r="73">
      <c r="A73" s="12" t="inlineStr">
        <is>
          <t>TOTAL</t>
        </is>
      </c>
      <c r="B73" t="inlineStr"/>
      <c r="C73" t="inlineStr"/>
      <c r="D73" t="inlineStr"/>
      <c r="E73" t="inlineStr"/>
      <c r="F73" s="13">
        <f>SUM(F5:F72)</f>
        <v/>
      </c>
      <c r="G73" t="inlineStr"/>
      <c r="H73" s="14">
        <f>SUM(H5:H72)</f>
        <v/>
      </c>
      <c r="I73" t="inlineStr"/>
      <c r="J73" t="inlineStr"/>
      <c r="K73" t="inlineStr"/>
      <c r="L73" s="14">
        <f>SUM(L5:L72)</f>
        <v/>
      </c>
    </row>
    <row r="76">
      <c r="A76" s="15" t="inlineStr">
        <is>
          <t>Detalle por central (MW)</t>
        </is>
      </c>
    </row>
    <row r="77">
      <c r="A77" s="3" t="inlineStr">
        <is>
          <t>Distrito</t>
        </is>
      </c>
      <c r="B77" s="3" t="inlineStr">
        <is>
          <t>Ubigeo</t>
        </is>
      </c>
      <c r="C77" s="3" t="inlineStr">
        <is>
          <t>Mineral</t>
        </is>
      </c>
      <c r="D77" s="3" t="inlineStr">
        <is>
          <t>Unidad</t>
        </is>
      </c>
      <c r="E77" s="3" t="inlineStr">
        <is>
          <t>Cantidad (orig.)</t>
        </is>
      </c>
      <c r="F77" s="3" t="inlineStr">
        <is>
          <t>TMF equiv.</t>
        </is>
      </c>
    </row>
    <row r="78">
      <c r="A78" t="inlineStr">
        <is>
          <t>SAN JUAN DE LURIGANCHO</t>
        </is>
      </c>
      <c r="B78" t="inlineStr">
        <is>
          <t>150132</t>
        </is>
      </c>
      <c r="C78" t="inlineStr">
        <is>
          <t>Distribución</t>
        </is>
      </c>
      <c r="D78" t="inlineStr">
        <is>
          <t>%</t>
        </is>
      </c>
      <c r="E78" s="11" t="n">
        <v>0.1183</v>
      </c>
      <c r="F78" s="16" t="n">
        <v>0.118263</v>
      </c>
    </row>
    <row r="79">
      <c r="A79" t="inlineStr">
        <is>
          <t>LIMA</t>
        </is>
      </c>
      <c r="B79" t="inlineStr">
        <is>
          <t>150101</t>
        </is>
      </c>
      <c r="C79" t="inlineStr">
        <is>
          <t>Distribución</t>
        </is>
      </c>
      <c r="D79" t="inlineStr">
        <is>
          <t>%</t>
        </is>
      </c>
      <c r="E79" s="11" t="n">
        <v>0.0949</v>
      </c>
      <c r="F79" s="16" t="n">
        <v>0.094944</v>
      </c>
    </row>
    <row r="80">
      <c r="A80" t="inlineStr">
        <is>
          <t>CALLAO</t>
        </is>
      </c>
      <c r="B80" t="inlineStr">
        <is>
          <t>070101</t>
        </is>
      </c>
      <c r="C80" t="inlineStr">
        <is>
          <t>Distribución</t>
        </is>
      </c>
      <c r="D80" t="inlineStr">
        <is>
          <t>%</t>
        </is>
      </c>
      <c r="E80" s="11" t="n">
        <v>0.076</v>
      </c>
      <c r="F80" s="16" t="n">
        <v>0.075965</v>
      </c>
    </row>
    <row r="81">
      <c r="A81" t="inlineStr">
        <is>
          <t>COMAS</t>
        </is>
      </c>
      <c r="B81" t="inlineStr">
        <is>
          <t>150110</t>
        </is>
      </c>
      <c r="C81" t="inlineStr">
        <is>
          <t>Distribución</t>
        </is>
      </c>
      <c r="D81" t="inlineStr">
        <is>
          <t>%</t>
        </is>
      </c>
      <c r="E81" s="11" t="n">
        <v>0.07530000000000001</v>
      </c>
      <c r="F81" s="16" t="n">
        <v>0.07531499999999999</v>
      </c>
    </row>
    <row r="82">
      <c r="A82" t="inlineStr">
        <is>
          <t>SAN MARTIN DE PORRES</t>
        </is>
      </c>
      <c r="B82" t="inlineStr">
        <is>
          <t>150135</t>
        </is>
      </c>
      <c r="C82" t="inlineStr">
        <is>
          <t>Distribución</t>
        </is>
      </c>
      <c r="D82" t="inlineStr">
        <is>
          <t>%</t>
        </is>
      </c>
      <c r="E82" s="11" t="n">
        <v>0.067</v>
      </c>
      <c r="F82" s="16" t="n">
        <v>0.067022</v>
      </c>
    </row>
    <row r="83">
      <c r="A83" t="inlineStr">
        <is>
          <t>PUENTE PIEDRA</t>
        </is>
      </c>
      <c r="B83" t="inlineStr">
        <is>
          <t>150125</t>
        </is>
      </c>
      <c r="C83" t="inlineStr">
        <is>
          <t>Distribución</t>
        </is>
      </c>
      <c r="D83" t="inlineStr">
        <is>
          <t>%</t>
        </is>
      </c>
      <c r="E83" s="11" t="n">
        <v>0.0567</v>
      </c>
      <c r="F83" s="16" t="n">
        <v>0.056659</v>
      </c>
    </row>
    <row r="84">
      <c r="A84" t="inlineStr">
        <is>
          <t>CARABAYLLO</t>
        </is>
      </c>
      <c r="B84" t="inlineStr">
        <is>
          <t>150106</t>
        </is>
      </c>
      <c r="C84" t="inlineStr">
        <is>
          <t>Distribución</t>
        </is>
      </c>
      <c r="D84" t="inlineStr">
        <is>
          <t>%</t>
        </is>
      </c>
      <c r="E84" s="11" t="n">
        <v>0.055</v>
      </c>
      <c r="F84" s="16" t="n">
        <v>0.054963</v>
      </c>
    </row>
    <row r="85">
      <c r="A85" t="inlineStr">
        <is>
          <t>SAN MIGUEL</t>
        </is>
      </c>
      <c r="B85" t="inlineStr">
        <is>
          <t>150136</t>
        </is>
      </c>
      <c r="C85" t="inlineStr">
        <is>
          <t>Distribución</t>
        </is>
      </c>
      <c r="D85" t="inlineStr">
        <is>
          <t>%</t>
        </is>
      </c>
      <c r="E85" s="11" t="n">
        <v>0.048</v>
      </c>
      <c r="F85" s="16" t="n">
        <v>0.04803</v>
      </c>
    </row>
    <row r="86">
      <c r="A86" t="inlineStr">
        <is>
          <t>LOS OLIVOS</t>
        </is>
      </c>
      <c r="B86" t="inlineStr">
        <is>
          <t>150117</t>
        </is>
      </c>
      <c r="C86" t="inlineStr">
        <is>
          <t>Distribución</t>
        </is>
      </c>
      <c r="D86" t="inlineStr">
        <is>
          <t>%</t>
        </is>
      </c>
      <c r="E86" s="11" t="n">
        <v>0.0452</v>
      </c>
      <c r="F86" s="16" t="n">
        <v>0.045202</v>
      </c>
    </row>
    <row r="87">
      <c r="A87" t="inlineStr">
        <is>
          <t>VENTANILLA</t>
        </is>
      </c>
      <c r="B87" t="inlineStr">
        <is>
          <t>070106</t>
        </is>
      </c>
      <c r="C87" t="inlineStr">
        <is>
          <t>Distribución</t>
        </is>
      </c>
      <c r="D87" t="inlineStr">
        <is>
          <t>%</t>
        </is>
      </c>
      <c r="E87" s="11" t="n">
        <v>0.0341</v>
      </c>
      <c r="F87" s="16" t="n">
        <v>0.034104</v>
      </c>
    </row>
    <row r="88">
      <c r="A88" t="inlineStr">
        <is>
          <t>MAGDALENA VIEJA</t>
        </is>
      </c>
      <c r="B88" t="inlineStr">
        <is>
          <t>150121</t>
        </is>
      </c>
      <c r="C88" t="inlineStr">
        <is>
          <t>Distribución</t>
        </is>
      </c>
      <c r="D88" t="inlineStr">
        <is>
          <t>%</t>
        </is>
      </c>
      <c r="E88" s="11" t="n">
        <v>0.0326</v>
      </c>
      <c r="F88" s="16" t="n">
        <v>0.032628</v>
      </c>
    </row>
    <row r="89">
      <c r="A89" t="inlineStr">
        <is>
          <t>MAGDALENA DEL MAR</t>
        </is>
      </c>
      <c r="B89" t="inlineStr">
        <is>
          <t>150120</t>
        </is>
      </c>
      <c r="C89" t="inlineStr">
        <is>
          <t>Distribución</t>
        </is>
      </c>
      <c r="D89" t="inlineStr">
        <is>
          <t>%</t>
        </is>
      </c>
      <c r="E89" s="11" t="n">
        <v>0.0307</v>
      </c>
      <c r="F89" s="16" t="n">
        <v>0.030745</v>
      </c>
    </row>
    <row r="90">
      <c r="A90" t="inlineStr">
        <is>
          <t>JESUS MARIA</t>
        </is>
      </c>
      <c r="B90" t="inlineStr">
        <is>
          <t>150113</t>
        </is>
      </c>
      <c r="C90" t="inlineStr">
        <is>
          <t>Distribución</t>
        </is>
      </c>
      <c r="D90" t="inlineStr">
        <is>
          <t>%</t>
        </is>
      </c>
      <c r="E90" s="11" t="n">
        <v>0.0292</v>
      </c>
      <c r="F90" s="16" t="n">
        <v>0.029234</v>
      </c>
    </row>
    <row r="91">
      <c r="A91" t="inlineStr">
        <is>
          <t>INDEPENDENCIA</t>
        </is>
      </c>
      <c r="B91" t="inlineStr">
        <is>
          <t>150112</t>
        </is>
      </c>
      <c r="C91" t="inlineStr">
        <is>
          <t>Distribución</t>
        </is>
      </c>
      <c r="D91" t="inlineStr">
        <is>
          <t>%</t>
        </is>
      </c>
      <c r="E91" s="11" t="n">
        <v>0.026</v>
      </c>
      <c r="F91" s="16" t="n">
        <v>0.025998</v>
      </c>
    </row>
    <row r="92">
      <c r="A92" t="inlineStr">
        <is>
          <t>BREÑA</t>
        </is>
      </c>
      <c r="B92" t="inlineStr">
        <is>
          <t>150105</t>
        </is>
      </c>
      <c r="C92" t="inlineStr">
        <is>
          <t>Distribución</t>
        </is>
      </c>
      <c r="D92" t="inlineStr">
        <is>
          <t>%</t>
        </is>
      </c>
      <c r="E92" s="11" t="n">
        <v>0.0243</v>
      </c>
      <c r="F92" s="16" t="n">
        <v>0.0243</v>
      </c>
    </row>
    <row r="93">
      <c r="A93" t="inlineStr">
        <is>
          <t>RIMAC</t>
        </is>
      </c>
      <c r="B93" t="inlineStr">
        <is>
          <t>150128</t>
        </is>
      </c>
      <c r="C93" t="inlineStr">
        <is>
          <t>Distribución</t>
        </is>
      </c>
      <c r="D93" t="inlineStr">
        <is>
          <t>%</t>
        </is>
      </c>
      <c r="E93" s="11" t="n">
        <v>0.024</v>
      </c>
      <c r="F93" s="16" t="n">
        <v>0.024016</v>
      </c>
    </row>
    <row r="94">
      <c r="A94" t="inlineStr">
        <is>
          <t>HUARAL</t>
        </is>
      </c>
      <c r="B94" t="inlineStr">
        <is>
          <t>150601</t>
        </is>
      </c>
      <c r="C94" t="inlineStr">
        <is>
          <t>Distribución</t>
        </is>
      </c>
      <c r="D94" t="inlineStr">
        <is>
          <t>%</t>
        </is>
      </c>
      <c r="E94" s="11" t="n">
        <v>0.0153</v>
      </c>
      <c r="F94" s="16" t="n">
        <v>0.015297</v>
      </c>
    </row>
    <row r="95">
      <c r="A95" t="inlineStr">
        <is>
          <t>EL AGUSTINO</t>
        </is>
      </c>
      <c r="B95" t="inlineStr">
        <is>
          <t>150111</t>
        </is>
      </c>
      <c r="C95" t="inlineStr">
        <is>
          <t>Distribución</t>
        </is>
      </c>
      <c r="D95" t="inlineStr">
        <is>
          <t>%</t>
        </is>
      </c>
      <c r="E95" s="11" t="n">
        <v>0.0153</v>
      </c>
      <c r="F95" s="16" t="n">
        <v>0.015257</v>
      </c>
    </row>
    <row r="96">
      <c r="A96" t="inlineStr">
        <is>
          <t>SAN ISIDRO</t>
        </is>
      </c>
      <c r="B96" t="inlineStr">
        <is>
          <t>150131</t>
        </is>
      </c>
      <c r="C96" t="inlineStr">
        <is>
          <t>Distribución</t>
        </is>
      </c>
      <c r="D96" t="inlineStr">
        <is>
          <t>%</t>
        </is>
      </c>
      <c r="E96" s="11" t="n">
        <v>0.0151</v>
      </c>
      <c r="F96" s="16" t="n">
        <v>0.015073</v>
      </c>
    </row>
    <row r="97">
      <c r="A97" t="inlineStr">
        <is>
          <t>BELLAVISTA</t>
        </is>
      </c>
      <c r="B97" t="inlineStr">
        <is>
          <t>070102</t>
        </is>
      </c>
      <c r="C97" t="inlineStr">
        <is>
          <t>Distribución</t>
        </is>
      </c>
      <c r="D97" t="inlineStr">
        <is>
          <t>%</t>
        </is>
      </c>
      <c r="E97" s="11" t="n">
        <v>0.0121</v>
      </c>
      <c r="F97" s="16" t="n">
        <v>0.012126</v>
      </c>
    </row>
    <row r="98">
      <c r="A98" t="inlineStr">
        <is>
          <t>ANCON</t>
        </is>
      </c>
      <c r="B98" t="inlineStr">
        <is>
          <t>150102</t>
        </is>
      </c>
      <c r="C98" t="inlineStr">
        <is>
          <t>Distribución</t>
        </is>
      </c>
      <c r="D98" t="inlineStr">
        <is>
          <t>%</t>
        </is>
      </c>
      <c r="E98" s="11" t="n">
        <v>0.012</v>
      </c>
      <c r="F98" s="16" t="n">
        <v>0.011974</v>
      </c>
    </row>
    <row r="99">
      <c r="A99" t="inlineStr">
        <is>
          <t>HUACHO</t>
        </is>
      </c>
      <c r="B99" t="inlineStr">
        <is>
          <t>150801</t>
        </is>
      </c>
      <c r="C99" t="inlineStr">
        <is>
          <t>Distribución</t>
        </is>
      </c>
      <c r="D99" t="inlineStr">
        <is>
          <t>%</t>
        </is>
      </c>
      <c r="E99" s="11" t="n">
        <v>0.0109</v>
      </c>
      <c r="F99" s="16" t="n">
        <v>0.010875</v>
      </c>
    </row>
    <row r="100">
      <c r="A100" t="inlineStr">
        <is>
          <t>BARRANCA</t>
        </is>
      </c>
      <c r="B100" t="inlineStr">
        <is>
          <t>150201</t>
        </is>
      </c>
      <c r="C100" t="inlineStr">
        <is>
          <t>Distribución</t>
        </is>
      </c>
      <c r="D100" t="inlineStr">
        <is>
          <t>%</t>
        </is>
      </c>
      <c r="E100" s="11" t="n">
        <v>0.0098</v>
      </c>
      <c r="F100" s="16" t="n">
        <v>0.0098</v>
      </c>
    </row>
    <row r="101">
      <c r="A101" t="inlineStr">
        <is>
          <t>CHANCAY</t>
        </is>
      </c>
      <c r="B101" t="inlineStr">
        <is>
          <t>150605</t>
        </is>
      </c>
      <c r="C101" t="inlineStr">
        <is>
          <t>Distribución</t>
        </is>
      </c>
      <c r="D101" t="inlineStr">
        <is>
          <t>%</t>
        </is>
      </c>
      <c r="E101" s="11" t="n">
        <v>0.0092</v>
      </c>
      <c r="F101" s="16" t="n">
        <v>0.009249</v>
      </c>
    </row>
    <row r="102">
      <c r="A102" t="inlineStr">
        <is>
          <t>LA PERLA</t>
        </is>
      </c>
      <c r="B102" t="inlineStr">
        <is>
          <t>070104</t>
        </is>
      </c>
      <c r="C102" t="inlineStr">
        <is>
          <t>Distribución</t>
        </is>
      </c>
      <c r="D102" t="inlineStr">
        <is>
          <t>%</t>
        </is>
      </c>
      <c r="E102" s="11" t="n">
        <v>0.008500000000000001</v>
      </c>
      <c r="F102" s="16" t="n">
        <v>0.008482999999999999</v>
      </c>
    </row>
    <row r="103">
      <c r="A103" t="inlineStr">
        <is>
          <t>SANTA ROSA</t>
        </is>
      </c>
      <c r="B103" t="inlineStr">
        <is>
          <t>150139</t>
        </is>
      </c>
      <c r="C103" t="inlineStr">
        <is>
          <t>Distribución</t>
        </is>
      </c>
      <c r="D103" t="inlineStr">
        <is>
          <t>%</t>
        </is>
      </c>
      <c r="E103" s="11" t="n">
        <v>0.0059</v>
      </c>
      <c r="F103" s="16" t="n">
        <v>0.005905</v>
      </c>
    </row>
    <row r="104">
      <c r="A104" t="inlineStr">
        <is>
          <t>VEGUETA</t>
        </is>
      </c>
      <c r="B104" t="inlineStr">
        <is>
          <t>150812</t>
        </is>
      </c>
      <c r="C104" t="inlineStr">
        <is>
          <t>Distribución</t>
        </is>
      </c>
      <c r="D104" t="inlineStr">
        <is>
          <t>%</t>
        </is>
      </c>
      <c r="E104" s="11" t="n">
        <v>0.0058</v>
      </c>
      <c r="F104" s="16" t="n">
        <v>0.005767</v>
      </c>
    </row>
    <row r="105">
      <c r="A105" t="inlineStr">
        <is>
          <t>SANTA MARIA</t>
        </is>
      </c>
      <c r="B105" t="inlineStr">
        <is>
          <t>150810</t>
        </is>
      </c>
      <c r="C105" t="inlineStr">
        <is>
          <t>Distribución</t>
        </is>
      </c>
      <c r="D105" t="inlineStr">
        <is>
          <t>%</t>
        </is>
      </c>
      <c r="E105" s="11" t="n">
        <v>0.0046</v>
      </c>
      <c r="F105" s="16" t="n">
        <v>0.0046</v>
      </c>
    </row>
    <row r="106">
      <c r="A106" t="inlineStr">
        <is>
          <t>SAYAN</t>
        </is>
      </c>
      <c r="B106" t="inlineStr">
        <is>
          <t>150811</t>
        </is>
      </c>
      <c r="C106" t="inlineStr">
        <is>
          <t>Distribución</t>
        </is>
      </c>
      <c r="D106" t="inlineStr">
        <is>
          <t>%</t>
        </is>
      </c>
      <c r="E106" s="11" t="n">
        <v>0.0045</v>
      </c>
      <c r="F106" s="16" t="n">
        <v>0.004548</v>
      </c>
    </row>
    <row r="107">
      <c r="A107" t="inlineStr">
        <is>
          <t>AUCALLAMA</t>
        </is>
      </c>
      <c r="B107" t="inlineStr">
        <is>
          <t>150604</t>
        </is>
      </c>
      <c r="C107" t="inlineStr">
        <is>
          <t>Distribución</t>
        </is>
      </c>
      <c r="D107" t="inlineStr">
        <is>
          <t>%</t>
        </is>
      </c>
      <c r="E107" s="11" t="n">
        <v>0.0045</v>
      </c>
      <c r="F107" s="16" t="n">
        <v>0.004518</v>
      </c>
    </row>
    <row r="108">
      <c r="A108" t="inlineStr">
        <is>
          <t>CARMEN DE LA LEGUA REYNOSO</t>
        </is>
      </c>
      <c r="B108" t="inlineStr">
        <is>
          <t>070103</t>
        </is>
      </c>
      <c r="C108" t="inlineStr">
        <is>
          <t>Distribución</t>
        </is>
      </c>
      <c r="D108" t="inlineStr">
        <is>
          <t>%</t>
        </is>
      </c>
      <c r="E108" s="11" t="n">
        <v>0.0045</v>
      </c>
      <c r="F108" s="16" t="n">
        <v>0.004464</v>
      </c>
    </row>
    <row r="109">
      <c r="A109" t="inlineStr">
        <is>
          <t>LURIGANCHO</t>
        </is>
      </c>
      <c r="B109" t="inlineStr">
        <is>
          <t>150118</t>
        </is>
      </c>
      <c r="C109" t="inlineStr">
        <is>
          <t>Distribución</t>
        </is>
      </c>
      <c r="D109" t="inlineStr">
        <is>
          <t>%</t>
        </is>
      </c>
      <c r="E109" s="11" t="n">
        <v>0.0042</v>
      </c>
      <c r="F109" s="16" t="n">
        <v>0.004158</v>
      </c>
    </row>
    <row r="110">
      <c r="A110" t="inlineStr">
        <is>
          <t>HUALMAY</t>
        </is>
      </c>
      <c r="B110" t="inlineStr">
        <is>
          <t>150805</t>
        </is>
      </c>
      <c r="C110" t="inlineStr">
        <is>
          <t>Distribución</t>
        </is>
      </c>
      <c r="D110" t="inlineStr">
        <is>
          <t>%</t>
        </is>
      </c>
      <c r="E110" s="11" t="n">
        <v>0.0032</v>
      </c>
      <c r="F110" s="16" t="n">
        <v>0.003182</v>
      </c>
    </row>
    <row r="111">
      <c r="A111" t="inlineStr">
        <is>
          <t>MI PERU</t>
        </is>
      </c>
      <c r="B111" t="inlineStr">
        <is>
          <t>070107</t>
        </is>
      </c>
      <c r="C111" t="inlineStr">
        <is>
          <t>Distribución</t>
        </is>
      </c>
      <c r="D111" t="inlineStr">
        <is>
          <t>%</t>
        </is>
      </c>
      <c r="E111" s="11" t="n">
        <v>0.003</v>
      </c>
      <c r="F111" s="16" t="n">
        <v>0.003024</v>
      </c>
    </row>
    <row r="112">
      <c r="A112" t="inlineStr">
        <is>
          <t>SUPE</t>
        </is>
      </c>
      <c r="B112" t="inlineStr">
        <is>
          <t>150204</t>
        </is>
      </c>
      <c r="C112" t="inlineStr">
        <is>
          <t>Distribución</t>
        </is>
      </c>
      <c r="D112" t="inlineStr">
        <is>
          <t>%</t>
        </is>
      </c>
      <c r="E112" s="11" t="n">
        <v>0.0025</v>
      </c>
      <c r="F112" s="16" t="n">
        <v>0.002511</v>
      </c>
    </row>
    <row r="113">
      <c r="A113" t="inlineStr">
        <is>
          <t>SANTA ROSA DE QUIVES</t>
        </is>
      </c>
      <c r="B113" t="inlineStr">
        <is>
          <t>150407</t>
        </is>
      </c>
      <c r="C113" t="inlineStr">
        <is>
          <t>Distribución</t>
        </is>
      </c>
      <c r="D113" t="inlineStr">
        <is>
          <t>%</t>
        </is>
      </c>
      <c r="E113" s="11" t="n">
        <v>0.0023</v>
      </c>
      <c r="F113" s="16" t="n">
        <v>0.002327</v>
      </c>
    </row>
    <row r="114">
      <c r="A114" t="inlineStr">
        <is>
          <t>HUAURA</t>
        </is>
      </c>
      <c r="B114" t="inlineStr">
        <is>
          <t>150806</t>
        </is>
      </c>
      <c r="C114" t="inlineStr">
        <is>
          <t>Distribución</t>
        </is>
      </c>
      <c r="D114" t="inlineStr">
        <is>
          <t>%</t>
        </is>
      </c>
      <c r="E114" s="11" t="n">
        <v>0.0021</v>
      </c>
      <c r="F114" s="16" t="n">
        <v>0.002128</v>
      </c>
    </row>
    <row r="115">
      <c r="A115" t="inlineStr">
        <is>
          <t>SUPE PUERTO</t>
        </is>
      </c>
      <c r="B115" t="inlineStr">
        <is>
          <t>150205</t>
        </is>
      </c>
      <c r="C115" t="inlineStr">
        <is>
          <t>Distribución</t>
        </is>
      </c>
      <c r="D115" t="inlineStr">
        <is>
          <t>%</t>
        </is>
      </c>
      <c r="E115" s="11" t="n">
        <v>0.0018</v>
      </c>
      <c r="F115" s="16" t="n">
        <v>0.001771</v>
      </c>
    </row>
    <row r="116">
      <c r="A116" t="inlineStr">
        <is>
          <t>PATIVILCA</t>
        </is>
      </c>
      <c r="B116" t="inlineStr">
        <is>
          <t>150203</t>
        </is>
      </c>
      <c r="C116" t="inlineStr">
        <is>
          <t>Distribución</t>
        </is>
      </c>
      <c r="D116" t="inlineStr">
        <is>
          <t>%</t>
        </is>
      </c>
      <c r="E116" s="11" t="n">
        <v>0.0014</v>
      </c>
      <c r="F116" s="16" t="n">
        <v>0.001383</v>
      </c>
    </row>
    <row r="117">
      <c r="A117" t="inlineStr">
        <is>
          <t>LA PUNTA</t>
        </is>
      </c>
      <c r="B117" t="inlineStr">
        <is>
          <t>070105</t>
        </is>
      </c>
      <c r="C117" t="inlineStr">
        <is>
          <t>Distribución</t>
        </is>
      </c>
      <c r="D117" t="inlineStr">
        <is>
          <t>%</t>
        </is>
      </c>
      <c r="E117" s="11" t="n">
        <v>0.0011</v>
      </c>
      <c r="F117" s="16" t="n">
        <v>0.001119</v>
      </c>
    </row>
    <row r="118">
      <c r="A118" t="inlineStr">
        <is>
          <t>PACHANGARA</t>
        </is>
      </c>
      <c r="B118" t="inlineStr">
        <is>
          <t>150906</t>
        </is>
      </c>
      <c r="C118" t="inlineStr">
        <is>
          <t>Distribución</t>
        </is>
      </c>
      <c r="D118" t="inlineStr">
        <is>
          <t>%</t>
        </is>
      </c>
      <c r="E118" s="11" t="n">
        <v>0.0005999999999999999</v>
      </c>
      <c r="F118" s="16" t="n">
        <v>0.000613</v>
      </c>
    </row>
    <row r="119">
      <c r="A119" t="inlineStr">
        <is>
          <t>CALETA DE CARQUIN</t>
        </is>
      </c>
      <c r="B119" t="inlineStr">
        <is>
          <t>150803</t>
        </is>
      </c>
      <c r="C119" t="inlineStr">
        <is>
          <t>Distribución</t>
        </is>
      </c>
      <c r="D119" t="inlineStr">
        <is>
          <t>%</t>
        </is>
      </c>
      <c r="E119" s="11" t="n">
        <v>0.0005999999999999999</v>
      </c>
      <c r="F119" s="16" t="n">
        <v>0.000587</v>
      </c>
    </row>
    <row r="120">
      <c r="A120" t="inlineStr">
        <is>
          <t>CANTA</t>
        </is>
      </c>
      <c r="B120" t="inlineStr">
        <is>
          <t>150401</t>
        </is>
      </c>
      <c r="C120" t="inlineStr">
        <is>
          <t>Distribución</t>
        </is>
      </c>
      <c r="D120" t="inlineStr">
        <is>
          <t>%</t>
        </is>
      </c>
      <c r="E120" s="11" t="n">
        <v>0.0005</v>
      </c>
      <c r="F120" s="16" t="n">
        <v>0.000459</v>
      </c>
    </row>
    <row r="121">
      <c r="A121" t="inlineStr">
        <is>
          <t>OYON</t>
        </is>
      </c>
      <c r="B121" t="inlineStr">
        <is>
          <t>150901</t>
        </is>
      </c>
      <c r="C121" t="inlineStr">
        <is>
          <t>Distribución</t>
        </is>
      </c>
      <c r="D121" t="inlineStr">
        <is>
          <t>%</t>
        </is>
      </c>
      <c r="E121" s="11" t="n">
        <v>0.0002</v>
      </c>
      <c r="F121" s="16" t="n">
        <v>0.000224</v>
      </c>
    </row>
    <row r="122">
      <c r="A122" t="inlineStr">
        <is>
          <t>PACARAOS</t>
        </is>
      </c>
      <c r="B122" t="inlineStr">
        <is>
          <t>150608</t>
        </is>
      </c>
      <c r="C122" t="inlineStr">
        <is>
          <t>Distribución</t>
        </is>
      </c>
      <c r="D122" t="inlineStr">
        <is>
          <t>%</t>
        </is>
      </c>
      <c r="E122" s="11" t="n">
        <v>0.0002</v>
      </c>
      <c r="F122" s="16" t="n">
        <v>0.000178</v>
      </c>
    </row>
    <row r="123">
      <c r="A123" t="inlineStr">
        <is>
          <t>ATAVILLOS BAJO</t>
        </is>
      </c>
      <c r="B123" t="inlineStr">
        <is>
          <t>150603</t>
        </is>
      </c>
      <c r="C123" t="inlineStr">
        <is>
          <t>Distribución</t>
        </is>
      </c>
      <c r="D123" t="inlineStr">
        <is>
          <t>%</t>
        </is>
      </c>
      <c r="E123" s="11" t="n">
        <v>0.0002</v>
      </c>
      <c r="F123" s="16" t="n">
        <v>0.000173</v>
      </c>
    </row>
    <row r="124">
      <c r="A124" t="inlineStr">
        <is>
          <t>SAN BUENAVENTURA</t>
        </is>
      </c>
      <c r="B124" t="inlineStr">
        <is>
          <t>150406</t>
        </is>
      </c>
      <c r="C124" t="inlineStr">
        <is>
          <t>Distribución</t>
        </is>
      </c>
      <c r="D124" t="inlineStr">
        <is>
          <t>%</t>
        </is>
      </c>
      <c r="E124" s="11" t="n">
        <v>0.0002</v>
      </c>
      <c r="F124" s="16" t="n">
        <v>0.000169</v>
      </c>
    </row>
    <row r="125">
      <c r="A125" t="inlineStr">
        <is>
          <t>HUAROS</t>
        </is>
      </c>
      <c r="B125" t="inlineStr">
        <is>
          <t>150404</t>
        </is>
      </c>
      <c r="C125" t="inlineStr">
        <is>
          <t>Distribución</t>
        </is>
      </c>
      <c r="D125" t="inlineStr">
        <is>
          <t>%</t>
        </is>
      </c>
      <c r="E125" s="11" t="n">
        <v>0.0001</v>
      </c>
      <c r="F125" s="16" t="n">
        <v>0.0001</v>
      </c>
    </row>
    <row r="126">
      <c r="A126" t="inlineStr">
        <is>
          <t>HUAMANTANGA</t>
        </is>
      </c>
      <c r="B126" t="inlineStr">
        <is>
          <t>150403</t>
        </is>
      </c>
      <c r="C126" t="inlineStr">
        <is>
          <t>Distribución</t>
        </is>
      </c>
      <c r="D126" t="inlineStr">
        <is>
          <t>%</t>
        </is>
      </c>
      <c r="E126" s="11" t="n">
        <v>0.0001</v>
      </c>
      <c r="F126" s="16" t="n">
        <v>9.399999999999999e-05</v>
      </c>
    </row>
    <row r="127">
      <c r="A127" t="inlineStr">
        <is>
          <t>LAMPIAN</t>
        </is>
      </c>
      <c r="B127" t="inlineStr">
        <is>
          <t>150607</t>
        </is>
      </c>
      <c r="C127" t="inlineStr">
        <is>
          <t>Distribución</t>
        </is>
      </c>
      <c r="D127" t="inlineStr">
        <is>
          <t>%</t>
        </is>
      </c>
      <c r="E127" s="11" t="n">
        <v>0.0001</v>
      </c>
      <c r="F127" s="16" t="n">
        <v>8.7e-05</v>
      </c>
    </row>
    <row r="128">
      <c r="A128" t="inlineStr">
        <is>
          <t>ANDAJES</t>
        </is>
      </c>
      <c r="B128" t="inlineStr">
        <is>
          <t>150902</t>
        </is>
      </c>
      <c r="C128" t="inlineStr">
        <is>
          <t>Distribución</t>
        </is>
      </c>
      <c r="D128" t="inlineStr">
        <is>
          <t>%</t>
        </is>
      </c>
      <c r="E128" s="11" t="n">
        <v>0.0001</v>
      </c>
      <c r="F128" s="16" t="n">
        <v>7.2e-05</v>
      </c>
    </row>
    <row r="129">
      <c r="A129" t="inlineStr">
        <is>
          <t>LACHAQUI</t>
        </is>
      </c>
      <c r="B129" t="inlineStr">
        <is>
          <t>150405</t>
        </is>
      </c>
      <c r="C129" t="inlineStr">
        <is>
          <t>Distribución</t>
        </is>
      </c>
      <c r="D129" t="inlineStr">
        <is>
          <t>%</t>
        </is>
      </c>
      <c r="E129" s="11" t="n">
        <v>0.0001</v>
      </c>
      <c r="F129" s="16" t="n">
        <v>7.1e-05</v>
      </c>
    </row>
    <row r="130">
      <c r="A130" t="inlineStr">
        <is>
          <t>SAN MIGUEL DE ACOS</t>
        </is>
      </c>
      <c r="B130" t="inlineStr">
        <is>
          <t>150609</t>
        </is>
      </c>
      <c r="C130" t="inlineStr">
        <is>
          <t>Distribución</t>
        </is>
      </c>
      <c r="D130" t="inlineStr">
        <is>
          <t>%</t>
        </is>
      </c>
      <c r="E130" s="11" t="n">
        <v>0.0001</v>
      </c>
      <c r="F130" s="16" t="n">
        <v>6.7e-05</v>
      </c>
    </row>
    <row r="131">
      <c r="A131" t="inlineStr">
        <is>
          <t>ATAVILLOS ALTO</t>
        </is>
      </c>
      <c r="B131" t="inlineStr">
        <is>
          <t>150602</t>
        </is>
      </c>
      <c r="C131" t="inlineStr">
        <is>
          <t>Distribución</t>
        </is>
      </c>
      <c r="D131" t="inlineStr">
        <is>
          <t>%</t>
        </is>
      </c>
      <c r="E131" s="11" t="n">
        <v>0.0001</v>
      </c>
      <c r="F131" s="16" t="n">
        <v>6.499999999999999e-05</v>
      </c>
    </row>
    <row r="132">
      <c r="A132" t="inlineStr">
        <is>
          <t>VEINTISIETE DE NOVIEMBRE</t>
        </is>
      </c>
      <c r="B132" t="inlineStr">
        <is>
          <t>150612</t>
        </is>
      </c>
      <c r="C132" t="inlineStr">
        <is>
          <t>Distribución</t>
        </is>
      </c>
      <c r="D132" t="inlineStr">
        <is>
          <t>%</t>
        </is>
      </c>
      <c r="E132" s="11" t="n">
        <v>0.0001</v>
      </c>
      <c r="F132" s="16" t="n">
        <v>6.2e-05</v>
      </c>
    </row>
    <row r="133">
      <c r="A133" t="inlineStr">
        <is>
          <t>SANTA CRUZ DE ANDAMARCA</t>
        </is>
      </c>
      <c r="B133" t="inlineStr">
        <is>
          <t>150610</t>
        </is>
      </c>
      <c r="C133" t="inlineStr">
        <is>
          <t>Distribución</t>
        </is>
      </c>
      <c r="D133" t="inlineStr">
        <is>
          <t>%</t>
        </is>
      </c>
      <c r="E133" s="11" t="n">
        <v>0</v>
      </c>
      <c r="F133" s="16" t="n">
        <v>2.8e-05</v>
      </c>
    </row>
    <row r="134">
      <c r="A134" t="inlineStr">
        <is>
          <t>SUMBILCA</t>
        </is>
      </c>
      <c r="B134" t="inlineStr">
        <is>
          <t>150611</t>
        </is>
      </c>
      <c r="C134" t="inlineStr">
        <is>
          <t>Distribución</t>
        </is>
      </c>
      <c r="D134" t="inlineStr">
        <is>
          <t>%</t>
        </is>
      </c>
      <c r="E134" s="11" t="n">
        <v>0</v>
      </c>
      <c r="F134" s="16" t="n">
        <v>2.2e-05</v>
      </c>
    </row>
    <row r="135">
      <c r="A135" t="inlineStr">
        <is>
          <t>NAVAN</t>
        </is>
      </c>
      <c r="B135" t="inlineStr">
        <is>
          <t>150905</t>
        </is>
      </c>
      <c r="C135" t="inlineStr">
        <is>
          <t>Distribución</t>
        </is>
      </c>
      <c r="D135" t="inlineStr">
        <is>
          <t>%</t>
        </is>
      </c>
      <c r="E135" s="11" t="n">
        <v>0</v>
      </c>
      <c r="F135" s="16" t="n">
        <v>1e-06</v>
      </c>
    </row>
    <row r="136">
      <c r="A136" t="inlineStr">
        <is>
          <t>PACCHO</t>
        </is>
      </c>
      <c r="B136" t="inlineStr">
        <is>
          <t>150808</t>
        </is>
      </c>
      <c r="C136" t="inlineStr">
        <is>
          <t>Distribución</t>
        </is>
      </c>
      <c r="D136" t="inlineStr">
        <is>
          <t>%</t>
        </is>
      </c>
      <c r="E136" s="11" t="n">
        <v>0</v>
      </c>
      <c r="F136" s="16" t="n">
        <v>0</v>
      </c>
    </row>
    <row r="137">
      <c r="A137" t="inlineStr">
        <is>
          <t>LEONCIO PRADO</t>
        </is>
      </c>
      <c r="B137" t="inlineStr">
        <is>
          <t>150807</t>
        </is>
      </c>
      <c r="C137" t="inlineStr">
        <is>
          <t>Distribución</t>
        </is>
      </c>
      <c r="D137" t="inlineStr">
        <is>
          <t>%</t>
        </is>
      </c>
      <c r="E137" s="11" t="n">
        <v>0</v>
      </c>
      <c r="F137" s="16" t="n">
        <v>0</v>
      </c>
    </row>
    <row r="138">
      <c r="A138" t="inlineStr">
        <is>
          <t>ARAHUAY</t>
        </is>
      </c>
      <c r="B138" t="inlineStr">
        <is>
          <t>150402</t>
        </is>
      </c>
      <c r="C138" t="inlineStr">
        <is>
          <t>Distribución</t>
        </is>
      </c>
      <c r="D138" t="inlineStr">
        <is>
          <t>%</t>
        </is>
      </c>
      <c r="E138" s="11" t="n">
        <v>0</v>
      </c>
      <c r="F138" s="16" t="n">
        <v>0</v>
      </c>
    </row>
    <row r="139">
      <c r="A139" t="inlineStr">
        <is>
          <t>CHECRAS</t>
        </is>
      </c>
      <c r="B139" t="inlineStr">
        <is>
          <t>150804</t>
        </is>
      </c>
      <c r="C139" t="inlineStr">
        <is>
          <t>Distribución</t>
        </is>
      </c>
      <c r="D139" t="inlineStr">
        <is>
          <t>%</t>
        </is>
      </c>
      <c r="E139" s="11" t="n">
        <v>0</v>
      </c>
      <c r="F139" s="16" t="n">
        <v>0</v>
      </c>
    </row>
    <row r="140">
      <c r="A140" t="inlineStr">
        <is>
          <t>PARAMONGA</t>
        </is>
      </c>
      <c r="B140" t="inlineStr">
        <is>
          <t>150202</t>
        </is>
      </c>
      <c r="C140" t="inlineStr">
        <is>
          <t>Distribución</t>
        </is>
      </c>
      <c r="D140" t="inlineStr">
        <is>
          <t>%</t>
        </is>
      </c>
      <c r="E140" s="11" t="n">
        <v>0</v>
      </c>
      <c r="F140" s="16" t="n">
        <v>0</v>
      </c>
    </row>
    <row r="141">
      <c r="A141" t="inlineStr">
        <is>
          <t>IHUARI</t>
        </is>
      </c>
      <c r="B141" t="inlineStr">
        <is>
          <t>150606</t>
        </is>
      </c>
      <c r="C141" t="inlineStr">
        <is>
          <t>Distribución</t>
        </is>
      </c>
      <c r="D141" t="inlineStr">
        <is>
          <t>%</t>
        </is>
      </c>
      <c r="E141" s="11" t="n">
        <v>0</v>
      </c>
      <c r="F141" s="16" t="n">
        <v>0</v>
      </c>
    </row>
    <row r="142">
      <c r="A142" t="inlineStr">
        <is>
          <t>AMBAR</t>
        </is>
      </c>
      <c r="B142" t="inlineStr">
        <is>
          <t>150802</t>
        </is>
      </c>
      <c r="C142" t="inlineStr">
        <is>
          <t>Distribución</t>
        </is>
      </c>
      <c r="D142" t="inlineStr">
        <is>
          <t>%</t>
        </is>
      </c>
      <c r="E142" s="11" t="n">
        <v>0</v>
      </c>
      <c r="F142" s="16" t="n">
        <v>0</v>
      </c>
    </row>
    <row r="143">
      <c r="A143" t="inlineStr">
        <is>
          <t>CAUJUL</t>
        </is>
      </c>
      <c r="B143" t="inlineStr">
        <is>
          <t>150903</t>
        </is>
      </c>
      <c r="C143" t="inlineStr">
        <is>
          <t>Distribución</t>
        </is>
      </c>
      <c r="D143" t="inlineStr">
        <is>
          <t>%</t>
        </is>
      </c>
      <c r="E143" s="11" t="n">
        <v>0</v>
      </c>
      <c r="F143" s="16" t="n">
        <v>0</v>
      </c>
    </row>
    <row r="144">
      <c r="A144" t="inlineStr">
        <is>
          <t>COCHAMARCA</t>
        </is>
      </c>
      <c r="B144" t="inlineStr">
        <is>
          <t>150904</t>
        </is>
      </c>
      <c r="C144" t="inlineStr">
        <is>
          <t>Distribución</t>
        </is>
      </c>
      <c r="D144" t="inlineStr">
        <is>
          <t>%</t>
        </is>
      </c>
      <c r="E144" s="11" t="n">
        <v>0</v>
      </c>
      <c r="F144" s="16" t="n">
        <v>0</v>
      </c>
    </row>
    <row r="145">
      <c r="A145" t="inlineStr">
        <is>
          <t>SANTA LEONOR</t>
        </is>
      </c>
      <c r="B145" t="inlineStr">
        <is>
          <t>150809</t>
        </is>
      </c>
      <c r="C145" t="inlineStr">
        <is>
          <t>Distribución</t>
        </is>
      </c>
      <c r="D145" t="inlineStr">
        <is>
          <t>%</t>
        </is>
      </c>
      <c r="E145" s="11" t="n">
        <v>0</v>
      </c>
      <c r="F145" s="1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77"/>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Colegios Peruanos — Distribución por distrito y exposición asignada</t>
        </is>
      </c>
    </row>
    <row r="2">
      <c r="A2" s="2" t="inlineStr">
        <is>
          <t>Distribución total: 1.00 %   ·   Exposición en cartera: S/ 0   ·   Asignación: tmf_share</t>
        </is>
      </c>
    </row>
    <row r="4">
      <c r="A4" s="3" t="inlineStr">
        <is>
          <t>Departamento</t>
        </is>
      </c>
      <c r="B4" s="3" t="inlineStr">
        <is>
          <t>Provincia</t>
        </is>
      </c>
      <c r="C4" s="3" t="inlineStr">
        <is>
          <t>Distrito</t>
        </is>
      </c>
      <c r="D4" s="3" t="inlineStr">
        <is>
          <t>Ubigeo</t>
        </is>
      </c>
      <c r="E4" s="3" t="inlineStr">
        <is>
          <t>Sedes / colegios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LIMA</t>
        </is>
      </c>
      <c r="B5" t="inlineStr">
        <is>
          <t>LIMA</t>
        </is>
      </c>
      <c r="C5" t="inlineStr">
        <is>
          <t>ATE</t>
        </is>
      </c>
      <c r="D5" t="inlineStr">
        <is>
          <t>150103</t>
        </is>
      </c>
      <c r="E5" t="inlineStr">
        <is>
          <t>Ate</t>
        </is>
      </c>
      <c r="F5" s="11" t="n">
        <v>0.0862</v>
      </c>
      <c r="G5" s="6">
        <f>IF($F$39=0,0,F5/$F$39)</f>
        <v/>
      </c>
      <c r="H5" s="5" t="n">
        <v>0</v>
      </c>
      <c r="I5" t="n">
        <v>4</v>
      </c>
      <c r="J5" t="n">
        <v>3</v>
      </c>
      <c r="L5" s="5" t="n">
        <v>0</v>
      </c>
    </row>
    <row r="6">
      <c r="A6" t="inlineStr">
        <is>
          <t>LIMA</t>
        </is>
      </c>
      <c r="B6" t="inlineStr">
        <is>
          <t>LIMA</t>
        </is>
      </c>
      <c r="C6" t="inlineStr">
        <is>
          <t>SAN JUAN DE LURIGANCHO</t>
        </is>
      </c>
      <c r="D6" t="inlineStr">
        <is>
          <t>150132</t>
        </is>
      </c>
      <c r="E6" t="inlineStr">
        <is>
          <t>San Juan De Lurigancho</t>
        </is>
      </c>
      <c r="F6" s="11" t="n">
        <v>0.06900000000000001</v>
      </c>
      <c r="G6" s="6">
        <f>IF($F$39=0,0,F6/$F$39)</f>
        <v/>
      </c>
      <c r="H6" s="5" t="n">
        <v>0</v>
      </c>
      <c r="I6" t="n">
        <v>5</v>
      </c>
      <c r="J6" t="n">
        <v>2</v>
      </c>
      <c r="L6" s="5" t="n">
        <v>0</v>
      </c>
    </row>
    <row r="7">
      <c r="A7" t="inlineStr">
        <is>
          <t>LIMA</t>
        </is>
      </c>
      <c r="B7" t="inlineStr">
        <is>
          <t>LIMA</t>
        </is>
      </c>
      <c r="C7" t="inlineStr">
        <is>
          <t>CHORRILLOS</t>
        </is>
      </c>
      <c r="D7" t="inlineStr">
        <is>
          <t>150108</t>
        </is>
      </c>
      <c r="E7" t="inlineStr">
        <is>
          <t>Chorrillos</t>
        </is>
      </c>
      <c r="F7" s="11" t="n">
        <v>0.06900000000000001</v>
      </c>
      <c r="G7" s="6">
        <f>IF($F$39=0,0,F7/$F$39)</f>
        <v/>
      </c>
      <c r="H7" s="5" t="n">
        <v>0</v>
      </c>
      <c r="I7" t="n">
        <v>2</v>
      </c>
      <c r="J7" t="n">
        <v>4</v>
      </c>
      <c r="L7" s="5" t="n">
        <v>0</v>
      </c>
    </row>
    <row r="8">
      <c r="A8" t="inlineStr">
        <is>
          <t>LIMA</t>
        </is>
      </c>
      <c r="B8" t="inlineStr">
        <is>
          <t>LIMA</t>
        </is>
      </c>
      <c r="C8" t="inlineStr">
        <is>
          <t>SAN MIGUEL</t>
        </is>
      </c>
      <c r="D8" t="inlineStr">
        <is>
          <t>150136</t>
        </is>
      </c>
      <c r="E8" t="inlineStr">
        <is>
          <t>San Miguel</t>
        </is>
      </c>
      <c r="F8" s="11" t="n">
        <v>0.0517</v>
      </c>
      <c r="G8" s="6">
        <f>IF($F$39=0,0,F8/$F$39)</f>
        <v/>
      </c>
      <c r="H8" s="5" t="n">
        <v>0</v>
      </c>
      <c r="I8" t="n">
        <v>1</v>
      </c>
      <c r="J8" t="n">
        <v>4</v>
      </c>
      <c r="L8" s="5" t="n">
        <v>0</v>
      </c>
    </row>
    <row r="9">
      <c r="A9" t="inlineStr">
        <is>
          <t>LIMA</t>
        </is>
      </c>
      <c r="B9" t="inlineStr">
        <is>
          <t>LIMA</t>
        </is>
      </c>
      <c r="C9" t="inlineStr">
        <is>
          <t>LOS OLIVOS</t>
        </is>
      </c>
      <c r="D9" t="inlineStr">
        <is>
          <t>150117</t>
        </is>
      </c>
      <c r="E9" t="inlineStr">
        <is>
          <t>Los Olivos</t>
        </is>
      </c>
      <c r="F9" s="11" t="n">
        <v>0.0517</v>
      </c>
      <c r="G9" s="6">
        <f>IF($F$39=0,0,F9/$F$39)</f>
        <v/>
      </c>
      <c r="H9" s="5" t="n">
        <v>0</v>
      </c>
      <c r="I9" t="n">
        <v>1</v>
      </c>
      <c r="J9" t="n">
        <v>4</v>
      </c>
      <c r="L9" s="5" t="n">
        <v>0</v>
      </c>
    </row>
    <row r="10">
      <c r="A10" t="inlineStr">
        <is>
          <t>CALLAO</t>
        </is>
      </c>
      <c r="B10" t="inlineStr">
        <is>
          <t>CALLAO</t>
        </is>
      </c>
      <c r="C10" t="inlineStr">
        <is>
          <t>CALLAO</t>
        </is>
      </c>
      <c r="D10" t="inlineStr">
        <is>
          <t>070101</t>
        </is>
      </c>
      <c r="E10" t="inlineStr">
        <is>
          <t>Callao</t>
        </is>
      </c>
      <c r="F10" s="11" t="n">
        <v>0.0517</v>
      </c>
      <c r="G10" s="6">
        <f>IF($F$39=0,0,F10/$F$39)</f>
        <v/>
      </c>
      <c r="H10" s="5" t="n">
        <v>0</v>
      </c>
      <c r="I10" t="n">
        <v>1</v>
      </c>
      <c r="J10" t="n">
        <v>5</v>
      </c>
      <c r="L10" s="5" t="n">
        <v>0</v>
      </c>
    </row>
    <row r="11">
      <c r="A11" t="inlineStr">
        <is>
          <t>LIMA</t>
        </is>
      </c>
      <c r="B11" t="inlineStr">
        <is>
          <t>LIMA</t>
        </is>
      </c>
      <c r="C11" t="inlineStr">
        <is>
          <t>SANTIAGO DE SURCO</t>
        </is>
      </c>
      <c r="D11" t="inlineStr">
        <is>
          <t>150140</t>
        </is>
      </c>
      <c r="E11" t="inlineStr">
        <is>
          <t>Santiago De Surco</t>
        </is>
      </c>
      <c r="F11" s="11" t="n">
        <v>0.0517</v>
      </c>
      <c r="G11" s="6">
        <f>IF($F$39=0,0,F11/$F$39)</f>
        <v/>
      </c>
      <c r="H11" s="5" t="n">
        <v>0</v>
      </c>
      <c r="I11" t="n">
        <v>1</v>
      </c>
      <c r="J11" t="n">
        <v>3</v>
      </c>
      <c r="L11" s="5" t="n">
        <v>0</v>
      </c>
    </row>
    <row r="12">
      <c r="A12" t="inlineStr">
        <is>
          <t>LIMA</t>
        </is>
      </c>
      <c r="B12" t="inlineStr">
        <is>
          <t>LIMA</t>
        </is>
      </c>
      <c r="C12" t="inlineStr">
        <is>
          <t>SAN MARTIN DE PORRES</t>
        </is>
      </c>
      <c r="D12" t="inlineStr">
        <is>
          <t>150135</t>
        </is>
      </c>
      <c r="E12" t="inlineStr">
        <is>
          <t>San Martin De Porres</t>
        </is>
      </c>
      <c r="F12" s="11" t="n">
        <v>0.0345</v>
      </c>
      <c r="G12" s="6">
        <f>IF($F$39=0,0,F12/$F$39)</f>
        <v/>
      </c>
      <c r="H12" s="5" t="n">
        <v>0</v>
      </c>
      <c r="I12" t="n">
        <v>2</v>
      </c>
      <c r="J12" t="n">
        <v>5</v>
      </c>
      <c r="L12" s="5" t="n">
        <v>0</v>
      </c>
    </row>
    <row r="13">
      <c r="A13" t="inlineStr">
        <is>
          <t>LIMA</t>
        </is>
      </c>
      <c r="B13" t="inlineStr">
        <is>
          <t>LIMA</t>
        </is>
      </c>
      <c r="C13" t="inlineStr">
        <is>
          <t>LIMA</t>
        </is>
      </c>
      <c r="D13" t="inlineStr">
        <is>
          <t>150101</t>
        </is>
      </c>
      <c r="E13" t="inlineStr">
        <is>
          <t>Lima</t>
        </is>
      </c>
      <c r="F13" s="11" t="n">
        <v>0.0345</v>
      </c>
      <c r="G13" s="6">
        <f>IF($F$39=0,0,F13/$F$39)</f>
        <v/>
      </c>
      <c r="H13" s="5" t="n">
        <v>0</v>
      </c>
      <c r="I13" t="n">
        <v>2</v>
      </c>
      <c r="J13" t="n">
        <v>4</v>
      </c>
      <c r="L13" s="5" t="n">
        <v>0</v>
      </c>
    </row>
    <row r="14">
      <c r="A14" t="inlineStr">
        <is>
          <t>LIMA</t>
        </is>
      </c>
      <c r="B14" t="inlineStr">
        <is>
          <t>LIMA</t>
        </is>
      </c>
      <c r="C14" t="inlineStr">
        <is>
          <t>RIMAC</t>
        </is>
      </c>
      <c r="D14" t="inlineStr">
        <is>
          <t>150128</t>
        </is>
      </c>
      <c r="E14" t="inlineStr">
        <is>
          <t>Rimac</t>
        </is>
      </c>
      <c r="F14" s="11" t="n">
        <v>0.0345</v>
      </c>
      <c r="G14" s="6">
        <f>IF($F$39=0,0,F14/$F$39)</f>
        <v/>
      </c>
      <c r="H14" s="5" t="n">
        <v>0</v>
      </c>
      <c r="I14" t="n">
        <v>3</v>
      </c>
      <c r="J14" t="n">
        <v>3</v>
      </c>
      <c r="L14" s="5" t="n">
        <v>0</v>
      </c>
    </row>
    <row r="15">
      <c r="A15" t="inlineStr">
        <is>
          <t>LIMA</t>
        </is>
      </c>
      <c r="B15" t="inlineStr">
        <is>
          <t>LIMA</t>
        </is>
      </c>
      <c r="C15" t="inlineStr">
        <is>
          <t>CARABAYLLO</t>
        </is>
      </c>
      <c r="D15" t="inlineStr">
        <is>
          <t>150106</t>
        </is>
      </c>
      <c r="E15" t="inlineStr">
        <is>
          <t>Carabayllo</t>
        </is>
      </c>
      <c r="F15" s="11" t="n">
        <v>0.0345</v>
      </c>
      <c r="G15" s="6">
        <f>IF($F$39=0,0,F15/$F$39)</f>
        <v/>
      </c>
      <c r="H15" s="5" t="n">
        <v>0</v>
      </c>
      <c r="I15" t="n">
        <v>5</v>
      </c>
      <c r="J15" t="n">
        <v>3</v>
      </c>
      <c r="L15" s="5" t="n">
        <v>0</v>
      </c>
    </row>
    <row r="16">
      <c r="A16" t="inlineStr">
        <is>
          <t>LIMA</t>
        </is>
      </c>
      <c r="B16" t="inlineStr">
        <is>
          <t>LIMA</t>
        </is>
      </c>
      <c r="C16" t="inlineStr">
        <is>
          <t>VILLA EL SALVADOR</t>
        </is>
      </c>
      <c r="D16" t="inlineStr">
        <is>
          <t>150142</t>
        </is>
      </c>
      <c r="E16" t="inlineStr">
        <is>
          <t>Villa El Salvador</t>
        </is>
      </c>
      <c r="F16" s="11" t="n">
        <v>0.0345</v>
      </c>
      <c r="G16" s="6">
        <f>IF($F$39=0,0,F16/$F$39)</f>
        <v/>
      </c>
      <c r="H16" s="5" t="n">
        <v>0</v>
      </c>
      <c r="I16" t="n">
        <v>1</v>
      </c>
      <c r="J16" t="n">
        <v>3</v>
      </c>
      <c r="L16" s="5" t="n">
        <v>0</v>
      </c>
    </row>
    <row r="17">
      <c r="A17" t="inlineStr">
        <is>
          <t>LIMA</t>
        </is>
      </c>
      <c r="B17" t="inlineStr">
        <is>
          <t>LIMA</t>
        </is>
      </c>
      <c r="C17" t="inlineStr">
        <is>
          <t>COMAS</t>
        </is>
      </c>
      <c r="D17" t="inlineStr">
        <is>
          <t>150110</t>
        </is>
      </c>
      <c r="E17" t="inlineStr">
        <is>
          <t>Comas</t>
        </is>
      </c>
      <c r="F17" s="11" t="n">
        <v>0.0345</v>
      </c>
      <c r="G17" s="6">
        <f>IF($F$39=0,0,F17/$F$39)</f>
        <v/>
      </c>
      <c r="H17" s="5" t="n">
        <v>0</v>
      </c>
      <c r="I17" t="n">
        <v>3</v>
      </c>
      <c r="J17" t="n">
        <v>3</v>
      </c>
      <c r="L17" s="5" t="n">
        <v>0</v>
      </c>
    </row>
    <row r="18">
      <c r="A18" t="inlineStr">
        <is>
          <t>LIMA</t>
        </is>
      </c>
      <c r="B18" t="inlineStr">
        <is>
          <t>LIMA</t>
        </is>
      </c>
      <c r="C18" t="inlineStr">
        <is>
          <t>SAN JUAN DE MIRAFLORES</t>
        </is>
      </c>
      <c r="D18" t="inlineStr">
        <is>
          <t>150133</t>
        </is>
      </c>
      <c r="E18" t="inlineStr">
        <is>
          <t>San Juan De Miraflores</t>
        </is>
      </c>
      <c r="F18" s="11" t="n">
        <v>0.0172</v>
      </c>
      <c r="G18" s="6">
        <f>IF($F$39=0,0,F18/$F$39)</f>
        <v/>
      </c>
      <c r="H18" s="5" t="n">
        <v>0</v>
      </c>
      <c r="I18" t="n">
        <v>2</v>
      </c>
      <c r="J18" t="n">
        <v>3</v>
      </c>
      <c r="L18" s="5" t="n">
        <v>0</v>
      </c>
    </row>
    <row r="19">
      <c r="A19" t="inlineStr">
        <is>
          <t>LIMA</t>
        </is>
      </c>
      <c r="B19" t="inlineStr">
        <is>
          <t>HUAURA</t>
        </is>
      </c>
      <c r="C19" t="inlineStr">
        <is>
          <t>HUACHO</t>
        </is>
      </c>
      <c r="D19" t="inlineStr">
        <is>
          <t>150801</t>
        </is>
      </c>
      <c r="E19" t="inlineStr">
        <is>
          <t>Huacho</t>
        </is>
      </c>
      <c r="F19" s="11" t="n">
        <v>0.0172</v>
      </c>
      <c r="G19" s="6">
        <f>IF($F$39=0,0,F19/$F$39)</f>
        <v/>
      </c>
      <c r="H19" s="5" t="n">
        <v>0</v>
      </c>
      <c r="I19" t="n">
        <v>3</v>
      </c>
      <c r="J19" t="n">
        <v>3</v>
      </c>
      <c r="L19" s="5" t="n">
        <v>0</v>
      </c>
    </row>
    <row r="20">
      <c r="A20" t="inlineStr">
        <is>
          <t>MOQUEGUA</t>
        </is>
      </c>
      <c r="B20" t="inlineStr">
        <is>
          <t>MARISCAL NIETO</t>
        </is>
      </c>
      <c r="C20" t="inlineStr">
        <is>
          <t>MOQUEGUA</t>
        </is>
      </c>
      <c r="D20" t="inlineStr">
        <is>
          <t>180101</t>
        </is>
      </c>
      <c r="E20" t="inlineStr">
        <is>
          <t>Moquegua</t>
        </is>
      </c>
      <c r="F20" s="11" t="n">
        <v>0.0172</v>
      </c>
      <c r="G20" s="6">
        <f>IF($F$39=0,0,F20/$F$39)</f>
        <v/>
      </c>
      <c r="H20" s="5" t="n">
        <v>0</v>
      </c>
      <c r="I20" t="n">
        <v>4</v>
      </c>
      <c r="J20" t="n">
        <v>4</v>
      </c>
      <c r="L20" s="5" t="n">
        <v>0</v>
      </c>
    </row>
    <row r="21">
      <c r="A21" t="inlineStr">
        <is>
          <t>PIURA</t>
        </is>
      </c>
      <c r="B21" t="inlineStr">
        <is>
          <t>PIURA</t>
        </is>
      </c>
      <c r="C21" t="inlineStr">
        <is>
          <t>PIURA</t>
        </is>
      </c>
      <c r="D21" t="inlineStr">
        <is>
          <t>200101</t>
        </is>
      </c>
      <c r="E21" t="inlineStr">
        <is>
          <t>Piura</t>
        </is>
      </c>
      <c r="F21" s="11" t="n">
        <v>0.0172</v>
      </c>
      <c r="G21" s="6">
        <f>IF($F$39=0,0,F21/$F$39)</f>
        <v/>
      </c>
      <c r="H21" s="5" t="n">
        <v>0</v>
      </c>
      <c r="I21" t="n">
        <v>1</v>
      </c>
      <c r="J21" t="n">
        <v>5</v>
      </c>
      <c r="L21" s="5" t="n">
        <v>0</v>
      </c>
    </row>
    <row r="22">
      <c r="A22" t="inlineStr">
        <is>
          <t>PIURA</t>
        </is>
      </c>
      <c r="B22" t="inlineStr">
        <is>
          <t>PIURA</t>
        </is>
      </c>
      <c r="C22" t="inlineStr">
        <is>
          <t>CASTILLA</t>
        </is>
      </c>
      <c r="D22" t="inlineStr">
        <is>
          <t>200104</t>
        </is>
      </c>
      <c r="E22" t="inlineStr">
        <is>
          <t>Castilla</t>
        </is>
      </c>
      <c r="F22" s="11" t="n">
        <v>0.0172</v>
      </c>
      <c r="G22" s="6">
        <f>IF($F$39=0,0,F22/$F$39)</f>
        <v/>
      </c>
      <c r="H22" s="5" t="n">
        <v>0</v>
      </c>
      <c r="I22" t="n">
        <v>2</v>
      </c>
      <c r="J22" t="n">
        <v>5</v>
      </c>
      <c r="L22" s="5" t="n">
        <v>0</v>
      </c>
    </row>
    <row r="23">
      <c r="A23" t="inlineStr">
        <is>
          <t>ANCASH</t>
        </is>
      </c>
      <c r="B23" t="inlineStr">
        <is>
          <t>SANTA</t>
        </is>
      </c>
      <c r="C23" t="inlineStr">
        <is>
          <t>NUEVO CHIMBOTE</t>
        </is>
      </c>
      <c r="D23" t="inlineStr">
        <is>
          <t>021809</t>
        </is>
      </c>
      <c r="E23" t="inlineStr">
        <is>
          <t>Nuevo Chimbote</t>
        </is>
      </c>
      <c r="F23" s="11" t="n">
        <v>0.0172</v>
      </c>
      <c r="G23" s="6">
        <f>IF($F$39=0,0,F23/$F$39)</f>
        <v/>
      </c>
      <c r="H23" s="5" t="n">
        <v>0</v>
      </c>
      <c r="I23" t="n">
        <v>2</v>
      </c>
      <c r="J23" t="n">
        <v>3</v>
      </c>
      <c r="L23" s="5" t="n">
        <v>0</v>
      </c>
    </row>
    <row r="24">
      <c r="A24" t="inlineStr">
        <is>
          <t>LIMA</t>
        </is>
      </c>
      <c r="B24" t="inlineStr">
        <is>
          <t>LIMA</t>
        </is>
      </c>
      <c r="C24" t="inlineStr">
        <is>
          <t>CHACLACAYO</t>
        </is>
      </c>
      <c r="D24" t="inlineStr">
        <is>
          <t>150107</t>
        </is>
      </c>
      <c r="E24" t="inlineStr">
        <is>
          <t>Chaclacayo</t>
        </is>
      </c>
      <c r="F24" s="11" t="n">
        <v>0.0172</v>
      </c>
      <c r="G24" s="6">
        <f>IF($F$39=0,0,F24/$F$39)</f>
        <v/>
      </c>
      <c r="H24" s="5" t="n">
        <v>0</v>
      </c>
      <c r="I24" t="n">
        <v>4</v>
      </c>
      <c r="J24" t="n">
        <v>4</v>
      </c>
      <c r="L24" s="5" t="n">
        <v>0</v>
      </c>
    </row>
    <row r="25">
      <c r="A25" t="inlineStr">
        <is>
          <t>AREQUIPA</t>
        </is>
      </c>
      <c r="B25" t="inlineStr">
        <is>
          <t>AREQUIPA</t>
        </is>
      </c>
      <c r="C25" t="inlineStr">
        <is>
          <t>CERRO COLORADO</t>
        </is>
      </c>
      <c r="D25" t="inlineStr">
        <is>
          <t>040104</t>
        </is>
      </c>
      <c r="E25" t="inlineStr">
        <is>
          <t>Cerro Colorado</t>
        </is>
      </c>
      <c r="F25" s="11" t="n">
        <v>0.0172</v>
      </c>
      <c r="G25" s="6">
        <f>IF($F$39=0,0,F25/$F$39)</f>
        <v/>
      </c>
      <c r="H25" s="5" t="n">
        <v>0</v>
      </c>
      <c r="I25" t="n">
        <v>4</v>
      </c>
      <c r="J25" t="n">
        <v>4</v>
      </c>
      <c r="K25" t="n">
        <v>2</v>
      </c>
      <c r="L25" s="5" t="n">
        <v>0</v>
      </c>
    </row>
    <row r="26">
      <c r="A26" t="inlineStr">
        <is>
          <t>LAMBAYEQUE</t>
        </is>
      </c>
      <c r="B26" t="inlineStr">
        <is>
          <t>CHICLAYO</t>
        </is>
      </c>
      <c r="C26" t="inlineStr">
        <is>
          <t>PIMENTEL</t>
        </is>
      </c>
      <c r="D26" t="inlineStr">
        <is>
          <t>140112</t>
        </is>
      </c>
      <c r="E26" t="inlineStr">
        <is>
          <t>Pimentel</t>
        </is>
      </c>
      <c r="F26" s="11" t="n">
        <v>0.0172</v>
      </c>
      <c r="G26" s="6">
        <f>IF($F$39=0,0,F26/$F$39)</f>
        <v/>
      </c>
      <c r="H26" s="5" t="n">
        <v>0</v>
      </c>
      <c r="I26" t="n">
        <v>1</v>
      </c>
      <c r="J26" t="n">
        <v>4</v>
      </c>
      <c r="L26" s="5" t="n">
        <v>0</v>
      </c>
    </row>
    <row r="27">
      <c r="A27" t="inlineStr">
        <is>
          <t>JUNIN</t>
        </is>
      </c>
      <c r="B27" t="inlineStr">
        <is>
          <t>HUANCAYO</t>
        </is>
      </c>
      <c r="C27" t="inlineStr">
        <is>
          <t>HUANCAYO</t>
        </is>
      </c>
      <c r="D27" t="inlineStr">
        <is>
          <t>120101</t>
        </is>
      </c>
      <c r="E27" t="inlineStr">
        <is>
          <t>Huancayo</t>
        </is>
      </c>
      <c r="F27" s="11" t="n">
        <v>0.0172</v>
      </c>
      <c r="G27" s="6">
        <f>IF($F$39=0,0,F27/$F$39)</f>
        <v/>
      </c>
      <c r="H27" s="5" t="n">
        <v>0</v>
      </c>
      <c r="I27" t="n">
        <v>4</v>
      </c>
      <c r="J27" t="n">
        <v>2</v>
      </c>
      <c r="K27" t="n">
        <v>3</v>
      </c>
      <c r="L27" s="5" t="n">
        <v>0</v>
      </c>
    </row>
    <row r="28">
      <c r="A28" t="inlineStr">
        <is>
          <t>ICA</t>
        </is>
      </c>
      <c r="B28" t="inlineStr">
        <is>
          <t>CHINCHA</t>
        </is>
      </c>
      <c r="C28" t="inlineStr">
        <is>
          <t>ALTO LARAN</t>
        </is>
      </c>
      <c r="D28" t="inlineStr">
        <is>
          <t>110202</t>
        </is>
      </c>
      <c r="E28" t="inlineStr">
        <is>
          <t>Alto Laran</t>
        </is>
      </c>
      <c r="F28" s="11" t="n">
        <v>0.0172</v>
      </c>
      <c r="G28" s="6">
        <f>IF($F$39=0,0,F28/$F$39)</f>
        <v/>
      </c>
      <c r="H28" s="5" t="n">
        <v>0</v>
      </c>
      <c r="L28" s="5" t="n">
        <v>0</v>
      </c>
    </row>
    <row r="29">
      <c r="A29" t="inlineStr">
        <is>
          <t>ICA</t>
        </is>
      </c>
      <c r="B29" t="inlineStr">
        <is>
          <t>ICA</t>
        </is>
      </c>
      <c r="C29" t="inlineStr">
        <is>
          <t>ICA</t>
        </is>
      </c>
      <c r="D29" t="inlineStr">
        <is>
          <t>110101</t>
        </is>
      </c>
      <c r="E29" t="inlineStr">
        <is>
          <t>Ica</t>
        </is>
      </c>
      <c r="F29" s="11" t="n">
        <v>0.0172</v>
      </c>
      <c r="G29" s="6">
        <f>IF($F$39=0,0,F29/$F$39)</f>
        <v/>
      </c>
      <c r="H29" s="5" t="n">
        <v>0</v>
      </c>
      <c r="I29" t="n">
        <v>1</v>
      </c>
      <c r="J29" t="n">
        <v>5</v>
      </c>
      <c r="L29" s="5" t="n">
        <v>0</v>
      </c>
    </row>
    <row r="30">
      <c r="A30" t="inlineStr">
        <is>
          <t>HUANUCO</t>
        </is>
      </c>
      <c r="B30" t="inlineStr">
        <is>
          <t>HUANUCO</t>
        </is>
      </c>
      <c r="C30" t="inlineStr">
        <is>
          <t>AMARILIS</t>
        </is>
      </c>
      <c r="D30" t="inlineStr">
        <is>
          <t>100102</t>
        </is>
      </c>
      <c r="E30" t="inlineStr">
        <is>
          <t>Amarilis</t>
        </is>
      </c>
      <c r="F30" s="11" t="n">
        <v>0.0172</v>
      </c>
      <c r="G30" s="6">
        <f>IF($F$39=0,0,F30/$F$39)</f>
        <v/>
      </c>
      <c r="H30" s="5" t="n">
        <v>0</v>
      </c>
      <c r="I30" t="n">
        <v>5</v>
      </c>
      <c r="J30" t="n">
        <v>2</v>
      </c>
      <c r="K30" t="n">
        <v>3</v>
      </c>
      <c r="L30" s="5" t="n">
        <v>0</v>
      </c>
    </row>
    <row r="31">
      <c r="A31" t="inlineStr">
        <is>
          <t>CUSCO</t>
        </is>
      </c>
      <c r="B31" t="inlineStr">
        <is>
          <t>CUSCO</t>
        </is>
      </c>
      <c r="C31" t="inlineStr">
        <is>
          <t>SANTIAGO</t>
        </is>
      </c>
      <c r="D31" t="inlineStr">
        <is>
          <t>080106</t>
        </is>
      </c>
      <c r="E31" t="inlineStr">
        <is>
          <t>Santiago</t>
        </is>
      </c>
      <c r="F31" s="11" t="n">
        <v>0.0172</v>
      </c>
      <c r="G31" s="6">
        <f>IF($F$39=0,0,F31/$F$39)</f>
        <v/>
      </c>
      <c r="H31" s="5" t="n">
        <v>0</v>
      </c>
      <c r="I31" t="n">
        <v>4</v>
      </c>
      <c r="J31" t="n">
        <v>2</v>
      </c>
      <c r="K31" t="n">
        <v>3</v>
      </c>
      <c r="L31" s="5" t="n">
        <v>0</v>
      </c>
    </row>
    <row r="32">
      <c r="A32" t="inlineStr">
        <is>
          <t>CUSCO</t>
        </is>
      </c>
      <c r="B32" t="inlineStr">
        <is>
          <t>CUSCO</t>
        </is>
      </c>
      <c r="C32" t="inlineStr">
        <is>
          <t>SAN JERONIMO</t>
        </is>
      </c>
      <c r="D32" t="inlineStr">
        <is>
          <t>080104</t>
        </is>
      </c>
      <c r="E32" t="inlineStr">
        <is>
          <t>San Jeronimo</t>
        </is>
      </c>
      <c r="F32" s="11" t="n">
        <v>0.0172</v>
      </c>
      <c r="G32" s="6">
        <f>IF($F$39=0,0,F32/$F$39)</f>
        <v/>
      </c>
      <c r="H32" s="5" t="n">
        <v>0</v>
      </c>
      <c r="I32" t="n">
        <v>4</v>
      </c>
      <c r="J32" t="n">
        <v>2</v>
      </c>
      <c r="K32" t="n">
        <v>3</v>
      </c>
      <c r="L32" s="5" t="n">
        <v>0</v>
      </c>
    </row>
    <row r="33">
      <c r="A33" t="inlineStr">
        <is>
          <t>CALLAO</t>
        </is>
      </c>
      <c r="B33" t="inlineStr">
        <is>
          <t>CALLAO</t>
        </is>
      </c>
      <c r="C33" t="inlineStr">
        <is>
          <t>LA PERLA</t>
        </is>
      </c>
      <c r="D33" t="inlineStr">
        <is>
          <t>070104</t>
        </is>
      </c>
      <c r="E33" t="inlineStr">
        <is>
          <t>La Perla</t>
        </is>
      </c>
      <c r="F33" s="11" t="n">
        <v>0.0172</v>
      </c>
      <c r="G33" s="6">
        <f>IF($F$39=0,0,F33/$F$39)</f>
        <v/>
      </c>
      <c r="H33" s="5" t="n">
        <v>0</v>
      </c>
      <c r="I33" t="n">
        <v>1</v>
      </c>
      <c r="J33" t="n">
        <v>4</v>
      </c>
      <c r="L33" s="5" t="n">
        <v>0</v>
      </c>
    </row>
    <row r="34">
      <c r="A34" t="inlineStr">
        <is>
          <t>CALLAO</t>
        </is>
      </c>
      <c r="B34" t="inlineStr">
        <is>
          <t>CALLAO</t>
        </is>
      </c>
      <c r="C34" t="inlineStr">
        <is>
          <t>BELLAVISTA</t>
        </is>
      </c>
      <c r="D34" t="inlineStr">
        <is>
          <t>070102</t>
        </is>
      </c>
      <c r="E34" t="inlineStr">
        <is>
          <t>Bellavista</t>
        </is>
      </c>
      <c r="F34" s="11" t="n">
        <v>0.0172</v>
      </c>
      <c r="G34" s="6">
        <f>IF($F$39=0,0,F34/$F$39)</f>
        <v/>
      </c>
      <c r="H34" s="5" t="n">
        <v>0</v>
      </c>
      <c r="I34" t="n">
        <v>1</v>
      </c>
      <c r="J34" t="n">
        <v>4</v>
      </c>
      <c r="L34" s="5" t="n">
        <v>0</v>
      </c>
    </row>
    <row r="35">
      <c r="A35" t="inlineStr">
        <is>
          <t>AREQUIPA</t>
        </is>
      </c>
      <c r="B35" t="inlineStr">
        <is>
          <t>AREQUIPA</t>
        </is>
      </c>
      <c r="C35" t="inlineStr">
        <is>
          <t>SACHACA</t>
        </is>
      </c>
      <c r="D35" t="inlineStr">
        <is>
          <t>040117</t>
        </is>
      </c>
      <c r="E35" t="inlineStr">
        <is>
          <t>Sachaca</t>
        </is>
      </c>
      <c r="F35" s="11" t="n">
        <v>0.0172</v>
      </c>
      <c r="G35" s="6">
        <f>IF($F$39=0,0,F35/$F$39)</f>
        <v/>
      </c>
      <c r="H35" s="5" t="n">
        <v>0</v>
      </c>
      <c r="I35" t="n">
        <v>4</v>
      </c>
      <c r="J35" t="n">
        <v>5</v>
      </c>
      <c r="L35" s="5" t="n">
        <v>0</v>
      </c>
    </row>
    <row r="36">
      <c r="A36" t="inlineStr">
        <is>
          <t>AREQUIPA</t>
        </is>
      </c>
      <c r="B36" t="inlineStr">
        <is>
          <t>AREQUIPA</t>
        </is>
      </c>
      <c r="C36" t="inlineStr">
        <is>
          <t>PAUCARPATA</t>
        </is>
      </c>
      <c r="D36" t="inlineStr">
        <is>
          <t>040112</t>
        </is>
      </c>
      <c r="E36" t="inlineStr">
        <is>
          <t>Paucarpata</t>
        </is>
      </c>
      <c r="F36" s="11" t="n">
        <v>0.0172</v>
      </c>
      <c r="G36" s="6">
        <f>IF($F$39=0,0,F36/$F$39)</f>
        <v/>
      </c>
      <c r="H36" s="5" t="n">
        <v>0</v>
      </c>
      <c r="I36" t="n">
        <v>5</v>
      </c>
      <c r="J36" t="n">
        <v>4</v>
      </c>
      <c r="K36" t="n">
        <v>2</v>
      </c>
      <c r="L36" s="5" t="n">
        <v>0</v>
      </c>
    </row>
    <row r="37">
      <c r="A37" t="inlineStr">
        <is>
          <t>AREQUIPA</t>
        </is>
      </c>
      <c r="B37" t="inlineStr">
        <is>
          <t>AREQUIPA</t>
        </is>
      </c>
      <c r="C37" t="inlineStr">
        <is>
          <t>MIRAFLORES</t>
        </is>
      </c>
      <c r="D37" t="inlineStr">
        <is>
          <t>040110</t>
        </is>
      </c>
      <c r="E37" t="inlineStr">
        <is>
          <t>Miraflores</t>
        </is>
      </c>
      <c r="F37" s="11" t="n">
        <v>0.0172</v>
      </c>
      <c r="G37" s="6">
        <f>IF($F$39=0,0,F37/$F$39)</f>
        <v/>
      </c>
      <c r="H37" s="5" t="n">
        <v>0</v>
      </c>
      <c r="I37" t="n">
        <v>5</v>
      </c>
      <c r="J37" t="n">
        <v>3</v>
      </c>
      <c r="K37" t="n">
        <v>2</v>
      </c>
      <c r="L37" s="5" t="n">
        <v>0</v>
      </c>
    </row>
    <row r="38">
      <c r="A38" t="inlineStr">
        <is>
          <t>PUNO</t>
        </is>
      </c>
      <c r="B38" t="inlineStr">
        <is>
          <t>SAN ROMAN</t>
        </is>
      </c>
      <c r="C38" t="inlineStr">
        <is>
          <t>JULIACA</t>
        </is>
      </c>
      <c r="D38" t="inlineStr">
        <is>
          <t>211101</t>
        </is>
      </c>
      <c r="E38" t="inlineStr">
        <is>
          <t>Juliaca</t>
        </is>
      </c>
      <c r="F38" s="11" t="n">
        <v>0.0172</v>
      </c>
      <c r="G38" s="6">
        <f>IF($F$39=0,0,F38/$F$39)</f>
        <v/>
      </c>
      <c r="H38" s="5" t="n">
        <v>0</v>
      </c>
      <c r="I38" t="n">
        <v>3</v>
      </c>
      <c r="J38" t="n">
        <v>1</v>
      </c>
      <c r="K38" t="n">
        <v>4</v>
      </c>
      <c r="L38" s="5" t="n">
        <v>0</v>
      </c>
    </row>
    <row r="39">
      <c r="A39" s="12" t="inlineStr">
        <is>
          <t>TOTAL</t>
        </is>
      </c>
      <c r="B39" t="inlineStr"/>
      <c r="C39" t="inlineStr"/>
      <c r="D39" t="inlineStr"/>
      <c r="E39" t="inlineStr"/>
      <c r="F39" s="13">
        <f>SUM(F5:F38)</f>
        <v/>
      </c>
      <c r="G39" t="inlineStr"/>
      <c r="H39" s="14">
        <f>SUM(H5:H38)</f>
        <v/>
      </c>
      <c r="I39" t="inlineStr"/>
      <c r="J39" t="inlineStr"/>
      <c r="K39" t="inlineStr"/>
      <c r="L39" s="14">
        <f>SUM(L5:L38)</f>
        <v/>
      </c>
    </row>
    <row r="42">
      <c r="A42" s="15" t="inlineStr">
        <is>
          <t>Detalle por ubicación (%)</t>
        </is>
      </c>
    </row>
    <row r="43">
      <c r="A43" s="3" t="inlineStr">
        <is>
          <t>Distrito</t>
        </is>
      </c>
      <c r="B43" s="3" t="inlineStr">
        <is>
          <t>Ubigeo</t>
        </is>
      </c>
      <c r="C43" s="3" t="inlineStr">
        <is>
          <t>Mineral</t>
        </is>
      </c>
      <c r="D43" s="3" t="inlineStr">
        <is>
          <t>Unidad</t>
        </is>
      </c>
      <c r="E43" s="3" t="inlineStr">
        <is>
          <t>Cantidad (orig.)</t>
        </is>
      </c>
      <c r="F43" s="3" t="inlineStr">
        <is>
          <t>TMF equiv.</t>
        </is>
      </c>
    </row>
    <row r="44">
      <c r="A44" t="inlineStr">
        <is>
          <t>ATE</t>
        </is>
      </c>
      <c r="B44" t="inlineStr">
        <is>
          <t>150103</t>
        </is>
      </c>
      <c r="C44" t="inlineStr">
        <is>
          <t>Distribución</t>
        </is>
      </c>
      <c r="D44" t="inlineStr">
        <is>
          <t>%</t>
        </is>
      </c>
      <c r="E44" s="11" t="n">
        <v>0.0862</v>
      </c>
      <c r="F44" s="16" t="n">
        <v>0.08620700000000001</v>
      </c>
    </row>
    <row r="45">
      <c r="A45" t="inlineStr">
        <is>
          <t>SAN JUAN DE LURIGANCHO</t>
        </is>
      </c>
      <c r="B45" t="inlineStr">
        <is>
          <t>150132</t>
        </is>
      </c>
      <c r="C45" t="inlineStr">
        <is>
          <t>Distribución</t>
        </is>
      </c>
      <c r="D45" t="inlineStr">
        <is>
          <t>%</t>
        </is>
      </c>
      <c r="E45" s="11" t="n">
        <v>0.06900000000000001</v>
      </c>
      <c r="F45" s="16" t="n">
        <v>0.068966</v>
      </c>
    </row>
    <row r="46">
      <c r="A46" t="inlineStr">
        <is>
          <t>CHORRILLOS</t>
        </is>
      </c>
      <c r="B46" t="inlineStr">
        <is>
          <t>150108</t>
        </is>
      </c>
      <c r="C46" t="inlineStr">
        <is>
          <t>Distribución</t>
        </is>
      </c>
      <c r="D46" t="inlineStr">
        <is>
          <t>%</t>
        </is>
      </c>
      <c r="E46" s="11" t="n">
        <v>0.06900000000000001</v>
      </c>
      <c r="F46" s="16" t="n">
        <v>0.068966</v>
      </c>
    </row>
    <row r="47">
      <c r="A47" t="inlineStr">
        <is>
          <t>SAN MIGUEL</t>
        </is>
      </c>
      <c r="B47" t="inlineStr">
        <is>
          <t>150136</t>
        </is>
      </c>
      <c r="C47" t="inlineStr">
        <is>
          <t>Distribución</t>
        </is>
      </c>
      <c r="D47" t="inlineStr">
        <is>
          <t>%</t>
        </is>
      </c>
      <c r="E47" s="11" t="n">
        <v>0.0517</v>
      </c>
      <c r="F47" s="16" t="n">
        <v>0.051724</v>
      </c>
    </row>
    <row r="48">
      <c r="A48" t="inlineStr">
        <is>
          <t>LOS OLIVOS</t>
        </is>
      </c>
      <c r="B48" t="inlineStr">
        <is>
          <t>150117</t>
        </is>
      </c>
      <c r="C48" t="inlineStr">
        <is>
          <t>Distribución</t>
        </is>
      </c>
      <c r="D48" t="inlineStr">
        <is>
          <t>%</t>
        </is>
      </c>
      <c r="E48" s="11" t="n">
        <v>0.0517</v>
      </c>
      <c r="F48" s="16" t="n">
        <v>0.051724</v>
      </c>
    </row>
    <row r="49">
      <c r="A49" t="inlineStr">
        <is>
          <t>CALLAO</t>
        </is>
      </c>
      <c r="B49" t="inlineStr">
        <is>
          <t>070101</t>
        </is>
      </c>
      <c r="C49" t="inlineStr">
        <is>
          <t>Distribución</t>
        </is>
      </c>
      <c r="D49" t="inlineStr">
        <is>
          <t>%</t>
        </is>
      </c>
      <c r="E49" s="11" t="n">
        <v>0.0517</v>
      </c>
      <c r="F49" s="16" t="n">
        <v>0.051724</v>
      </c>
    </row>
    <row r="50">
      <c r="A50" t="inlineStr">
        <is>
          <t>SANTIAGO DE SURCO</t>
        </is>
      </c>
      <c r="B50" t="inlineStr">
        <is>
          <t>150140</t>
        </is>
      </c>
      <c r="C50" t="inlineStr">
        <is>
          <t>Distribución</t>
        </is>
      </c>
      <c r="D50" t="inlineStr">
        <is>
          <t>%</t>
        </is>
      </c>
      <c r="E50" s="11" t="n">
        <v>0.0517</v>
      </c>
      <c r="F50" s="16" t="n">
        <v>0.051724</v>
      </c>
    </row>
    <row r="51">
      <c r="A51" t="inlineStr">
        <is>
          <t>SAN MARTIN DE PORRES</t>
        </is>
      </c>
      <c r="B51" t="inlineStr">
        <is>
          <t>150135</t>
        </is>
      </c>
      <c r="C51" t="inlineStr">
        <is>
          <t>Distribución</t>
        </is>
      </c>
      <c r="D51" t="inlineStr">
        <is>
          <t>%</t>
        </is>
      </c>
      <c r="E51" s="11" t="n">
        <v>0.0345</v>
      </c>
      <c r="F51" s="16" t="n">
        <v>0.034483</v>
      </c>
    </row>
    <row r="52">
      <c r="A52" t="inlineStr">
        <is>
          <t>LIMA</t>
        </is>
      </c>
      <c r="B52" t="inlineStr">
        <is>
          <t>150101</t>
        </is>
      </c>
      <c r="C52" t="inlineStr">
        <is>
          <t>Distribución</t>
        </is>
      </c>
      <c r="D52" t="inlineStr">
        <is>
          <t>%</t>
        </is>
      </c>
      <c r="E52" s="11" t="n">
        <v>0.0345</v>
      </c>
      <c r="F52" s="16" t="n">
        <v>0.034483</v>
      </c>
    </row>
    <row r="53">
      <c r="A53" t="inlineStr">
        <is>
          <t>RIMAC</t>
        </is>
      </c>
      <c r="B53" t="inlineStr">
        <is>
          <t>150128</t>
        </is>
      </c>
      <c r="C53" t="inlineStr">
        <is>
          <t>Distribución</t>
        </is>
      </c>
      <c r="D53" t="inlineStr">
        <is>
          <t>%</t>
        </is>
      </c>
      <c r="E53" s="11" t="n">
        <v>0.0345</v>
      </c>
      <c r="F53" s="16" t="n">
        <v>0.034483</v>
      </c>
    </row>
    <row r="54">
      <c r="A54" t="inlineStr">
        <is>
          <t>CARABAYLLO</t>
        </is>
      </c>
      <c r="B54" t="inlineStr">
        <is>
          <t>150106</t>
        </is>
      </c>
      <c r="C54" t="inlineStr">
        <is>
          <t>Distribución</t>
        </is>
      </c>
      <c r="D54" t="inlineStr">
        <is>
          <t>%</t>
        </is>
      </c>
      <c r="E54" s="11" t="n">
        <v>0.0345</v>
      </c>
      <c r="F54" s="16" t="n">
        <v>0.034483</v>
      </c>
    </row>
    <row r="55">
      <c r="A55" t="inlineStr">
        <is>
          <t>VILLA EL SALVADOR</t>
        </is>
      </c>
      <c r="B55" t="inlineStr">
        <is>
          <t>150142</t>
        </is>
      </c>
      <c r="C55" t="inlineStr">
        <is>
          <t>Distribución</t>
        </is>
      </c>
      <c r="D55" t="inlineStr">
        <is>
          <t>%</t>
        </is>
      </c>
      <c r="E55" s="11" t="n">
        <v>0.0345</v>
      </c>
      <c r="F55" s="16" t="n">
        <v>0.034483</v>
      </c>
    </row>
    <row r="56">
      <c r="A56" t="inlineStr">
        <is>
          <t>COMAS</t>
        </is>
      </c>
      <c r="B56" t="inlineStr">
        <is>
          <t>150110</t>
        </is>
      </c>
      <c r="C56" t="inlineStr">
        <is>
          <t>Distribución</t>
        </is>
      </c>
      <c r="D56" t="inlineStr">
        <is>
          <t>%</t>
        </is>
      </c>
      <c r="E56" s="11" t="n">
        <v>0.0345</v>
      </c>
      <c r="F56" s="16" t="n">
        <v>0.034483</v>
      </c>
    </row>
    <row r="57">
      <c r="A57" t="inlineStr">
        <is>
          <t>SAN JUAN DE MIRAFLORES</t>
        </is>
      </c>
      <c r="B57" t="inlineStr">
        <is>
          <t>150133</t>
        </is>
      </c>
      <c r="C57" t="inlineStr">
        <is>
          <t>Distribución</t>
        </is>
      </c>
      <c r="D57" t="inlineStr">
        <is>
          <t>%</t>
        </is>
      </c>
      <c r="E57" s="11" t="n">
        <v>0.0172</v>
      </c>
      <c r="F57" s="16" t="n">
        <v>0.017241</v>
      </c>
    </row>
    <row r="58">
      <c r="A58" t="inlineStr">
        <is>
          <t>HUACHO</t>
        </is>
      </c>
      <c r="B58" t="inlineStr">
        <is>
          <t>150801</t>
        </is>
      </c>
      <c r="C58" t="inlineStr">
        <is>
          <t>Distribución</t>
        </is>
      </c>
      <c r="D58" t="inlineStr">
        <is>
          <t>%</t>
        </is>
      </c>
      <c r="E58" s="11" t="n">
        <v>0.0172</v>
      </c>
      <c r="F58" s="16" t="n">
        <v>0.017241</v>
      </c>
    </row>
    <row r="59">
      <c r="A59" t="inlineStr">
        <is>
          <t>MOQUEGUA</t>
        </is>
      </c>
      <c r="B59" t="inlineStr">
        <is>
          <t>180101</t>
        </is>
      </c>
      <c r="C59" t="inlineStr">
        <is>
          <t>Distribución</t>
        </is>
      </c>
      <c r="D59" t="inlineStr">
        <is>
          <t>%</t>
        </is>
      </c>
      <c r="E59" s="11" t="n">
        <v>0.0172</v>
      </c>
      <c r="F59" s="16" t="n">
        <v>0.017241</v>
      </c>
    </row>
    <row r="60">
      <c r="A60" t="inlineStr">
        <is>
          <t>PIURA</t>
        </is>
      </c>
      <c r="B60" t="inlineStr">
        <is>
          <t>200101</t>
        </is>
      </c>
      <c r="C60" t="inlineStr">
        <is>
          <t>Distribución</t>
        </is>
      </c>
      <c r="D60" t="inlineStr">
        <is>
          <t>%</t>
        </is>
      </c>
      <c r="E60" s="11" t="n">
        <v>0.0172</v>
      </c>
      <c r="F60" s="16" t="n">
        <v>0.017241</v>
      </c>
    </row>
    <row r="61">
      <c r="A61" t="inlineStr">
        <is>
          <t>CASTILLA</t>
        </is>
      </c>
      <c r="B61" t="inlineStr">
        <is>
          <t>200104</t>
        </is>
      </c>
      <c r="C61" t="inlineStr">
        <is>
          <t>Distribución</t>
        </is>
      </c>
      <c r="D61" t="inlineStr">
        <is>
          <t>%</t>
        </is>
      </c>
      <c r="E61" s="11" t="n">
        <v>0.0172</v>
      </c>
      <c r="F61" s="16" t="n">
        <v>0.017241</v>
      </c>
    </row>
    <row r="62">
      <c r="A62" t="inlineStr">
        <is>
          <t>NUEVO CHIMBOTE</t>
        </is>
      </c>
      <c r="B62" t="inlineStr">
        <is>
          <t>021809</t>
        </is>
      </c>
      <c r="C62" t="inlineStr">
        <is>
          <t>Distribución</t>
        </is>
      </c>
      <c r="D62" t="inlineStr">
        <is>
          <t>%</t>
        </is>
      </c>
      <c r="E62" s="11" t="n">
        <v>0.0172</v>
      </c>
      <c r="F62" s="16" t="n">
        <v>0.017241</v>
      </c>
    </row>
    <row r="63">
      <c r="A63" t="inlineStr">
        <is>
          <t>CHACLACAYO</t>
        </is>
      </c>
      <c r="B63" t="inlineStr">
        <is>
          <t>150107</t>
        </is>
      </c>
      <c r="C63" t="inlineStr">
        <is>
          <t>Distribución</t>
        </is>
      </c>
      <c r="D63" t="inlineStr">
        <is>
          <t>%</t>
        </is>
      </c>
      <c r="E63" s="11" t="n">
        <v>0.0172</v>
      </c>
      <c r="F63" s="16" t="n">
        <v>0.017241</v>
      </c>
    </row>
    <row r="64">
      <c r="A64" t="inlineStr">
        <is>
          <t>CERRO COLORADO</t>
        </is>
      </c>
      <c r="B64" t="inlineStr">
        <is>
          <t>040104</t>
        </is>
      </c>
      <c r="C64" t="inlineStr">
        <is>
          <t>Distribución</t>
        </is>
      </c>
      <c r="D64" t="inlineStr">
        <is>
          <t>%</t>
        </is>
      </c>
      <c r="E64" s="11" t="n">
        <v>0.0172</v>
      </c>
      <c r="F64" s="16" t="n">
        <v>0.017241</v>
      </c>
    </row>
    <row r="65">
      <c r="A65" t="inlineStr">
        <is>
          <t>PIMENTEL</t>
        </is>
      </c>
      <c r="B65" t="inlineStr">
        <is>
          <t>140112</t>
        </is>
      </c>
      <c r="C65" t="inlineStr">
        <is>
          <t>Distribución</t>
        </is>
      </c>
      <c r="D65" t="inlineStr">
        <is>
          <t>%</t>
        </is>
      </c>
      <c r="E65" s="11" t="n">
        <v>0.0172</v>
      </c>
      <c r="F65" s="16" t="n">
        <v>0.017241</v>
      </c>
    </row>
    <row r="66">
      <c r="A66" t="inlineStr">
        <is>
          <t>HUANCAYO</t>
        </is>
      </c>
      <c r="B66" t="inlineStr">
        <is>
          <t>120101</t>
        </is>
      </c>
      <c r="C66" t="inlineStr">
        <is>
          <t>Distribución</t>
        </is>
      </c>
      <c r="D66" t="inlineStr">
        <is>
          <t>%</t>
        </is>
      </c>
      <c r="E66" s="11" t="n">
        <v>0.0172</v>
      </c>
      <c r="F66" s="16" t="n">
        <v>0.017241</v>
      </c>
    </row>
    <row r="67">
      <c r="A67" t="inlineStr">
        <is>
          <t>ALTO LARAN</t>
        </is>
      </c>
      <c r="B67" t="inlineStr">
        <is>
          <t>110202</t>
        </is>
      </c>
      <c r="C67" t="inlineStr">
        <is>
          <t>Distribución</t>
        </is>
      </c>
      <c r="D67" t="inlineStr">
        <is>
          <t>%</t>
        </is>
      </c>
      <c r="E67" s="11" t="n">
        <v>0.0172</v>
      </c>
      <c r="F67" s="16" t="n">
        <v>0.017241</v>
      </c>
    </row>
    <row r="68">
      <c r="A68" t="inlineStr">
        <is>
          <t>ICA</t>
        </is>
      </c>
      <c r="B68" t="inlineStr">
        <is>
          <t>110101</t>
        </is>
      </c>
      <c r="C68" t="inlineStr">
        <is>
          <t>Distribución</t>
        </is>
      </c>
      <c r="D68" t="inlineStr">
        <is>
          <t>%</t>
        </is>
      </c>
      <c r="E68" s="11" t="n">
        <v>0.0172</v>
      </c>
      <c r="F68" s="16" t="n">
        <v>0.017241</v>
      </c>
    </row>
    <row r="69">
      <c r="A69" t="inlineStr">
        <is>
          <t>AMARILIS</t>
        </is>
      </c>
      <c r="B69" t="inlineStr">
        <is>
          <t>100102</t>
        </is>
      </c>
      <c r="C69" t="inlineStr">
        <is>
          <t>Distribución</t>
        </is>
      </c>
      <c r="D69" t="inlineStr">
        <is>
          <t>%</t>
        </is>
      </c>
      <c r="E69" s="11" t="n">
        <v>0.0172</v>
      </c>
      <c r="F69" s="16" t="n">
        <v>0.017241</v>
      </c>
    </row>
    <row r="70">
      <c r="A70" t="inlineStr">
        <is>
          <t>SANTIAGO</t>
        </is>
      </c>
      <c r="B70" t="inlineStr">
        <is>
          <t>080106</t>
        </is>
      </c>
      <c r="C70" t="inlineStr">
        <is>
          <t>Distribución</t>
        </is>
      </c>
      <c r="D70" t="inlineStr">
        <is>
          <t>%</t>
        </is>
      </c>
      <c r="E70" s="11" t="n">
        <v>0.0172</v>
      </c>
      <c r="F70" s="16" t="n">
        <v>0.017241</v>
      </c>
    </row>
    <row r="71">
      <c r="A71" t="inlineStr">
        <is>
          <t>SAN JERONIMO</t>
        </is>
      </c>
      <c r="B71" t="inlineStr">
        <is>
          <t>080104</t>
        </is>
      </c>
      <c r="C71" t="inlineStr">
        <is>
          <t>Distribución</t>
        </is>
      </c>
      <c r="D71" t="inlineStr">
        <is>
          <t>%</t>
        </is>
      </c>
      <c r="E71" s="11" t="n">
        <v>0.0172</v>
      </c>
      <c r="F71" s="16" t="n">
        <v>0.017241</v>
      </c>
    </row>
    <row r="72">
      <c r="A72" t="inlineStr">
        <is>
          <t>LA PERLA</t>
        </is>
      </c>
      <c r="B72" t="inlineStr">
        <is>
          <t>070104</t>
        </is>
      </c>
      <c r="C72" t="inlineStr">
        <is>
          <t>Distribución</t>
        </is>
      </c>
      <c r="D72" t="inlineStr">
        <is>
          <t>%</t>
        </is>
      </c>
      <c r="E72" s="11" t="n">
        <v>0.0172</v>
      </c>
      <c r="F72" s="16" t="n">
        <v>0.017241</v>
      </c>
    </row>
    <row r="73">
      <c r="A73" t="inlineStr">
        <is>
          <t>BELLAVISTA</t>
        </is>
      </c>
      <c r="B73" t="inlineStr">
        <is>
          <t>070102</t>
        </is>
      </c>
      <c r="C73" t="inlineStr">
        <is>
          <t>Distribución</t>
        </is>
      </c>
      <c r="D73" t="inlineStr">
        <is>
          <t>%</t>
        </is>
      </c>
      <c r="E73" s="11" t="n">
        <v>0.0172</v>
      </c>
      <c r="F73" s="16" t="n">
        <v>0.017241</v>
      </c>
    </row>
    <row r="74">
      <c r="A74" t="inlineStr">
        <is>
          <t>SACHACA</t>
        </is>
      </c>
      <c r="B74" t="inlineStr">
        <is>
          <t>040117</t>
        </is>
      </c>
      <c r="C74" t="inlineStr">
        <is>
          <t>Distribución</t>
        </is>
      </c>
      <c r="D74" t="inlineStr">
        <is>
          <t>%</t>
        </is>
      </c>
      <c r="E74" s="11" t="n">
        <v>0.0172</v>
      </c>
      <c r="F74" s="16" t="n">
        <v>0.017241</v>
      </c>
    </row>
    <row r="75">
      <c r="A75" t="inlineStr">
        <is>
          <t>PAUCARPATA</t>
        </is>
      </c>
      <c r="B75" t="inlineStr">
        <is>
          <t>040112</t>
        </is>
      </c>
      <c r="C75" t="inlineStr">
        <is>
          <t>Distribución</t>
        </is>
      </c>
      <c r="D75" t="inlineStr">
        <is>
          <t>%</t>
        </is>
      </c>
      <c r="E75" s="11" t="n">
        <v>0.0172</v>
      </c>
      <c r="F75" s="16" t="n">
        <v>0.017241</v>
      </c>
    </row>
    <row r="76">
      <c r="A76" t="inlineStr">
        <is>
          <t>MIRAFLORES</t>
        </is>
      </c>
      <c r="B76" t="inlineStr">
        <is>
          <t>040110</t>
        </is>
      </c>
      <c r="C76" t="inlineStr">
        <is>
          <t>Distribución</t>
        </is>
      </c>
      <c r="D76" t="inlineStr">
        <is>
          <t>%</t>
        </is>
      </c>
      <c r="E76" s="11" t="n">
        <v>0.0172</v>
      </c>
      <c r="F76" s="16" t="n">
        <v>0.017241</v>
      </c>
    </row>
    <row r="77">
      <c r="A77" t="inlineStr">
        <is>
          <t>JULIACA</t>
        </is>
      </c>
      <c r="B77" t="inlineStr">
        <is>
          <t>211101</t>
        </is>
      </c>
      <c r="C77" t="inlineStr">
        <is>
          <t>Distribución</t>
        </is>
      </c>
      <c r="D77" t="inlineStr">
        <is>
          <t>%</t>
        </is>
      </c>
      <c r="E77" s="11" t="n">
        <v>0.0172</v>
      </c>
      <c r="F77" s="16" t="n">
        <v>0.017241</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5"/>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Tecsup — Distribución por distrito y exposición asignada</t>
        </is>
      </c>
    </row>
    <row r="2">
      <c r="A2" s="2" t="inlineStr">
        <is>
          <t>Distribución total: 1.00 %   ·   Exposición en cartera: S/ 1,764,204   ·   Asignación: tmf_share</t>
        </is>
      </c>
    </row>
    <row r="4">
      <c r="A4" s="3" t="inlineStr">
        <is>
          <t>Departamento</t>
        </is>
      </c>
      <c r="B4" s="3" t="inlineStr">
        <is>
          <t>Provincia</t>
        </is>
      </c>
      <c r="C4" s="3" t="inlineStr">
        <is>
          <t>Distrito</t>
        </is>
      </c>
      <c r="D4" s="3" t="inlineStr">
        <is>
          <t>Ubigeo</t>
        </is>
      </c>
      <c r="E4" s="3" t="inlineStr">
        <is>
          <t>Sedes / colegios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AREQUIPA</t>
        </is>
      </c>
      <c r="B5" t="inlineStr">
        <is>
          <t>AREQUIPA</t>
        </is>
      </c>
      <c r="C5" t="inlineStr">
        <is>
          <t>JOSE LUIS BUSTAMANTE Y RIVERO</t>
        </is>
      </c>
      <c r="D5" t="inlineStr">
        <is>
          <t>040129</t>
        </is>
      </c>
      <c r="E5" t="inlineStr">
        <is>
          <t>Sede Arequipa</t>
        </is>
      </c>
      <c r="F5" s="11" t="n">
        <v>0.3333</v>
      </c>
      <c r="G5" s="6">
        <f>IF($F$8=0,0,F5/$F$8)</f>
        <v/>
      </c>
      <c r="H5" s="5" t="n">
        <v>588068.1</v>
      </c>
      <c r="I5" t="n">
        <v>2</v>
      </c>
      <c r="J5" t="n">
        <v>5</v>
      </c>
      <c r="L5" s="5" t="n">
        <v>2058238.33</v>
      </c>
    </row>
    <row r="6">
      <c r="A6" t="inlineStr">
        <is>
          <t>LA LIBERTAD</t>
        </is>
      </c>
      <c r="B6" t="inlineStr">
        <is>
          <t>TRUJILLO</t>
        </is>
      </c>
      <c r="C6" t="inlineStr">
        <is>
          <t>VICTOR LARCO HERRERA</t>
        </is>
      </c>
      <c r="D6" t="inlineStr">
        <is>
          <t>130111</t>
        </is>
      </c>
      <c r="E6" t="inlineStr">
        <is>
          <t>Sede Tujillo</t>
        </is>
      </c>
      <c r="F6" s="11" t="n">
        <v>0.3333</v>
      </c>
      <c r="G6" s="6">
        <f>IF($F$8=0,0,F6/$F$8)</f>
        <v/>
      </c>
      <c r="H6" s="5" t="n">
        <v>588068.1</v>
      </c>
      <c r="L6" s="5" t="n">
        <v>0</v>
      </c>
    </row>
    <row r="7">
      <c r="A7" t="inlineStr">
        <is>
          <t>LIMA</t>
        </is>
      </c>
      <c r="B7" t="inlineStr">
        <is>
          <t>LIMA</t>
        </is>
      </c>
      <c r="C7" t="inlineStr">
        <is>
          <t>SANTA ANITA</t>
        </is>
      </c>
      <c r="D7" t="inlineStr">
        <is>
          <t>150137</t>
        </is>
      </c>
      <c r="E7" t="inlineStr">
        <is>
          <t>Sede Lima</t>
        </is>
      </c>
      <c r="F7" s="11" t="n">
        <v>0.3333</v>
      </c>
      <c r="G7" s="6">
        <f>IF($F$8=0,0,F7/$F$8)</f>
        <v/>
      </c>
      <c r="H7" s="5" t="n">
        <v>588068.1</v>
      </c>
      <c r="I7" t="n">
        <v>2</v>
      </c>
      <c r="J7" t="n">
        <v>4</v>
      </c>
      <c r="L7" s="5" t="n">
        <v>1764204.29</v>
      </c>
    </row>
    <row r="8">
      <c r="A8" s="12" t="inlineStr">
        <is>
          <t>TOTAL</t>
        </is>
      </c>
      <c r="B8" t="inlineStr"/>
      <c r="C8" t="inlineStr"/>
      <c r="D8" t="inlineStr"/>
      <c r="E8" t="inlineStr"/>
      <c r="F8" s="13">
        <f>SUM(F5:F7)</f>
        <v/>
      </c>
      <c r="G8" t="inlineStr"/>
      <c r="H8" s="14">
        <f>SUM(H5:H7)</f>
        <v/>
      </c>
      <c r="I8" t="inlineStr"/>
      <c r="J8" t="inlineStr"/>
      <c r="K8" t="inlineStr"/>
      <c r="L8" s="14">
        <f>SUM(L5:L7)</f>
        <v/>
      </c>
    </row>
    <row r="11">
      <c r="A11" s="15" t="inlineStr">
        <is>
          <t>Detalle por ubicación (%)</t>
        </is>
      </c>
    </row>
    <row r="12">
      <c r="A12" s="3" t="inlineStr">
        <is>
          <t>Distrito</t>
        </is>
      </c>
      <c r="B12" s="3" t="inlineStr">
        <is>
          <t>Ubigeo</t>
        </is>
      </c>
      <c r="C12" s="3" t="inlineStr">
        <is>
          <t>Mineral</t>
        </is>
      </c>
      <c r="D12" s="3" t="inlineStr">
        <is>
          <t>Unidad</t>
        </is>
      </c>
      <c r="E12" s="3" t="inlineStr">
        <is>
          <t>Cantidad (orig.)</t>
        </is>
      </c>
      <c r="F12" s="3" t="inlineStr">
        <is>
          <t>TMF equiv.</t>
        </is>
      </c>
    </row>
    <row r="13">
      <c r="A13" t="inlineStr">
        <is>
          <t>JOSE LUIS BUSTAMANTE Y RIVERO</t>
        </is>
      </c>
      <c r="B13" t="inlineStr">
        <is>
          <t>040129</t>
        </is>
      </c>
      <c r="C13" t="inlineStr">
        <is>
          <t>Distribución</t>
        </is>
      </c>
      <c r="D13" t="inlineStr">
        <is>
          <t>%</t>
        </is>
      </c>
      <c r="E13" s="11" t="n">
        <v>0.3333</v>
      </c>
      <c r="F13" s="16" t="n">
        <v>0.333333</v>
      </c>
    </row>
    <row r="14">
      <c r="A14" t="inlineStr">
        <is>
          <t>VICTOR LARCO HERRERA</t>
        </is>
      </c>
      <c r="B14" t="inlineStr">
        <is>
          <t>130111</t>
        </is>
      </c>
      <c r="C14" t="inlineStr">
        <is>
          <t>Distribución</t>
        </is>
      </c>
      <c r="D14" t="inlineStr">
        <is>
          <t>%</t>
        </is>
      </c>
      <c r="E14" s="11" t="n">
        <v>0.3333</v>
      </c>
      <c r="F14" s="16" t="n">
        <v>0.333333</v>
      </c>
    </row>
    <row r="15">
      <c r="A15" t="inlineStr">
        <is>
          <t>SANTA ANITA</t>
        </is>
      </c>
      <c r="B15" t="inlineStr">
        <is>
          <t>150137</t>
        </is>
      </c>
      <c r="C15" t="inlineStr">
        <is>
          <t>Distribución</t>
        </is>
      </c>
      <c r="D15" t="inlineStr">
        <is>
          <t>%</t>
        </is>
      </c>
      <c r="E15" s="11" t="n">
        <v>0.3333</v>
      </c>
      <c r="F15" s="16" t="n">
        <v>0.333333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L1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34" customWidth="1" min="5" max="5"/>
    <col width="16" customWidth="1" min="6" max="6"/>
    <col width="13" customWidth="1" min="7" max="7"/>
    <col width="20" customWidth="1" min="8" max="8"/>
    <col width="13" customWidth="1" min="9" max="9"/>
    <col width="13" customWidth="1" min="10" max="10"/>
    <col width="12" customWidth="1" min="11" max="11"/>
    <col width="20" customWidth="1" min="12" max="12"/>
  </cols>
  <sheetData>
    <row r="1">
      <c r="A1" s="1" t="inlineStr">
        <is>
          <t>Hunt Oil — Distribución por distrito y exposición asignada</t>
        </is>
      </c>
    </row>
    <row r="2">
      <c r="A2" s="2" t="inlineStr">
        <is>
          <t>Distribución total: 0.40 %   ·   Exposición en cartera: S/ 87,927,411   ·   Asignación: tmf_share</t>
        </is>
      </c>
    </row>
    <row r="4">
      <c r="A4" s="3" t="inlineStr">
        <is>
          <t>Departamento</t>
        </is>
      </c>
      <c r="B4" s="3" t="inlineStr">
        <is>
          <t>Provincia</t>
        </is>
      </c>
      <c r="C4" s="3" t="inlineStr">
        <is>
          <t>Distrito</t>
        </is>
      </c>
      <c r="D4" s="3" t="inlineStr">
        <is>
          <t>Ubigeo</t>
        </is>
      </c>
      <c r="E4" s="3" t="inlineStr">
        <is>
          <t>Activos / operaciones</t>
        </is>
      </c>
      <c r="F4" s="3" t="inlineStr">
        <is>
          <t>Distribución (%)</t>
        </is>
      </c>
      <c r="G4" s="3" t="inlineStr">
        <is>
          <t>% de la empresa</t>
        </is>
      </c>
      <c r="H4" s="3" t="inlineStr">
        <is>
          <t>Exposición asignada (S/)</t>
        </is>
      </c>
      <c r="I4" s="3" t="inlineStr">
        <is>
          <t>Score Mov. Masa</t>
        </is>
      </c>
      <c r="J4" s="3" t="inlineStr">
        <is>
          <t>Score Inundación</t>
        </is>
      </c>
      <c r="K4" s="3" t="inlineStr">
        <is>
          <t>Score Sequías</t>
        </is>
      </c>
      <c r="L4" s="3" t="inlineStr">
        <is>
          <t>Plata en riesgo (S/, comb.)</t>
        </is>
      </c>
    </row>
    <row r="5">
      <c r="A5" t="inlineStr">
        <is>
          <t>ICA</t>
        </is>
      </c>
      <c r="B5" t="inlineStr">
        <is>
          <t>PISCO</t>
        </is>
      </c>
      <c r="C5" t="inlineStr">
        <is>
          <t>PARACAS</t>
        </is>
      </c>
      <c r="D5" t="inlineStr">
        <is>
          <t>110505</t>
        </is>
      </c>
      <c r="E5" t="inlineStr">
        <is>
          <t>Planta de Fraccionamiento</t>
        </is>
      </c>
      <c r="F5" s="11" t="n">
        <v>0.2</v>
      </c>
      <c r="G5" s="6">
        <f>IF($F$7=0,0,F5/$F$7)</f>
        <v/>
      </c>
      <c r="H5" s="5" t="n">
        <v>43963705.33</v>
      </c>
      <c r="I5" t="n">
        <v>3</v>
      </c>
      <c r="J5" t="n">
        <v>4</v>
      </c>
      <c r="L5" s="5" t="n">
        <v>153872968.64</v>
      </c>
    </row>
    <row r="6">
      <c r="A6" t="inlineStr">
        <is>
          <t>LIMA</t>
        </is>
      </c>
      <c r="B6" t="inlineStr">
        <is>
          <t>CAÑETE</t>
        </is>
      </c>
      <c r="C6" t="inlineStr">
        <is>
          <t>SAN VICENTE DE CAÑETE</t>
        </is>
      </c>
      <c r="D6" t="inlineStr">
        <is>
          <t>150501</t>
        </is>
      </c>
      <c r="E6" t="inlineStr">
        <is>
          <t>Pampa Melchorita</t>
        </is>
      </c>
      <c r="F6" s="11" t="n">
        <v>0.2</v>
      </c>
      <c r="G6" s="6">
        <f>IF($F$7=0,0,F6/$F$7)</f>
        <v/>
      </c>
      <c r="H6" s="5" t="n">
        <v>43963705.33</v>
      </c>
      <c r="I6" t="n">
        <v>3</v>
      </c>
      <c r="J6" t="n">
        <v>5</v>
      </c>
      <c r="L6" s="5" t="n">
        <v>175854821.3</v>
      </c>
    </row>
    <row r="7">
      <c r="A7" s="12" t="inlineStr">
        <is>
          <t>TOTAL</t>
        </is>
      </c>
      <c r="B7" t="inlineStr"/>
      <c r="C7" t="inlineStr"/>
      <c r="D7" t="inlineStr"/>
      <c r="E7" t="inlineStr"/>
      <c r="F7" s="13">
        <f>SUM(F5:F6)</f>
        <v/>
      </c>
      <c r="G7" t="inlineStr"/>
      <c r="H7" s="14">
        <f>SUM(H5:H6)</f>
        <v/>
      </c>
      <c r="I7" t="inlineStr"/>
      <c r="J7" t="inlineStr"/>
      <c r="K7" t="inlineStr"/>
      <c r="L7" s="14">
        <f>SUM(L5:L6)</f>
        <v/>
      </c>
    </row>
    <row r="10">
      <c r="A10" s="15" t="inlineStr">
        <is>
          <t>Detalle por ubicación (%)</t>
        </is>
      </c>
    </row>
    <row r="11">
      <c r="A11" s="3" t="inlineStr">
        <is>
          <t>Distrito</t>
        </is>
      </c>
      <c r="B11" s="3" t="inlineStr">
        <is>
          <t>Ubigeo</t>
        </is>
      </c>
      <c r="C11" s="3" t="inlineStr">
        <is>
          <t>Mineral</t>
        </is>
      </c>
      <c r="D11" s="3" t="inlineStr">
        <is>
          <t>Unidad</t>
        </is>
      </c>
      <c r="E11" s="3" t="inlineStr">
        <is>
          <t>Cantidad (orig.)</t>
        </is>
      </c>
      <c r="F11" s="3" t="inlineStr">
        <is>
          <t>TMF equiv.</t>
        </is>
      </c>
    </row>
    <row r="12">
      <c r="A12" t="inlineStr">
        <is>
          <t>PARACAS</t>
        </is>
      </c>
      <c r="B12" t="inlineStr">
        <is>
          <t>110505</t>
        </is>
      </c>
      <c r="C12" t="inlineStr">
        <is>
          <t>Distribución</t>
        </is>
      </c>
      <c r="D12" t="inlineStr">
        <is>
          <t>%</t>
        </is>
      </c>
      <c r="E12" s="11" t="n">
        <v>0.2</v>
      </c>
      <c r="F12" s="16" t="n">
        <v>0.2</v>
      </c>
    </row>
    <row r="13">
      <c r="A13" t="inlineStr">
        <is>
          <t>SAN VICENTE DE CAÑETE</t>
        </is>
      </c>
      <c r="B13" t="inlineStr">
        <is>
          <t>150501</t>
        </is>
      </c>
      <c r="C13" t="inlineStr">
        <is>
          <t>Distribución</t>
        </is>
      </c>
      <c r="D13" t="inlineStr">
        <is>
          <t>%</t>
        </is>
      </c>
      <c r="E13" s="11" t="n">
        <v>0.2</v>
      </c>
      <c r="F13" s="16" t="n">
        <v>0.2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377"/>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8" customWidth="1" min="3" max="3"/>
    <col width="9" customWidth="1" min="4" max="4"/>
    <col width="18" customWidth="1" min="5" max="5"/>
    <col width="13" customWidth="1" min="6" max="6"/>
    <col width="13" customWidth="1" min="7" max="7"/>
    <col width="12" customWidth="1" min="8" max="8"/>
    <col width="11" customWidth="1" min="9" max="9"/>
    <col width="18" customWidth="1" min="10" max="10"/>
    <col width="18" customWidth="1" min="11" max="11"/>
    <col width="18" customWidth="1" min="12" max="12"/>
  </cols>
  <sheetData>
    <row r="1">
      <c r="A1" s="1" t="inlineStr">
        <is>
          <t>Exposición y plata en riesgo por distrito (todas las empresas)</t>
        </is>
      </c>
    </row>
    <row r="2">
      <c r="A2" s="2" t="inlineStr">
        <is>
          <t>Plata en riesgo = exposición asignada × score CENEPRED (1-5). Score combinado = promedio de los disponibles.</t>
        </is>
      </c>
    </row>
    <row r="4">
      <c r="A4" s="3" t="inlineStr">
        <is>
          <t>Departamento</t>
        </is>
      </c>
      <c r="B4" s="3" t="inlineStr">
        <is>
          <t>Provincia</t>
        </is>
      </c>
      <c r="C4" s="3" t="inlineStr">
        <is>
          <t>Distrito</t>
        </is>
      </c>
      <c r="D4" s="3" t="inlineStr">
        <is>
          <t>Ubigeo</t>
        </is>
      </c>
      <c r="E4" s="3" t="inlineStr">
        <is>
          <t>Exposición (S/)</t>
        </is>
      </c>
      <c r="F4" s="3" t="inlineStr">
        <is>
          <t>Score Mov. Masa</t>
        </is>
      </c>
      <c r="G4" s="3" t="inlineStr">
        <is>
          <t>Score Inundación</t>
        </is>
      </c>
      <c r="H4" s="3" t="inlineStr">
        <is>
          <t>Score Sequías</t>
        </is>
      </c>
      <c r="I4" s="3" t="inlineStr">
        <is>
          <t>Score comb.</t>
        </is>
      </c>
      <c r="J4" s="3" t="inlineStr">
        <is>
          <t>Riesgo Mov. Masa (S/)</t>
        </is>
      </c>
      <c r="K4" s="3" t="inlineStr">
        <is>
          <t>Riesgo Inundación (S/)</t>
        </is>
      </c>
      <c r="L4" s="3" t="inlineStr">
        <is>
          <t>Riesgo Sequías (S/)</t>
        </is>
      </c>
    </row>
    <row r="5">
      <c r="A5" t="inlineStr">
        <is>
          <t>LIMA</t>
        </is>
      </c>
      <c r="B5" t="inlineStr">
        <is>
          <t>LIMA</t>
        </is>
      </c>
      <c r="C5" t="inlineStr">
        <is>
          <t>LIMA</t>
        </is>
      </c>
      <c r="D5" t="inlineStr">
        <is>
          <t>150101</t>
        </is>
      </c>
      <c r="E5" s="5" t="n">
        <v>1045730705.46</v>
      </c>
      <c r="F5" t="n">
        <v>2</v>
      </c>
      <c r="G5" t="n">
        <v>4</v>
      </c>
      <c r="I5" t="n">
        <v>3</v>
      </c>
      <c r="J5" s="5" t="n">
        <v>2091461410.92</v>
      </c>
      <c r="K5" s="5" t="n">
        <v>4182922821.84</v>
      </c>
      <c r="L5" s="5" t="n">
        <v>0</v>
      </c>
    </row>
    <row r="6">
      <c r="A6" t="inlineStr">
        <is>
          <t>ICA</t>
        </is>
      </c>
      <c r="B6" t="inlineStr">
        <is>
          <t>NAZCA</t>
        </is>
      </c>
      <c r="C6" t="inlineStr">
        <is>
          <t>MARCONA</t>
        </is>
      </c>
      <c r="D6" t="inlineStr">
        <is>
          <t>110304</t>
        </is>
      </c>
      <c r="E6" s="5" t="n">
        <v>725501728.1799999</v>
      </c>
      <c r="F6" t="n">
        <v>3</v>
      </c>
      <c r="G6" t="n">
        <v>4</v>
      </c>
      <c r="I6" t="n">
        <v>3.5</v>
      </c>
      <c r="J6" s="5" t="n">
        <v>2176505184.54</v>
      </c>
      <c r="K6" s="5" t="n">
        <v>2902006912.72</v>
      </c>
      <c r="L6" s="5" t="n">
        <v>0</v>
      </c>
    </row>
    <row r="7">
      <c r="A7" t="inlineStr">
        <is>
          <t>LIMA</t>
        </is>
      </c>
      <c r="B7" t="inlineStr">
        <is>
          <t>LIMA</t>
        </is>
      </c>
      <c r="C7" t="inlineStr">
        <is>
          <t>SAN ISIDRO</t>
        </is>
      </c>
      <c r="D7" t="inlineStr">
        <is>
          <t>150131</t>
        </is>
      </c>
      <c r="E7" s="5" t="n">
        <v>663740486.84</v>
      </c>
      <c r="F7" t="n">
        <v>1</v>
      </c>
      <c r="G7" t="n">
        <v>4</v>
      </c>
      <c r="I7" t="n">
        <v>2.5</v>
      </c>
      <c r="J7" s="5" t="n">
        <v>663740486.84</v>
      </c>
      <c r="K7" s="5" t="n">
        <v>2654961947.36</v>
      </c>
      <c r="L7" s="5" t="n">
        <v>0</v>
      </c>
    </row>
    <row r="8">
      <c r="A8" t="inlineStr">
        <is>
          <t>LIMA</t>
        </is>
      </c>
      <c r="B8" t="inlineStr">
        <is>
          <t>OYON</t>
        </is>
      </c>
      <c r="C8" t="inlineStr">
        <is>
          <t>OYON</t>
        </is>
      </c>
      <c r="D8" t="inlineStr">
        <is>
          <t>150901</t>
        </is>
      </c>
      <c r="E8" s="5" t="n">
        <v>636273908.52</v>
      </c>
      <c r="F8" t="n">
        <v>5</v>
      </c>
      <c r="G8" t="n">
        <v>3</v>
      </c>
      <c r="H8" t="n">
        <v>3</v>
      </c>
      <c r="I8" t="n">
        <v>3.67</v>
      </c>
      <c r="J8" s="5" t="n">
        <v>3181369542.6</v>
      </c>
      <c r="K8" s="5" t="n">
        <v>1908821725.56</v>
      </c>
      <c r="L8" s="5" t="n">
        <v>1908821725.56</v>
      </c>
    </row>
    <row r="9">
      <c r="A9" t="inlineStr">
        <is>
          <t>PASCO</t>
        </is>
      </c>
      <c r="B9" t="inlineStr">
        <is>
          <t>PASCO</t>
        </is>
      </c>
      <c r="C9" t="inlineStr">
        <is>
          <t>TINYAHUARCO</t>
        </is>
      </c>
      <c r="D9" t="inlineStr">
        <is>
          <t>190111</t>
        </is>
      </c>
      <c r="E9" s="5" t="n">
        <v>538191139.0599999</v>
      </c>
      <c r="F9" t="n">
        <v>4</v>
      </c>
      <c r="G9" t="n">
        <v>3</v>
      </c>
      <c r="H9" t="n">
        <v>3</v>
      </c>
      <c r="I9" t="n">
        <v>3.33</v>
      </c>
      <c r="J9" s="5" t="n">
        <v>2152764556.24</v>
      </c>
      <c r="K9" s="5" t="n">
        <v>1614573417.18</v>
      </c>
      <c r="L9" s="5" t="n">
        <v>1614573417.18</v>
      </c>
    </row>
    <row r="10">
      <c r="A10" t="inlineStr">
        <is>
          <t>ICA</t>
        </is>
      </c>
      <c r="B10" t="inlineStr">
        <is>
          <t>PISCO</t>
        </is>
      </c>
      <c r="C10" t="inlineStr">
        <is>
          <t>PARACAS</t>
        </is>
      </c>
      <c r="D10" t="inlineStr">
        <is>
          <t>110505</t>
        </is>
      </c>
      <c r="E10" s="5" t="n">
        <v>221449078.95</v>
      </c>
      <c r="F10" t="n">
        <v>3</v>
      </c>
      <c r="G10" t="n">
        <v>4</v>
      </c>
      <c r="I10" t="n">
        <v>3.5</v>
      </c>
      <c r="J10" s="5" t="n">
        <v>664347236.85</v>
      </c>
      <c r="K10" s="5" t="n">
        <v>885796315.8</v>
      </c>
      <c r="L10" s="5" t="n">
        <v>0</v>
      </c>
    </row>
    <row r="11">
      <c r="A11" t="inlineStr">
        <is>
          <t>LIMA</t>
        </is>
      </c>
      <c r="B11" t="inlineStr">
        <is>
          <t>LIMA</t>
        </is>
      </c>
      <c r="C11" t="inlineStr">
        <is>
          <t>MIRAFLORES</t>
        </is>
      </c>
      <c r="D11" t="inlineStr">
        <is>
          <t>150122</t>
        </is>
      </c>
      <c r="E11" s="5" t="n">
        <v>198572688.78</v>
      </c>
      <c r="F11" t="n">
        <v>2</v>
      </c>
      <c r="G11" t="n">
        <v>4</v>
      </c>
      <c r="I11" t="n">
        <v>3</v>
      </c>
      <c r="J11" s="5" t="n">
        <v>397145377.56</v>
      </c>
      <c r="K11" s="5" t="n">
        <v>794290755.12</v>
      </c>
      <c r="L11" s="5" t="n">
        <v>0</v>
      </c>
    </row>
    <row r="12">
      <c r="A12" t="inlineStr">
        <is>
          <t>PUNO</t>
        </is>
      </c>
      <c r="B12" t="inlineStr">
        <is>
          <t>MELGAR</t>
        </is>
      </c>
      <c r="C12" t="inlineStr">
        <is>
          <t>ANTAUTA</t>
        </is>
      </c>
      <c r="D12" t="inlineStr">
        <is>
          <t>210802</t>
        </is>
      </c>
      <c r="E12" s="5" t="n">
        <v>186757943.41</v>
      </c>
      <c r="F12" t="n">
        <v>4</v>
      </c>
      <c r="G12" t="n">
        <v>2</v>
      </c>
      <c r="H12" t="n">
        <v>3</v>
      </c>
      <c r="I12" t="n">
        <v>3</v>
      </c>
      <c r="J12" s="5" t="n">
        <v>747031773.64</v>
      </c>
      <c r="K12" s="5" t="n">
        <v>373515886.82</v>
      </c>
      <c r="L12" s="5" t="n">
        <v>560273830.23</v>
      </c>
    </row>
    <row r="13">
      <c r="A13" t="inlineStr">
        <is>
          <t>LIMA</t>
        </is>
      </c>
      <c r="B13" t="inlineStr">
        <is>
          <t>LIMA</t>
        </is>
      </c>
      <c r="C13" t="inlineStr">
        <is>
          <t>LURIGANCHO</t>
        </is>
      </c>
      <c r="D13" t="inlineStr">
        <is>
          <t>150118</t>
        </is>
      </c>
      <c r="E13" s="5" t="n">
        <v>154460446.34</v>
      </c>
      <c r="F13" t="n">
        <v>5</v>
      </c>
      <c r="G13" t="n">
        <v>4</v>
      </c>
      <c r="I13" t="n">
        <v>4.5</v>
      </c>
      <c r="J13" s="5" t="n">
        <v>772302231.7</v>
      </c>
      <c r="K13" s="5" t="n">
        <v>617841785.36</v>
      </c>
      <c r="L13" s="5" t="n">
        <v>0</v>
      </c>
    </row>
    <row r="14">
      <c r="A14" t="inlineStr">
        <is>
          <t>LIMA</t>
        </is>
      </c>
      <c r="B14" t="inlineStr">
        <is>
          <t>CAÑETE</t>
        </is>
      </c>
      <c r="C14" t="inlineStr">
        <is>
          <t>CHILCA</t>
        </is>
      </c>
      <c r="D14" t="inlineStr">
        <is>
          <t>150505</t>
        </is>
      </c>
      <c r="E14" s="5" t="n">
        <v>111570594.52</v>
      </c>
      <c r="F14" t="n">
        <v>4</v>
      </c>
      <c r="G14" t="n">
        <v>3</v>
      </c>
      <c r="I14" t="n">
        <v>3.5</v>
      </c>
      <c r="J14" s="5" t="n">
        <v>446282378.08</v>
      </c>
      <c r="K14" s="5" t="n">
        <v>334711783.56</v>
      </c>
      <c r="L14" s="5" t="n">
        <v>0</v>
      </c>
    </row>
    <row r="15">
      <c r="A15" t="inlineStr">
        <is>
          <t>LA LIBERTAD</t>
        </is>
      </c>
      <c r="B15" t="inlineStr">
        <is>
          <t>TRUJILLO</t>
        </is>
      </c>
      <c r="C15" t="inlineStr">
        <is>
          <t>TRUJILLO</t>
        </is>
      </c>
      <c r="D15" t="inlineStr">
        <is>
          <t>130101</t>
        </is>
      </c>
      <c r="E15" s="5" t="n">
        <v>92839232.83</v>
      </c>
      <c r="F15" t="n">
        <v>1</v>
      </c>
      <c r="G15" t="n">
        <v>5</v>
      </c>
      <c r="I15" t="n">
        <v>3</v>
      </c>
      <c r="J15" s="5" t="n">
        <v>92839232.83</v>
      </c>
      <c r="K15" s="5" t="n">
        <v>464196164.15</v>
      </c>
      <c r="L15" s="5" t="n">
        <v>0</v>
      </c>
    </row>
    <row r="16">
      <c r="A16" t="inlineStr">
        <is>
          <t>AREQUIPA</t>
        </is>
      </c>
      <c r="B16" t="inlineStr">
        <is>
          <t>AREQUIPA</t>
        </is>
      </c>
      <c r="C16" t="inlineStr">
        <is>
          <t>AREQUIPA</t>
        </is>
      </c>
      <c r="D16" t="inlineStr">
        <is>
          <t>040101</t>
        </is>
      </c>
      <c r="E16" s="5" t="n">
        <v>91864634.77</v>
      </c>
      <c r="F16" t="n">
        <v>2</v>
      </c>
      <c r="G16" t="n">
        <v>5</v>
      </c>
      <c r="I16" t="n">
        <v>3.5</v>
      </c>
      <c r="J16" s="5" t="n">
        <v>183729269.54</v>
      </c>
      <c r="K16" s="5" t="n">
        <v>459323173.85</v>
      </c>
      <c r="L16" s="5" t="n">
        <v>0</v>
      </c>
    </row>
    <row r="17">
      <c r="A17" t="inlineStr">
        <is>
          <t>MOQUEGUA</t>
        </is>
      </c>
      <c r="B17" t="inlineStr">
        <is>
          <t>ILO</t>
        </is>
      </c>
      <c r="C17" t="inlineStr">
        <is>
          <t>ILO</t>
        </is>
      </c>
      <c r="D17" t="inlineStr">
        <is>
          <t>180301</t>
        </is>
      </c>
      <c r="E17" s="5" t="n">
        <v>81766813.33</v>
      </c>
      <c r="F17" t="n">
        <v>4</v>
      </c>
      <c r="G17" t="n">
        <v>2</v>
      </c>
      <c r="I17" t="n">
        <v>3</v>
      </c>
      <c r="J17" s="5" t="n">
        <v>327067253.32</v>
      </c>
      <c r="K17" s="5" t="n">
        <v>163533626.66</v>
      </c>
      <c r="L17" s="5" t="n">
        <v>0</v>
      </c>
    </row>
    <row r="18">
      <c r="A18" t="inlineStr">
        <is>
          <t>LIMA</t>
        </is>
      </c>
      <c r="B18" t="inlineStr">
        <is>
          <t>LIMA</t>
        </is>
      </c>
      <c r="C18" t="inlineStr">
        <is>
          <t>SANTIAGO DE SURCO</t>
        </is>
      </c>
      <c r="D18" t="inlineStr">
        <is>
          <t>150140</t>
        </is>
      </c>
      <c r="E18" s="5" t="n">
        <v>70581399.83</v>
      </c>
      <c r="F18" t="n">
        <v>1</v>
      </c>
      <c r="G18" t="n">
        <v>3</v>
      </c>
      <c r="I18" t="n">
        <v>2</v>
      </c>
      <c r="J18" s="5" t="n">
        <v>70581399.83</v>
      </c>
      <c r="K18" s="5" t="n">
        <v>211744199.49</v>
      </c>
      <c r="L18" s="5" t="n">
        <v>0</v>
      </c>
    </row>
    <row r="19">
      <c r="A19" t="inlineStr">
        <is>
          <t>LIMA</t>
        </is>
      </c>
      <c r="B19" t="inlineStr">
        <is>
          <t>LIMA</t>
        </is>
      </c>
      <c r="C19" t="inlineStr">
        <is>
          <t>LA VICTORIA</t>
        </is>
      </c>
      <c r="D19" t="inlineStr">
        <is>
          <t>150115</t>
        </is>
      </c>
      <c r="E19" s="5" t="n">
        <v>69432229.70999999</v>
      </c>
      <c r="F19" t="n">
        <v>1</v>
      </c>
      <c r="G19" t="n">
        <v>3</v>
      </c>
      <c r="I19" t="n">
        <v>2</v>
      </c>
      <c r="J19" s="5" t="n">
        <v>69432229.70999999</v>
      </c>
      <c r="K19" s="5" t="n">
        <v>208296689.13</v>
      </c>
      <c r="L19" s="5" t="n">
        <v>0</v>
      </c>
    </row>
    <row r="20">
      <c r="A20" t="inlineStr">
        <is>
          <t>LAMBAYEQUE</t>
        </is>
      </c>
      <c r="B20" t="inlineStr">
        <is>
          <t>CHICLAYO</t>
        </is>
      </c>
      <c r="C20" t="inlineStr">
        <is>
          <t>CHICLAYO</t>
        </is>
      </c>
      <c r="D20" t="inlineStr">
        <is>
          <t>140101</t>
        </is>
      </c>
      <c r="E20" s="5" t="n">
        <v>60162900.44</v>
      </c>
      <c r="F20" t="n">
        <v>1</v>
      </c>
      <c r="G20" t="n">
        <v>4</v>
      </c>
      <c r="I20" t="n">
        <v>2.5</v>
      </c>
      <c r="J20" s="5" t="n">
        <v>60162900.44</v>
      </c>
      <c r="K20" s="5" t="n">
        <v>240651601.76</v>
      </c>
      <c r="L20" s="5" t="n">
        <v>0</v>
      </c>
    </row>
    <row r="21">
      <c r="A21" t="inlineStr">
        <is>
          <t>MOQUEGUA</t>
        </is>
      </c>
      <c r="B21" t="inlineStr">
        <is>
          <t>MARISCAL NIETO</t>
        </is>
      </c>
      <c r="C21" t="inlineStr">
        <is>
          <t>MOQUEGUA</t>
        </is>
      </c>
      <c r="D21" t="inlineStr">
        <is>
          <t>180101</t>
        </is>
      </c>
      <c r="E21" s="5" t="n">
        <v>58889267.29</v>
      </c>
      <c r="F21" t="n">
        <v>4</v>
      </c>
      <c r="G21" t="n">
        <v>4</v>
      </c>
      <c r="I21" t="n">
        <v>4</v>
      </c>
      <c r="J21" s="5" t="n">
        <v>235557069.16</v>
      </c>
      <c r="K21" s="5" t="n">
        <v>235557069.16</v>
      </c>
      <c r="L21" s="5" t="n">
        <v>0</v>
      </c>
    </row>
    <row r="22">
      <c r="A22" t="inlineStr">
        <is>
          <t>LIMA</t>
        </is>
      </c>
      <c r="B22" t="inlineStr">
        <is>
          <t>HUARAL</t>
        </is>
      </c>
      <c r="C22" t="inlineStr">
        <is>
          <t>CHANCAY</t>
        </is>
      </c>
      <c r="D22" t="inlineStr">
        <is>
          <t>150605</t>
        </is>
      </c>
      <c r="E22" s="5" t="n">
        <v>57910562.84</v>
      </c>
      <c r="F22" t="n">
        <v>3</v>
      </c>
      <c r="G22" t="n">
        <v>4</v>
      </c>
      <c r="I22" t="n">
        <v>3.5</v>
      </c>
      <c r="J22" s="5" t="n">
        <v>173731688.52</v>
      </c>
      <c r="K22" s="5" t="n">
        <v>231642251.36</v>
      </c>
      <c r="L22" s="5" t="n">
        <v>0</v>
      </c>
    </row>
    <row r="23">
      <c r="A23" t="inlineStr">
        <is>
          <t>PIURA</t>
        </is>
      </c>
      <c r="B23" t="inlineStr">
        <is>
          <t>PIURA</t>
        </is>
      </c>
      <c r="C23" t="inlineStr">
        <is>
          <t>PIURA</t>
        </is>
      </c>
      <c r="D23" t="inlineStr">
        <is>
          <t>200101</t>
        </is>
      </c>
      <c r="E23" s="5" t="n">
        <v>54874459.92</v>
      </c>
      <c r="F23" t="n">
        <v>1</v>
      </c>
      <c r="G23" t="n">
        <v>5</v>
      </c>
      <c r="I23" t="n">
        <v>3</v>
      </c>
      <c r="J23" s="5" t="n">
        <v>54874459.92</v>
      </c>
      <c r="K23" s="5" t="n">
        <v>274372299.6</v>
      </c>
      <c r="L23" s="5" t="n">
        <v>0</v>
      </c>
    </row>
    <row r="24">
      <c r="A24" t="inlineStr">
        <is>
          <t>CALLAO</t>
        </is>
      </c>
      <c r="B24" t="inlineStr">
        <is>
          <t>CALLAO</t>
        </is>
      </c>
      <c r="C24" t="inlineStr">
        <is>
          <t>CALLAO</t>
        </is>
      </c>
      <c r="D24" t="inlineStr">
        <is>
          <t>070101</t>
        </is>
      </c>
      <c r="E24" s="5" t="n">
        <v>53210914.89</v>
      </c>
      <c r="F24" t="n">
        <v>1</v>
      </c>
      <c r="G24" t="n">
        <v>5</v>
      </c>
      <c r="I24" t="n">
        <v>3</v>
      </c>
      <c r="J24" s="5" t="n">
        <v>53210914.89</v>
      </c>
      <c r="K24" s="5" t="n">
        <v>266054574.45</v>
      </c>
      <c r="L24" s="5" t="n">
        <v>0</v>
      </c>
    </row>
    <row r="25">
      <c r="A25" t="inlineStr">
        <is>
          <t>ICA</t>
        </is>
      </c>
      <c r="B25" t="inlineStr">
        <is>
          <t>CHINCHA</t>
        </is>
      </c>
      <c r="C25" t="inlineStr">
        <is>
          <t>CHAVIN</t>
        </is>
      </c>
      <c r="D25" t="inlineStr">
        <is>
          <t>110203</t>
        </is>
      </c>
      <c r="E25" s="5" t="n">
        <v>51241334.78</v>
      </c>
      <c r="F25" t="n">
        <v>4</v>
      </c>
      <c r="G25" t="n">
        <v>1</v>
      </c>
      <c r="H25" t="n">
        <v>4</v>
      </c>
      <c r="I25" t="n">
        <v>3</v>
      </c>
      <c r="J25" s="5" t="n">
        <v>204965339.12</v>
      </c>
      <c r="K25" s="5" t="n">
        <v>51241334.78</v>
      </c>
      <c r="L25" s="5" t="n">
        <v>204965339.12</v>
      </c>
    </row>
    <row r="26">
      <c r="A26" t="inlineStr">
        <is>
          <t>LIMA</t>
        </is>
      </c>
      <c r="B26" t="inlineStr">
        <is>
          <t>LIMA</t>
        </is>
      </c>
      <c r="C26" t="inlineStr">
        <is>
          <t>LURIN</t>
        </is>
      </c>
      <c r="D26" t="inlineStr">
        <is>
          <t>150119</t>
        </is>
      </c>
      <c r="E26" s="5" t="n">
        <v>50019549.37</v>
      </c>
      <c r="F26" t="n">
        <v>3</v>
      </c>
      <c r="G26" t="n">
        <v>3</v>
      </c>
      <c r="I26" t="n">
        <v>3</v>
      </c>
      <c r="J26" s="5" t="n">
        <v>150058648.11</v>
      </c>
      <c r="K26" s="5" t="n">
        <v>150058648.11</v>
      </c>
      <c r="L26" s="5" t="n">
        <v>0</v>
      </c>
    </row>
    <row r="27">
      <c r="A27" t="inlineStr">
        <is>
          <t>LIMA</t>
        </is>
      </c>
      <c r="B27" t="inlineStr">
        <is>
          <t>CAÑETE</t>
        </is>
      </c>
      <c r="C27" t="inlineStr">
        <is>
          <t>SAN VICENTE DE CAÑETE</t>
        </is>
      </c>
      <c r="D27" t="inlineStr">
        <is>
          <t>150501</t>
        </is>
      </c>
      <c r="E27" s="5" t="n">
        <v>46810135.18</v>
      </c>
      <c r="F27" t="n">
        <v>3</v>
      </c>
      <c r="G27" t="n">
        <v>5</v>
      </c>
      <c r="I27" t="n">
        <v>4</v>
      </c>
      <c r="J27" s="5" t="n">
        <v>140430405.54</v>
      </c>
      <c r="K27" s="5" t="n">
        <v>234050675.9</v>
      </c>
      <c r="L27" s="5" t="n">
        <v>0</v>
      </c>
    </row>
    <row r="28">
      <c r="A28" t="inlineStr">
        <is>
          <t>JUNIN</t>
        </is>
      </c>
      <c r="B28" t="inlineStr">
        <is>
          <t>YAULI</t>
        </is>
      </c>
      <c r="C28" t="inlineStr">
        <is>
          <t>YAULI</t>
        </is>
      </c>
      <c r="D28" t="inlineStr">
        <is>
          <t>120810</t>
        </is>
      </c>
      <c r="E28" s="5" t="n">
        <v>44704017.88</v>
      </c>
      <c r="F28" t="n">
        <v>4</v>
      </c>
      <c r="G28" t="n">
        <v>3</v>
      </c>
      <c r="H28" t="n">
        <v>2</v>
      </c>
      <c r="I28" t="n">
        <v>3</v>
      </c>
      <c r="J28" s="5" t="n">
        <v>178816071.52</v>
      </c>
      <c r="K28" s="5" t="n">
        <v>134112053.64</v>
      </c>
      <c r="L28" s="5" t="n">
        <v>89408035.76000001</v>
      </c>
    </row>
    <row r="29">
      <c r="A29" t="inlineStr">
        <is>
          <t>JUNIN</t>
        </is>
      </c>
      <c r="B29" t="inlineStr">
        <is>
          <t>YAULI</t>
        </is>
      </c>
      <c r="C29" t="inlineStr">
        <is>
          <t>HUAY-HUAY</t>
        </is>
      </c>
      <c r="D29" t="inlineStr">
        <is>
          <t>120803</t>
        </is>
      </c>
      <c r="E29" s="5" t="n">
        <v>42946761.51</v>
      </c>
      <c r="J29" s="5" t="n">
        <v>0</v>
      </c>
      <c r="K29" s="5" t="n">
        <v>0</v>
      </c>
      <c r="L29" s="5" t="n">
        <v>0</v>
      </c>
    </row>
    <row r="30">
      <c r="A30" t="inlineStr">
        <is>
          <t>PASCO</t>
        </is>
      </c>
      <c r="B30" t="inlineStr">
        <is>
          <t>PASCO</t>
        </is>
      </c>
      <c r="C30" t="inlineStr">
        <is>
          <t>SAN FRANCISCO DE ASIS DE YARUSYACAN</t>
        </is>
      </c>
      <c r="D30" t="inlineStr">
        <is>
          <t>190108</t>
        </is>
      </c>
      <c r="E30" s="5" t="n">
        <v>42838687.28</v>
      </c>
      <c r="F30" t="n">
        <v>4</v>
      </c>
      <c r="G30" t="n">
        <v>2</v>
      </c>
      <c r="H30" t="n">
        <v>3</v>
      </c>
      <c r="I30" t="n">
        <v>3</v>
      </c>
      <c r="J30" s="5" t="n">
        <v>171354749.12</v>
      </c>
      <c r="K30" s="5" t="n">
        <v>85677374.56</v>
      </c>
      <c r="L30" s="5" t="n">
        <v>128516061.84</v>
      </c>
    </row>
    <row r="31">
      <c r="A31" t="inlineStr">
        <is>
          <t>LIMA</t>
        </is>
      </c>
      <c r="B31" t="inlineStr">
        <is>
          <t>LIMA</t>
        </is>
      </c>
      <c r="C31" t="inlineStr">
        <is>
          <t>RIMAC</t>
        </is>
      </c>
      <c r="D31" t="inlineStr">
        <is>
          <t>150128</t>
        </is>
      </c>
      <c r="E31" s="5" t="n">
        <v>37926428.15</v>
      </c>
      <c r="F31" t="n">
        <v>3</v>
      </c>
      <c r="G31" t="n">
        <v>3</v>
      </c>
      <c r="I31" t="n">
        <v>3</v>
      </c>
      <c r="J31" s="5" t="n">
        <v>113779284.45</v>
      </c>
      <c r="K31" s="5" t="n">
        <v>113779284.45</v>
      </c>
      <c r="L31" s="5" t="n">
        <v>0</v>
      </c>
    </row>
    <row r="32">
      <c r="A32" t="inlineStr">
        <is>
          <t>CALLAO</t>
        </is>
      </c>
      <c r="B32" t="inlineStr">
        <is>
          <t>CALLAO</t>
        </is>
      </c>
      <c r="C32" t="inlineStr">
        <is>
          <t>LA PUNTA</t>
        </is>
      </c>
      <c r="D32" t="inlineStr">
        <is>
          <t>070105</t>
        </is>
      </c>
      <c r="E32" s="5" t="n">
        <v>37319202.14</v>
      </c>
      <c r="F32" t="n">
        <v>1</v>
      </c>
      <c r="G32" t="n">
        <v>4</v>
      </c>
      <c r="I32" t="n">
        <v>2.5</v>
      </c>
      <c r="J32" s="5" t="n">
        <v>37319202.14</v>
      </c>
      <c r="K32" s="5" t="n">
        <v>149276808.56</v>
      </c>
      <c r="L32" s="5" t="n">
        <v>0</v>
      </c>
    </row>
    <row r="33">
      <c r="A33" t="inlineStr">
        <is>
          <t>AREQUIPA</t>
        </is>
      </c>
      <c r="B33" t="inlineStr">
        <is>
          <t>CAYLLOMA</t>
        </is>
      </c>
      <c r="C33" t="inlineStr">
        <is>
          <t>TAPAY</t>
        </is>
      </c>
      <c r="D33" t="inlineStr">
        <is>
          <t>040516</t>
        </is>
      </c>
      <c r="E33" s="5" t="n">
        <v>36485705.73</v>
      </c>
      <c r="F33" t="n">
        <v>4</v>
      </c>
      <c r="G33" t="n">
        <v>2</v>
      </c>
      <c r="H33" t="n">
        <v>3</v>
      </c>
      <c r="I33" t="n">
        <v>3</v>
      </c>
      <c r="J33" s="5" t="n">
        <v>145942822.92</v>
      </c>
      <c r="K33" s="5" t="n">
        <v>72971411.45999999</v>
      </c>
      <c r="L33" s="5" t="n">
        <v>109457117.19</v>
      </c>
    </row>
    <row r="34">
      <c r="A34" t="inlineStr">
        <is>
          <t>LIMA</t>
        </is>
      </c>
      <c r="B34" t="inlineStr">
        <is>
          <t>CAÑETE</t>
        </is>
      </c>
      <c r="C34" t="inlineStr">
        <is>
          <t>ASIA</t>
        </is>
      </c>
      <c r="D34" t="inlineStr">
        <is>
          <t>150502</t>
        </is>
      </c>
      <c r="E34" s="5" t="n">
        <v>29293754.48</v>
      </c>
      <c r="F34" t="n">
        <v>3</v>
      </c>
      <c r="G34" t="n">
        <v>3</v>
      </c>
      <c r="I34" t="n">
        <v>3</v>
      </c>
      <c r="J34" s="5" t="n">
        <v>87881263.44</v>
      </c>
      <c r="K34" s="5" t="n">
        <v>87881263.44</v>
      </c>
      <c r="L34" s="5" t="n">
        <v>0</v>
      </c>
    </row>
    <row r="35">
      <c r="A35" t="inlineStr">
        <is>
          <t>MOQUEGUA</t>
        </is>
      </c>
      <c r="B35" t="inlineStr">
        <is>
          <t>MARISCAL NIETO</t>
        </is>
      </c>
      <c r="C35" t="inlineStr">
        <is>
          <t>TORATA</t>
        </is>
      </c>
      <c r="D35" t="inlineStr">
        <is>
          <t>180106</t>
        </is>
      </c>
      <c r="E35" s="5" t="n">
        <v>25952276.92</v>
      </c>
      <c r="F35" t="n">
        <v>5</v>
      </c>
      <c r="G35" t="n">
        <v>3</v>
      </c>
      <c r="H35" t="n">
        <v>4</v>
      </c>
      <c r="I35" t="n">
        <v>4</v>
      </c>
      <c r="J35" s="5" t="n">
        <v>129761384.6</v>
      </c>
      <c r="K35" s="5" t="n">
        <v>77856830.76000001</v>
      </c>
      <c r="L35" s="5" t="n">
        <v>103809107.68</v>
      </c>
    </row>
    <row r="36">
      <c r="A36" t="inlineStr">
        <is>
          <t>PUNO</t>
        </is>
      </c>
      <c r="B36" t="inlineStr">
        <is>
          <t>SAN ROMAN</t>
        </is>
      </c>
      <c r="C36" t="inlineStr">
        <is>
          <t>JULIACA</t>
        </is>
      </c>
      <c r="D36" t="inlineStr">
        <is>
          <t>211101</t>
        </is>
      </c>
      <c r="E36" s="5" t="n">
        <v>25911648.85</v>
      </c>
      <c r="F36" t="n">
        <v>3</v>
      </c>
      <c r="G36" t="n">
        <v>1</v>
      </c>
      <c r="H36" t="n">
        <v>4</v>
      </c>
      <c r="I36" t="n">
        <v>2.67</v>
      </c>
      <c r="J36" s="5" t="n">
        <v>77734946.55</v>
      </c>
      <c r="K36" s="5" t="n">
        <v>25911648.85</v>
      </c>
      <c r="L36" s="5" t="n">
        <v>103646595.4</v>
      </c>
    </row>
    <row r="37">
      <c r="A37" t="inlineStr">
        <is>
          <t>LIMA</t>
        </is>
      </c>
      <c r="B37" t="inlineStr">
        <is>
          <t>HUAROCHIRI</t>
        </is>
      </c>
      <c r="C37" t="inlineStr">
        <is>
          <t>SAN PEDRO DE CASTA</t>
        </is>
      </c>
      <c r="D37" t="inlineStr">
        <is>
          <t>150724</t>
        </is>
      </c>
      <c r="E37" s="5" t="n">
        <v>23248703.06</v>
      </c>
      <c r="F37" t="n">
        <v>4</v>
      </c>
      <c r="G37" t="n">
        <v>1</v>
      </c>
      <c r="H37" t="n">
        <v>3</v>
      </c>
      <c r="I37" t="n">
        <v>2.67</v>
      </c>
      <c r="J37" s="5" t="n">
        <v>92994812.23999999</v>
      </c>
      <c r="K37" s="5" t="n">
        <v>23248703.06</v>
      </c>
      <c r="L37" s="5" t="n">
        <v>69746109.18000001</v>
      </c>
    </row>
    <row r="38">
      <c r="A38" t="inlineStr">
        <is>
          <t>TACNA</t>
        </is>
      </c>
      <c r="B38" t="inlineStr">
        <is>
          <t>TACNA</t>
        </is>
      </c>
      <c r="C38" t="inlineStr">
        <is>
          <t>TACNA</t>
        </is>
      </c>
      <c r="D38" t="inlineStr">
        <is>
          <t>230101</t>
        </is>
      </c>
      <c r="E38" s="5" t="n">
        <v>22972304.76</v>
      </c>
      <c r="F38" t="n">
        <v>3</v>
      </c>
      <c r="G38" t="n">
        <v>3</v>
      </c>
      <c r="I38" t="n">
        <v>3</v>
      </c>
      <c r="J38" s="5" t="n">
        <v>68916914.28</v>
      </c>
      <c r="K38" s="5" t="n">
        <v>68916914.28</v>
      </c>
      <c r="L38" s="5" t="n">
        <v>0</v>
      </c>
    </row>
    <row r="39">
      <c r="A39" t="inlineStr">
        <is>
          <t>CUSCO</t>
        </is>
      </c>
      <c r="B39" t="inlineStr">
        <is>
          <t>CHUMBIVILCAS</t>
        </is>
      </c>
      <c r="C39" t="inlineStr">
        <is>
          <t>LIVITACA</t>
        </is>
      </c>
      <c r="D39" t="inlineStr">
        <is>
          <t>080705</t>
        </is>
      </c>
      <c r="E39" s="5" t="n">
        <v>22654376.57</v>
      </c>
      <c r="F39" t="n">
        <v>3</v>
      </c>
      <c r="G39" t="n">
        <v>2</v>
      </c>
      <c r="H39" t="n">
        <v>3</v>
      </c>
      <c r="I39" t="n">
        <v>2.67</v>
      </c>
      <c r="J39" s="5" t="n">
        <v>67963129.70999999</v>
      </c>
      <c r="K39" s="5" t="n">
        <v>45308753.14</v>
      </c>
      <c r="L39" s="5" t="n">
        <v>67963129.70999999</v>
      </c>
    </row>
    <row r="40">
      <c r="A40" t="inlineStr">
        <is>
          <t>LIMA</t>
        </is>
      </c>
      <c r="B40" t="inlineStr">
        <is>
          <t>LIMA</t>
        </is>
      </c>
      <c r="C40" t="inlineStr">
        <is>
          <t>ATE</t>
        </is>
      </c>
      <c r="D40" t="inlineStr">
        <is>
          <t>150103</t>
        </is>
      </c>
      <c r="E40" s="5" t="n">
        <v>21252218.24</v>
      </c>
      <c r="F40" t="n">
        <v>4</v>
      </c>
      <c r="G40" t="n">
        <v>3</v>
      </c>
      <c r="I40" t="n">
        <v>3.5</v>
      </c>
      <c r="J40" s="5" t="n">
        <v>85008872.95999999</v>
      </c>
      <c r="K40" s="5" t="n">
        <v>63756654.72</v>
      </c>
      <c r="L40" s="5" t="n">
        <v>0</v>
      </c>
    </row>
    <row r="41">
      <c r="A41" t="inlineStr">
        <is>
          <t>CALLAO</t>
        </is>
      </c>
      <c r="B41" t="inlineStr">
        <is>
          <t>CALLAO</t>
        </is>
      </c>
      <c r="C41" t="inlineStr">
        <is>
          <t>BELLAVISTA</t>
        </is>
      </c>
      <c r="D41" t="inlineStr">
        <is>
          <t>070102</t>
        </is>
      </c>
      <c r="E41" s="5" t="n">
        <v>20844427.79</v>
      </c>
      <c r="F41" t="n">
        <v>1</v>
      </c>
      <c r="G41" t="n">
        <v>4</v>
      </c>
      <c r="I41" t="n">
        <v>2.5</v>
      </c>
      <c r="J41" s="5" t="n">
        <v>20844427.79</v>
      </c>
      <c r="K41" s="5" t="n">
        <v>83377711.16</v>
      </c>
      <c r="L41" s="5" t="n">
        <v>0</v>
      </c>
    </row>
    <row r="42">
      <c r="A42" t="inlineStr">
        <is>
          <t>CALLAO</t>
        </is>
      </c>
      <c r="B42" t="inlineStr">
        <is>
          <t>CALLAO</t>
        </is>
      </c>
      <c r="C42" t="inlineStr">
        <is>
          <t>CARMEN DE LA LEGUA REYNOSO</t>
        </is>
      </c>
      <c r="D42" t="inlineStr">
        <is>
          <t>070103</t>
        </is>
      </c>
      <c r="E42" s="5" t="n">
        <v>20840187.36</v>
      </c>
      <c r="F42" t="n">
        <v>1</v>
      </c>
      <c r="G42" t="n">
        <v>4</v>
      </c>
      <c r="I42" t="n">
        <v>2.5</v>
      </c>
      <c r="J42" s="5" t="n">
        <v>20840187.36</v>
      </c>
      <c r="K42" s="5" t="n">
        <v>83360749.44</v>
      </c>
      <c r="L42" s="5" t="n">
        <v>0</v>
      </c>
    </row>
    <row r="43">
      <c r="A43" t="inlineStr">
        <is>
          <t>LIMA</t>
        </is>
      </c>
      <c r="B43" t="inlineStr">
        <is>
          <t>LIMA</t>
        </is>
      </c>
      <c r="C43" t="inlineStr">
        <is>
          <t>PUENTE PIEDRA</t>
        </is>
      </c>
      <c r="D43" t="inlineStr">
        <is>
          <t>150125</t>
        </is>
      </c>
      <c r="E43" s="5" t="n">
        <v>20334839</v>
      </c>
      <c r="F43" t="n">
        <v>2</v>
      </c>
      <c r="G43" t="n">
        <v>3</v>
      </c>
      <c r="I43" t="n">
        <v>2.5</v>
      </c>
      <c r="J43" s="5" t="n">
        <v>40669678</v>
      </c>
      <c r="K43" s="5" t="n">
        <v>61004517</v>
      </c>
      <c r="L43" s="5" t="n">
        <v>0</v>
      </c>
    </row>
    <row r="44">
      <c r="A44" t="inlineStr">
        <is>
          <t>PIURA</t>
        </is>
      </c>
      <c r="B44" t="inlineStr">
        <is>
          <t>PIURA</t>
        </is>
      </c>
      <c r="C44" t="inlineStr">
        <is>
          <t>CASTILLA</t>
        </is>
      </c>
      <c r="D44" t="inlineStr">
        <is>
          <t>200104</t>
        </is>
      </c>
      <c r="E44" s="5" t="n">
        <v>20318089.38</v>
      </c>
      <c r="F44" t="n">
        <v>2</v>
      </c>
      <c r="G44" t="n">
        <v>5</v>
      </c>
      <c r="I44" t="n">
        <v>3.5</v>
      </c>
      <c r="J44" s="5" t="n">
        <v>40636178.76</v>
      </c>
      <c r="K44" s="5" t="n">
        <v>101590446.9</v>
      </c>
      <c r="L44" s="5" t="n">
        <v>0</v>
      </c>
    </row>
    <row r="45">
      <c r="A45" t="inlineStr">
        <is>
          <t>LIMA</t>
        </is>
      </c>
      <c r="B45" t="inlineStr">
        <is>
          <t>LIMA</t>
        </is>
      </c>
      <c r="C45" t="inlineStr">
        <is>
          <t>SAN JUAN DE LURIGANCHO</t>
        </is>
      </c>
      <c r="D45" t="inlineStr">
        <is>
          <t>150132</t>
        </is>
      </c>
      <c r="E45" s="5" t="n">
        <v>19310336.9</v>
      </c>
      <c r="F45" t="n">
        <v>5</v>
      </c>
      <c r="G45" t="n">
        <v>2</v>
      </c>
      <c r="I45" t="n">
        <v>3.5</v>
      </c>
      <c r="J45" s="5" t="n">
        <v>96551684.5</v>
      </c>
      <c r="K45" s="5" t="n">
        <v>38620673.8</v>
      </c>
      <c r="L45" s="5" t="n">
        <v>0</v>
      </c>
    </row>
    <row r="46">
      <c r="A46" t="inlineStr">
        <is>
          <t>LIMA</t>
        </is>
      </c>
      <c r="B46" t="inlineStr">
        <is>
          <t>LIMA</t>
        </is>
      </c>
      <c r="C46" t="inlineStr">
        <is>
          <t>CHORRILLOS</t>
        </is>
      </c>
      <c r="D46" t="inlineStr">
        <is>
          <t>150108</t>
        </is>
      </c>
      <c r="E46" s="5" t="n">
        <v>18465664.22</v>
      </c>
      <c r="F46" t="n">
        <v>2</v>
      </c>
      <c r="G46" t="n">
        <v>4</v>
      </c>
      <c r="I46" t="n">
        <v>3</v>
      </c>
      <c r="J46" s="5" t="n">
        <v>36931328.44</v>
      </c>
      <c r="K46" s="5" t="n">
        <v>73862656.88</v>
      </c>
      <c r="L46" s="5" t="n">
        <v>0</v>
      </c>
    </row>
    <row r="47">
      <c r="A47" t="inlineStr">
        <is>
          <t>JUNIN</t>
        </is>
      </c>
      <c r="B47" t="inlineStr">
        <is>
          <t>HUANCAYO</t>
        </is>
      </c>
      <c r="C47" t="inlineStr">
        <is>
          <t>EL TAMBO</t>
        </is>
      </c>
      <c r="D47" t="inlineStr">
        <is>
          <t>120114</t>
        </is>
      </c>
      <c r="E47" s="5" t="n">
        <v>17432130.53</v>
      </c>
      <c r="F47" t="n">
        <v>4</v>
      </c>
      <c r="G47" t="n">
        <v>2</v>
      </c>
      <c r="H47" t="n">
        <v>3</v>
      </c>
      <c r="I47" t="n">
        <v>3</v>
      </c>
      <c r="J47" s="5" t="n">
        <v>69728522.12</v>
      </c>
      <c r="K47" s="5" t="n">
        <v>34864261.06</v>
      </c>
      <c r="L47" s="5" t="n">
        <v>52296391.59</v>
      </c>
    </row>
    <row r="48">
      <c r="A48" t="inlineStr">
        <is>
          <t>LIMA</t>
        </is>
      </c>
      <c r="B48" t="inlineStr">
        <is>
          <t>LIMA</t>
        </is>
      </c>
      <c r="C48" t="inlineStr">
        <is>
          <t>VILLA EL SALVADOR</t>
        </is>
      </c>
      <c r="D48" t="inlineStr">
        <is>
          <t>150142</t>
        </is>
      </c>
      <c r="E48" s="5" t="n">
        <v>17212779.46</v>
      </c>
      <c r="F48" t="n">
        <v>1</v>
      </c>
      <c r="G48" t="n">
        <v>3</v>
      </c>
      <c r="I48" t="n">
        <v>2</v>
      </c>
      <c r="J48" s="5" t="n">
        <v>17212779.46</v>
      </c>
      <c r="K48" s="5" t="n">
        <v>51638338.38</v>
      </c>
      <c r="L48" s="5" t="n">
        <v>0</v>
      </c>
    </row>
    <row r="49">
      <c r="A49" t="inlineStr">
        <is>
          <t>CUSCO</t>
        </is>
      </c>
      <c r="B49" t="inlineStr">
        <is>
          <t>CUSCO</t>
        </is>
      </c>
      <c r="C49" t="inlineStr">
        <is>
          <t>CUSCO</t>
        </is>
      </c>
      <c r="D49" t="inlineStr">
        <is>
          <t>080101</t>
        </is>
      </c>
      <c r="E49" s="5" t="n">
        <v>16940391.02</v>
      </c>
      <c r="F49" t="n">
        <v>4</v>
      </c>
      <c r="G49" t="n">
        <v>2</v>
      </c>
      <c r="H49" t="n">
        <v>3</v>
      </c>
      <c r="I49" t="n">
        <v>3</v>
      </c>
      <c r="J49" s="5" t="n">
        <v>67761564.08</v>
      </c>
      <c r="K49" s="5" t="n">
        <v>33880782.04</v>
      </c>
      <c r="L49" s="5" t="n">
        <v>50821173.06</v>
      </c>
    </row>
    <row r="50">
      <c r="A50" t="inlineStr">
        <is>
          <t>LAMBAYEQUE</t>
        </is>
      </c>
      <c r="B50" t="inlineStr">
        <is>
          <t>LAMBAYEQUE</t>
        </is>
      </c>
      <c r="C50" t="inlineStr">
        <is>
          <t>LAMBAYEQUE</t>
        </is>
      </c>
      <c r="D50" t="inlineStr">
        <is>
          <t>140301</t>
        </is>
      </c>
      <c r="E50" s="5" t="n">
        <v>16566791.57</v>
      </c>
      <c r="F50" t="n">
        <v>1</v>
      </c>
      <c r="G50" t="n">
        <v>4</v>
      </c>
      <c r="I50" t="n">
        <v>2.5</v>
      </c>
      <c r="J50" s="5" t="n">
        <v>16566791.57</v>
      </c>
      <c r="K50" s="5" t="n">
        <v>66267166.28</v>
      </c>
      <c r="L50" s="5" t="n">
        <v>0</v>
      </c>
    </row>
    <row r="51">
      <c r="A51" t="inlineStr">
        <is>
          <t>PASCO</t>
        </is>
      </c>
      <c r="B51" t="inlineStr">
        <is>
          <t>PASCO</t>
        </is>
      </c>
      <c r="C51" t="inlineStr">
        <is>
          <t>PAUCARTAMBO</t>
        </is>
      </c>
      <c r="D51" t="inlineStr">
        <is>
          <t>190107</t>
        </is>
      </c>
      <c r="E51" s="5" t="n">
        <v>16310389.36</v>
      </c>
      <c r="F51" t="n">
        <v>4</v>
      </c>
      <c r="G51" t="n">
        <v>2</v>
      </c>
      <c r="H51" t="n">
        <v>3</v>
      </c>
      <c r="I51" t="n">
        <v>3</v>
      </c>
      <c r="J51" s="5" t="n">
        <v>65241557.44</v>
      </c>
      <c r="K51" s="5" t="n">
        <v>32620778.72</v>
      </c>
      <c r="L51" s="5" t="n">
        <v>48931168.08</v>
      </c>
    </row>
    <row r="52">
      <c r="A52" t="inlineStr">
        <is>
          <t>ICA</t>
        </is>
      </c>
      <c r="B52" t="inlineStr">
        <is>
          <t>ICA</t>
        </is>
      </c>
      <c r="C52" t="inlineStr">
        <is>
          <t>OCUCAJE</t>
        </is>
      </c>
      <c r="D52" t="inlineStr">
        <is>
          <t>110104</t>
        </is>
      </c>
      <c r="E52" s="5" t="n">
        <v>16287891.81</v>
      </c>
      <c r="F52" t="n">
        <v>4</v>
      </c>
      <c r="G52" t="n">
        <v>4</v>
      </c>
      <c r="I52" t="n">
        <v>4</v>
      </c>
      <c r="J52" s="5" t="n">
        <v>65151567.24</v>
      </c>
      <c r="K52" s="5" t="n">
        <v>65151567.24</v>
      </c>
      <c r="L52" s="5" t="n">
        <v>0</v>
      </c>
    </row>
    <row r="53">
      <c r="A53" t="inlineStr">
        <is>
          <t>TUMBES</t>
        </is>
      </c>
      <c r="B53" t="inlineStr">
        <is>
          <t>TUMBES</t>
        </is>
      </c>
      <c r="C53" t="inlineStr">
        <is>
          <t>TUMBES</t>
        </is>
      </c>
      <c r="D53" t="inlineStr">
        <is>
          <t>240101</t>
        </is>
      </c>
      <c r="E53" s="5" t="n">
        <v>15452146.69</v>
      </c>
      <c r="F53" t="n">
        <v>3</v>
      </c>
      <c r="G53" t="n">
        <v>5</v>
      </c>
      <c r="H53" t="n">
        <v>4</v>
      </c>
      <c r="I53" t="n">
        <v>4</v>
      </c>
      <c r="J53" s="5" t="n">
        <v>46356440.07</v>
      </c>
      <c r="K53" s="5" t="n">
        <v>77260733.45</v>
      </c>
      <c r="L53" s="5" t="n">
        <v>61808586.76</v>
      </c>
    </row>
    <row r="54">
      <c r="A54" t="inlineStr">
        <is>
          <t>PASCO</t>
        </is>
      </c>
      <c r="B54" t="inlineStr">
        <is>
          <t>PASCO</t>
        </is>
      </c>
      <c r="C54" t="inlineStr">
        <is>
          <t>CHAUPIMARCA</t>
        </is>
      </c>
      <c r="D54" t="inlineStr">
        <is>
          <t>190101</t>
        </is>
      </c>
      <c r="E54" s="5" t="n">
        <v>15193675.57</v>
      </c>
      <c r="F54" t="n">
        <v>4</v>
      </c>
      <c r="G54" t="n">
        <v>4</v>
      </c>
      <c r="H54" t="n">
        <v>3</v>
      </c>
      <c r="I54" t="n">
        <v>3.67</v>
      </c>
      <c r="J54" s="5" t="n">
        <v>60774702.28</v>
      </c>
      <c r="K54" s="5" t="n">
        <v>60774702.28</v>
      </c>
      <c r="L54" s="5" t="n">
        <v>45581026.71</v>
      </c>
    </row>
    <row r="55">
      <c r="A55" t="inlineStr">
        <is>
          <t>JUNIN</t>
        </is>
      </c>
      <c r="B55" t="inlineStr">
        <is>
          <t>HUANCAYO</t>
        </is>
      </c>
      <c r="C55" t="inlineStr">
        <is>
          <t>HUANCAYO</t>
        </is>
      </c>
      <c r="D55" t="inlineStr">
        <is>
          <t>120101</t>
        </is>
      </c>
      <c r="E55" s="5" t="n">
        <v>15170637.6</v>
      </c>
      <c r="F55" t="n">
        <v>4</v>
      </c>
      <c r="G55" t="n">
        <v>2</v>
      </c>
      <c r="H55" t="n">
        <v>3</v>
      </c>
      <c r="I55" t="n">
        <v>3</v>
      </c>
      <c r="J55" s="5" t="n">
        <v>60682550.4</v>
      </c>
      <c r="K55" s="5" t="n">
        <v>30341275.2</v>
      </c>
      <c r="L55" s="5" t="n">
        <v>45511912.8</v>
      </c>
    </row>
    <row r="56">
      <c r="A56" t="inlineStr">
        <is>
          <t>ICA</t>
        </is>
      </c>
      <c r="B56" t="inlineStr">
        <is>
          <t>ICA</t>
        </is>
      </c>
      <c r="C56" t="inlineStr">
        <is>
          <t>ICA</t>
        </is>
      </c>
      <c r="D56" t="inlineStr">
        <is>
          <t>110101</t>
        </is>
      </c>
      <c r="E56" s="5" t="n">
        <v>15090774.86</v>
      </c>
      <c r="F56" t="n">
        <v>1</v>
      </c>
      <c r="G56" t="n">
        <v>5</v>
      </c>
      <c r="I56" t="n">
        <v>3</v>
      </c>
      <c r="J56" s="5" t="n">
        <v>15090774.86</v>
      </c>
      <c r="K56" s="5" t="n">
        <v>75453874.3</v>
      </c>
      <c r="L56" s="5" t="n">
        <v>0</v>
      </c>
    </row>
    <row r="57">
      <c r="A57" t="inlineStr">
        <is>
          <t>AREQUIPA</t>
        </is>
      </c>
      <c r="B57" t="inlineStr">
        <is>
          <t>AREQUIPA</t>
        </is>
      </c>
      <c r="C57" t="inlineStr">
        <is>
          <t>JOSE LUIS BUSTAMANTE Y RIVERO</t>
        </is>
      </c>
      <c r="D57" t="inlineStr">
        <is>
          <t>040129</t>
        </is>
      </c>
      <c r="E57" s="5" t="n">
        <v>15028508.26</v>
      </c>
      <c r="F57" t="n">
        <v>2</v>
      </c>
      <c r="G57" t="n">
        <v>5</v>
      </c>
      <c r="I57" t="n">
        <v>3.5</v>
      </c>
      <c r="J57" s="5" t="n">
        <v>30057016.52</v>
      </c>
      <c r="K57" s="5" t="n">
        <v>75142541.3</v>
      </c>
      <c r="L57" s="5" t="n">
        <v>0</v>
      </c>
    </row>
    <row r="58">
      <c r="A58" t="inlineStr">
        <is>
          <t>ANCASH</t>
        </is>
      </c>
      <c r="B58" t="inlineStr">
        <is>
          <t>HUARAZ</t>
        </is>
      </c>
      <c r="C58" t="inlineStr">
        <is>
          <t>INDEPENDENCIA</t>
        </is>
      </c>
      <c r="D58" t="inlineStr">
        <is>
          <t>020105</t>
        </is>
      </c>
      <c r="E58" s="5" t="n">
        <v>14531017.07</v>
      </c>
      <c r="F58" t="n">
        <v>4</v>
      </c>
      <c r="G58" t="n">
        <v>3</v>
      </c>
      <c r="H58" t="n">
        <v>3</v>
      </c>
      <c r="I58" t="n">
        <v>3.33</v>
      </c>
      <c r="J58" s="5" t="n">
        <v>58124068.28</v>
      </c>
      <c r="K58" s="5" t="n">
        <v>43593051.21</v>
      </c>
      <c r="L58" s="5" t="n">
        <v>43593051.21</v>
      </c>
    </row>
    <row r="59">
      <c r="A59" t="inlineStr">
        <is>
          <t>LIMA</t>
        </is>
      </c>
      <c r="B59" t="inlineStr">
        <is>
          <t>HUAROCHIRI</t>
        </is>
      </c>
      <c r="C59" t="inlineStr">
        <is>
          <t>SURCO</t>
        </is>
      </c>
      <c r="D59" t="inlineStr">
        <is>
          <t>150732</t>
        </is>
      </c>
      <c r="E59" s="5" t="n">
        <v>14516703.42</v>
      </c>
      <c r="F59" t="n">
        <v>4</v>
      </c>
      <c r="G59" t="n">
        <v>1</v>
      </c>
      <c r="H59" t="n">
        <v>4</v>
      </c>
      <c r="I59" t="n">
        <v>3</v>
      </c>
      <c r="J59" s="5" t="n">
        <v>58066813.68</v>
      </c>
      <c r="K59" s="5" t="n">
        <v>14516703.42</v>
      </c>
      <c r="L59" s="5" t="n">
        <v>58066813.68</v>
      </c>
    </row>
    <row r="60">
      <c r="A60" t="inlineStr">
        <is>
          <t>APURIMAC</t>
        </is>
      </c>
      <c r="B60" t="inlineStr">
        <is>
          <t>COTABAMBAS</t>
        </is>
      </c>
      <c r="C60" t="inlineStr">
        <is>
          <t>CHALLHUAHUACHO</t>
        </is>
      </c>
      <c r="D60" t="inlineStr">
        <is>
          <t>030506</t>
        </is>
      </c>
      <c r="E60" s="5" t="n">
        <v>14311523.48</v>
      </c>
      <c r="F60" t="n">
        <v>3</v>
      </c>
      <c r="G60" t="n">
        <v>3</v>
      </c>
      <c r="H60" t="n">
        <v>3</v>
      </c>
      <c r="I60" t="n">
        <v>3</v>
      </c>
      <c r="J60" s="5" t="n">
        <v>42934570.44</v>
      </c>
      <c r="K60" s="5" t="n">
        <v>42934570.44</v>
      </c>
      <c r="L60" s="5" t="n">
        <v>42934570.44</v>
      </c>
    </row>
    <row r="61">
      <c r="A61" t="inlineStr">
        <is>
          <t>AREQUIPA</t>
        </is>
      </c>
      <c r="B61" t="inlineStr">
        <is>
          <t>AREQUIPA</t>
        </is>
      </c>
      <c r="C61" t="inlineStr">
        <is>
          <t>UCHUMAYO</t>
        </is>
      </c>
      <c r="D61" t="inlineStr">
        <is>
          <t>040124</t>
        </is>
      </c>
      <c r="E61" s="5" t="n">
        <v>14164825.68</v>
      </c>
      <c r="F61" t="n">
        <v>4</v>
      </c>
      <c r="G61" t="n">
        <v>3</v>
      </c>
      <c r="I61" t="n">
        <v>3.5</v>
      </c>
      <c r="J61" s="5" t="n">
        <v>56659302.72</v>
      </c>
      <c r="K61" s="5" t="n">
        <v>42494477.04</v>
      </c>
      <c r="L61" s="5" t="n">
        <v>0</v>
      </c>
    </row>
    <row r="62">
      <c r="A62" t="inlineStr">
        <is>
          <t>ICA</t>
        </is>
      </c>
      <c r="B62" t="inlineStr">
        <is>
          <t>ICA</t>
        </is>
      </c>
      <c r="C62" t="inlineStr">
        <is>
          <t>SUBTANJALLA</t>
        </is>
      </c>
      <c r="D62" t="inlineStr">
        <is>
          <t>110112</t>
        </is>
      </c>
      <c r="E62" s="5" t="n">
        <v>14164825.68</v>
      </c>
      <c r="F62" t="n">
        <v>2</v>
      </c>
      <c r="G62" t="n">
        <v>4</v>
      </c>
      <c r="I62" t="n">
        <v>3</v>
      </c>
      <c r="J62" s="5" t="n">
        <v>28329651.36</v>
      </c>
      <c r="K62" s="5" t="n">
        <v>56659302.72</v>
      </c>
      <c r="L62" s="5" t="n">
        <v>0</v>
      </c>
    </row>
    <row r="63">
      <c r="A63" t="inlineStr">
        <is>
          <t>AREQUIPA</t>
        </is>
      </c>
      <c r="B63" t="inlineStr">
        <is>
          <t>AREQUIPA</t>
        </is>
      </c>
      <c r="C63" t="inlineStr">
        <is>
          <t>LA JOYA</t>
        </is>
      </c>
      <c r="D63" t="inlineStr">
        <is>
          <t>040108</t>
        </is>
      </c>
      <c r="E63" s="5" t="n">
        <v>13673234.01</v>
      </c>
      <c r="F63" t="n">
        <v>4</v>
      </c>
      <c r="G63" t="n">
        <v>4</v>
      </c>
      <c r="I63" t="n">
        <v>4</v>
      </c>
      <c r="J63" s="5" t="n">
        <v>54692936.04</v>
      </c>
      <c r="K63" s="5" t="n">
        <v>54692936.04</v>
      </c>
      <c r="L63" s="5" t="n">
        <v>0</v>
      </c>
    </row>
    <row r="64">
      <c r="A64" t="inlineStr">
        <is>
          <t>ANCASH</t>
        </is>
      </c>
      <c r="B64" t="inlineStr">
        <is>
          <t>SANTA</t>
        </is>
      </c>
      <c r="C64" t="inlineStr">
        <is>
          <t>NUEVO CHIMBOTE</t>
        </is>
      </c>
      <c r="D64" t="inlineStr">
        <is>
          <t>021809</t>
        </is>
      </c>
      <c r="E64" s="5" t="n">
        <v>13662769.92</v>
      </c>
      <c r="F64" t="n">
        <v>2</v>
      </c>
      <c r="G64" t="n">
        <v>3</v>
      </c>
      <c r="I64" t="n">
        <v>2.5</v>
      </c>
      <c r="J64" s="5" t="n">
        <v>27325539.84</v>
      </c>
      <c r="K64" s="5" t="n">
        <v>40988309.76</v>
      </c>
      <c r="L64" s="5" t="n">
        <v>0</v>
      </c>
    </row>
    <row r="65">
      <c r="A65" t="inlineStr">
        <is>
          <t>CAJAMARCA</t>
        </is>
      </c>
      <c r="B65" t="inlineStr">
        <is>
          <t>CAJAMARCA</t>
        </is>
      </c>
      <c r="C65" t="inlineStr">
        <is>
          <t>CAJAMARCA</t>
        </is>
      </c>
      <c r="D65" t="inlineStr">
        <is>
          <t>060101</t>
        </is>
      </c>
      <c r="E65" s="5" t="n">
        <v>13099526.3</v>
      </c>
      <c r="F65" t="n">
        <v>4</v>
      </c>
      <c r="G65" t="n">
        <v>4</v>
      </c>
      <c r="H65" t="n">
        <v>3</v>
      </c>
      <c r="I65" t="n">
        <v>3.67</v>
      </c>
      <c r="J65" s="5" t="n">
        <v>52398105.2</v>
      </c>
      <c r="K65" s="5" t="n">
        <v>52398105.2</v>
      </c>
      <c r="L65" s="5" t="n">
        <v>39298578.9</v>
      </c>
    </row>
    <row r="66">
      <c r="A66" t="inlineStr">
        <is>
          <t>LIMA</t>
        </is>
      </c>
      <c r="B66" t="inlineStr">
        <is>
          <t>LIMA</t>
        </is>
      </c>
      <c r="C66" t="inlineStr">
        <is>
          <t>MAGDALENA DEL MAR</t>
        </is>
      </c>
      <c r="D66" t="inlineStr">
        <is>
          <t>150120</t>
        </is>
      </c>
      <c r="E66" s="5" t="n">
        <v>13058321.06</v>
      </c>
      <c r="F66" t="n">
        <v>2</v>
      </c>
      <c r="G66" t="n">
        <v>4</v>
      </c>
      <c r="I66" t="n">
        <v>3</v>
      </c>
      <c r="J66" s="5" t="n">
        <v>26116642.12</v>
      </c>
      <c r="K66" s="5" t="n">
        <v>52233284.24</v>
      </c>
      <c r="L66" s="5" t="n">
        <v>0</v>
      </c>
    </row>
    <row r="67">
      <c r="A67" t="inlineStr">
        <is>
          <t>LORETO</t>
        </is>
      </c>
      <c r="B67" t="inlineStr">
        <is>
          <t>MAYNAS</t>
        </is>
      </c>
      <c r="C67" t="inlineStr">
        <is>
          <t>IQUITOS</t>
        </is>
      </c>
      <c r="D67" t="inlineStr">
        <is>
          <t>160101</t>
        </is>
      </c>
      <c r="E67" s="5" t="n">
        <v>12884070.86</v>
      </c>
      <c r="F67" t="n">
        <v>3</v>
      </c>
      <c r="G67" t="n">
        <v>4</v>
      </c>
      <c r="H67" t="n">
        <v>2</v>
      </c>
      <c r="I67" t="n">
        <v>3</v>
      </c>
      <c r="J67" s="5" t="n">
        <v>38652212.58</v>
      </c>
      <c r="K67" s="5" t="n">
        <v>51536283.44</v>
      </c>
      <c r="L67" s="5" t="n">
        <v>25768141.72</v>
      </c>
    </row>
    <row r="68">
      <c r="A68" t="inlineStr">
        <is>
          <t>SAN MARTIN</t>
        </is>
      </c>
      <c r="B68" t="inlineStr">
        <is>
          <t>SAN MARTIN</t>
        </is>
      </c>
      <c r="C68" t="inlineStr">
        <is>
          <t>TARAPOTO</t>
        </is>
      </c>
      <c r="D68" t="inlineStr">
        <is>
          <t>220901</t>
        </is>
      </c>
      <c r="E68" s="5" t="n">
        <v>12672965.05</v>
      </c>
      <c r="F68" t="n">
        <v>4</v>
      </c>
      <c r="G68" t="n">
        <v>4</v>
      </c>
      <c r="H68" t="n">
        <v>2</v>
      </c>
      <c r="I68" t="n">
        <v>3.33</v>
      </c>
      <c r="J68" s="5" t="n">
        <v>50691860.2</v>
      </c>
      <c r="K68" s="5" t="n">
        <v>50691860.2</v>
      </c>
      <c r="L68" s="5" t="n">
        <v>25345930.1</v>
      </c>
    </row>
    <row r="69">
      <c r="A69" t="inlineStr">
        <is>
          <t>CAJAMARCA</t>
        </is>
      </c>
      <c r="B69" t="inlineStr">
        <is>
          <t>CAJAMARCA</t>
        </is>
      </c>
      <c r="C69" t="inlineStr">
        <is>
          <t>LOS BAÑOS DEL INCA</t>
        </is>
      </c>
      <c r="D69" t="inlineStr">
        <is>
          <t>060108</t>
        </is>
      </c>
      <c r="E69" s="5" t="n">
        <v>12413612.12</v>
      </c>
      <c r="F69" t="n">
        <v>4</v>
      </c>
      <c r="G69" t="n">
        <v>4</v>
      </c>
      <c r="H69" t="n">
        <v>3</v>
      </c>
      <c r="I69" t="n">
        <v>3.67</v>
      </c>
      <c r="J69" s="5" t="n">
        <v>49654448.48</v>
      </c>
      <c r="K69" s="5" t="n">
        <v>49654448.48</v>
      </c>
      <c r="L69" s="5" t="n">
        <v>37240836.36</v>
      </c>
    </row>
    <row r="70">
      <c r="A70" t="inlineStr">
        <is>
          <t>ANCASH</t>
        </is>
      </c>
      <c r="B70" t="inlineStr">
        <is>
          <t>SANTA</t>
        </is>
      </c>
      <c r="C70" t="inlineStr">
        <is>
          <t>CHIMBOTE</t>
        </is>
      </c>
      <c r="D70" t="inlineStr">
        <is>
          <t>021801</t>
        </is>
      </c>
      <c r="E70" s="5" t="n">
        <v>12275183.98</v>
      </c>
      <c r="F70" t="n">
        <v>5</v>
      </c>
      <c r="G70" t="n">
        <v>4</v>
      </c>
      <c r="H70" t="n">
        <v>3</v>
      </c>
      <c r="I70" t="n">
        <v>4</v>
      </c>
      <c r="J70" s="5" t="n">
        <v>61375919.9</v>
      </c>
      <c r="K70" s="5" t="n">
        <v>49100735.92</v>
      </c>
      <c r="L70" s="5" t="n">
        <v>36825551.94</v>
      </c>
    </row>
    <row r="71">
      <c r="A71" t="inlineStr">
        <is>
          <t>LIMA</t>
        </is>
      </c>
      <c r="B71" t="inlineStr">
        <is>
          <t>LIMA</t>
        </is>
      </c>
      <c r="C71" t="inlineStr">
        <is>
          <t>SAN MARTIN DE PORRES</t>
        </is>
      </c>
      <c r="D71" t="inlineStr">
        <is>
          <t>150135</t>
        </is>
      </c>
      <c r="E71" s="5" t="n">
        <v>12130083.29</v>
      </c>
      <c r="F71" t="n">
        <v>2</v>
      </c>
      <c r="G71" t="n">
        <v>5</v>
      </c>
      <c r="I71" t="n">
        <v>3.5</v>
      </c>
      <c r="J71" s="5" t="n">
        <v>24260166.58</v>
      </c>
      <c r="K71" s="5" t="n">
        <v>60650416.45</v>
      </c>
      <c r="L71" s="5" t="n">
        <v>0</v>
      </c>
    </row>
    <row r="72">
      <c r="A72" t="inlineStr">
        <is>
          <t>CUSCO</t>
        </is>
      </c>
      <c r="B72" t="inlineStr">
        <is>
          <t>ESPINAR</t>
        </is>
      </c>
      <c r="C72" t="inlineStr">
        <is>
          <t>ESPINAR</t>
        </is>
      </c>
      <c r="D72" t="inlineStr">
        <is>
          <t>080801</t>
        </is>
      </c>
      <c r="E72" s="5" t="n">
        <v>12066511.32</v>
      </c>
      <c r="F72" t="n">
        <v>3</v>
      </c>
      <c r="G72" t="n">
        <v>3</v>
      </c>
      <c r="H72" t="n">
        <v>3</v>
      </c>
      <c r="I72" t="n">
        <v>3</v>
      </c>
      <c r="J72" s="5" t="n">
        <v>36199533.96</v>
      </c>
      <c r="K72" s="5" t="n">
        <v>36199533.96</v>
      </c>
      <c r="L72" s="5" t="n">
        <v>36199533.96</v>
      </c>
    </row>
    <row r="73">
      <c r="A73" t="inlineStr">
        <is>
          <t>ANCASH</t>
        </is>
      </c>
      <c r="B73" t="inlineStr">
        <is>
          <t>HUARI</t>
        </is>
      </c>
      <c r="C73" t="inlineStr">
        <is>
          <t>SAN MARCOS</t>
        </is>
      </c>
      <c r="D73" t="inlineStr">
        <is>
          <t>021014</t>
        </is>
      </c>
      <c r="E73" s="5" t="n">
        <v>11852608.29</v>
      </c>
      <c r="F73" t="n">
        <v>4</v>
      </c>
      <c r="G73" t="n">
        <v>3</v>
      </c>
      <c r="H73" t="n">
        <v>3</v>
      </c>
      <c r="I73" t="n">
        <v>3.33</v>
      </c>
      <c r="J73" s="5" t="n">
        <v>47410433.16</v>
      </c>
      <c r="K73" s="5" t="n">
        <v>35557824.87</v>
      </c>
      <c r="L73" s="5" t="n">
        <v>35557824.87</v>
      </c>
    </row>
    <row r="74">
      <c r="A74" t="inlineStr">
        <is>
          <t>TACNA</t>
        </is>
      </c>
      <c r="B74" t="inlineStr">
        <is>
          <t>JORGE BASADRE</t>
        </is>
      </c>
      <c r="C74" t="inlineStr">
        <is>
          <t>ILABAYA</t>
        </is>
      </c>
      <c r="D74" t="inlineStr">
        <is>
          <t>230302</t>
        </is>
      </c>
      <c r="E74" s="5" t="n">
        <v>11817184.88</v>
      </c>
      <c r="F74" t="n">
        <v>5</v>
      </c>
      <c r="G74" t="n">
        <v>3</v>
      </c>
      <c r="H74" t="n">
        <v>3</v>
      </c>
      <c r="I74" t="n">
        <v>3.67</v>
      </c>
      <c r="J74" s="5" t="n">
        <v>59085924.4</v>
      </c>
      <c r="K74" s="5" t="n">
        <v>35451554.64</v>
      </c>
      <c r="L74" s="5" t="n">
        <v>35451554.64</v>
      </c>
    </row>
    <row r="75">
      <c r="A75" t="inlineStr">
        <is>
          <t>CUSCO</t>
        </is>
      </c>
      <c r="B75" t="inlineStr">
        <is>
          <t>ANTA</t>
        </is>
      </c>
      <c r="C75" t="inlineStr">
        <is>
          <t>CACHIMAYO</t>
        </is>
      </c>
      <c r="D75" t="inlineStr">
        <is>
          <t>080303</t>
        </is>
      </c>
      <c r="E75" s="5" t="n">
        <v>11787451.24</v>
      </c>
      <c r="F75" t="n">
        <v>4</v>
      </c>
      <c r="G75" t="n">
        <v>3</v>
      </c>
      <c r="H75" t="n">
        <v>3</v>
      </c>
      <c r="I75" t="n">
        <v>3.33</v>
      </c>
      <c r="J75" s="5" t="n">
        <v>47149804.96</v>
      </c>
      <c r="K75" s="5" t="n">
        <v>35362353.72</v>
      </c>
      <c r="L75" s="5" t="n">
        <v>35362353.72</v>
      </c>
    </row>
    <row r="76">
      <c r="A76" t="inlineStr">
        <is>
          <t>CAJAMARCA</t>
        </is>
      </c>
      <c r="B76" t="inlineStr">
        <is>
          <t>SAN PABLO</t>
        </is>
      </c>
      <c r="C76" t="inlineStr">
        <is>
          <t>TUMBADEN</t>
        </is>
      </c>
      <c r="D76" t="inlineStr">
        <is>
          <t>061204</t>
        </is>
      </c>
      <c r="E76" s="5" t="n">
        <v>11787451.24</v>
      </c>
      <c r="F76" t="n">
        <v>3</v>
      </c>
      <c r="G76" t="n">
        <v>2</v>
      </c>
      <c r="H76" t="n">
        <v>2</v>
      </c>
      <c r="I76" t="n">
        <v>2.33</v>
      </c>
      <c r="J76" s="5" t="n">
        <v>35362353.72</v>
      </c>
      <c r="K76" s="5" t="n">
        <v>23574902.48</v>
      </c>
      <c r="L76" s="5" t="n">
        <v>23574902.48</v>
      </c>
    </row>
    <row r="77">
      <c r="A77" t="inlineStr">
        <is>
          <t>JUNIN</t>
        </is>
      </c>
      <c r="B77" t="inlineStr">
        <is>
          <t>YAULI</t>
        </is>
      </c>
      <c r="C77" t="inlineStr">
        <is>
          <t>MOROCOCHA</t>
        </is>
      </c>
      <c r="D77" t="inlineStr">
        <is>
          <t>120805</t>
        </is>
      </c>
      <c r="E77" s="5" t="n">
        <v>11787451.24</v>
      </c>
      <c r="F77" t="n">
        <v>4</v>
      </c>
      <c r="G77" t="n">
        <v>3</v>
      </c>
      <c r="H77" t="n">
        <v>3</v>
      </c>
      <c r="I77" t="n">
        <v>3.33</v>
      </c>
      <c r="J77" s="5" t="n">
        <v>47149804.96</v>
      </c>
      <c r="K77" s="5" t="n">
        <v>35362353.72</v>
      </c>
      <c r="L77" s="5" t="n">
        <v>35362353.72</v>
      </c>
    </row>
    <row r="78">
      <c r="A78" t="inlineStr">
        <is>
          <t>LIMA</t>
        </is>
      </c>
      <c r="B78" t="inlineStr">
        <is>
          <t>LIMA</t>
        </is>
      </c>
      <c r="C78" t="inlineStr">
        <is>
          <t>PUNTA NEGRA</t>
        </is>
      </c>
      <c r="D78" t="inlineStr">
        <is>
          <t>150127</t>
        </is>
      </c>
      <c r="E78" s="5" t="n">
        <v>11523674.33</v>
      </c>
      <c r="J78" s="5" t="n">
        <v>0</v>
      </c>
      <c r="K78" s="5" t="n">
        <v>0</v>
      </c>
      <c r="L78" s="5" t="n">
        <v>0</v>
      </c>
    </row>
    <row r="79">
      <c r="A79" t="inlineStr">
        <is>
          <t>PIURA</t>
        </is>
      </c>
      <c r="B79" t="inlineStr">
        <is>
          <t>TALARA</t>
        </is>
      </c>
      <c r="C79" t="inlineStr">
        <is>
          <t>PARIÑAS</t>
        </is>
      </c>
      <c r="D79" t="inlineStr">
        <is>
          <t>200701</t>
        </is>
      </c>
      <c r="E79" s="5" t="n">
        <v>11395038.74</v>
      </c>
      <c r="F79" t="n">
        <v>3</v>
      </c>
      <c r="G79" t="n">
        <v>4</v>
      </c>
      <c r="H79" t="n">
        <v>3</v>
      </c>
      <c r="I79" t="n">
        <v>3.33</v>
      </c>
      <c r="J79" s="5" t="n">
        <v>34185116.22</v>
      </c>
      <c r="K79" s="5" t="n">
        <v>45580154.96</v>
      </c>
      <c r="L79" s="5" t="n">
        <v>34185116.22</v>
      </c>
    </row>
    <row r="80">
      <c r="A80" t="inlineStr">
        <is>
          <t>AYACUCHO</t>
        </is>
      </c>
      <c r="B80" t="inlineStr">
        <is>
          <t>HUAMANGA</t>
        </is>
      </c>
      <c r="C80" t="inlineStr">
        <is>
          <t>AYACUCHO</t>
        </is>
      </c>
      <c r="D80" t="inlineStr">
        <is>
          <t>050101</t>
        </is>
      </c>
      <c r="E80" s="5" t="n">
        <v>11125623.95</v>
      </c>
      <c r="F80" t="n">
        <v>4</v>
      </c>
      <c r="G80" t="n">
        <v>3</v>
      </c>
      <c r="H80" t="n">
        <v>4</v>
      </c>
      <c r="I80" t="n">
        <v>3.67</v>
      </c>
      <c r="J80" s="5" t="n">
        <v>44502495.8</v>
      </c>
      <c r="K80" s="5" t="n">
        <v>33376871.85</v>
      </c>
      <c r="L80" s="5" t="n">
        <v>44502495.8</v>
      </c>
    </row>
    <row r="81">
      <c r="A81" t="inlineStr">
        <is>
          <t>LIMA</t>
        </is>
      </c>
      <c r="B81" t="inlineStr">
        <is>
          <t>LIMA</t>
        </is>
      </c>
      <c r="C81" t="inlineStr">
        <is>
          <t>COMAS</t>
        </is>
      </c>
      <c r="D81" t="inlineStr">
        <is>
          <t>150110</t>
        </is>
      </c>
      <c r="E81" s="5" t="n">
        <v>10802161.4</v>
      </c>
      <c r="F81" t="n">
        <v>3</v>
      </c>
      <c r="G81" t="n">
        <v>3</v>
      </c>
      <c r="I81" t="n">
        <v>3</v>
      </c>
      <c r="J81" s="5" t="n">
        <v>32406484.2</v>
      </c>
      <c r="K81" s="5" t="n">
        <v>32406484.2</v>
      </c>
      <c r="L81" s="5" t="n">
        <v>0</v>
      </c>
    </row>
    <row r="82">
      <c r="A82" t="inlineStr">
        <is>
          <t>LIMA</t>
        </is>
      </c>
      <c r="B82" t="inlineStr">
        <is>
          <t>LIMA</t>
        </is>
      </c>
      <c r="C82" t="inlineStr">
        <is>
          <t>LOS OLIVOS</t>
        </is>
      </c>
      <c r="D82" t="inlineStr">
        <is>
          <t>150117</t>
        </is>
      </c>
      <c r="E82" s="5" t="n">
        <v>10170418.9</v>
      </c>
      <c r="F82" t="n">
        <v>1</v>
      </c>
      <c r="G82" t="n">
        <v>4</v>
      </c>
      <c r="I82" t="n">
        <v>2.5</v>
      </c>
      <c r="J82" s="5" t="n">
        <v>10170418.9</v>
      </c>
      <c r="K82" s="5" t="n">
        <v>40681675.6</v>
      </c>
      <c r="L82" s="5" t="n">
        <v>0</v>
      </c>
    </row>
    <row r="83">
      <c r="A83" t="inlineStr">
        <is>
          <t>ANCASH</t>
        </is>
      </c>
      <c r="B83" t="inlineStr">
        <is>
          <t>HUARAZ</t>
        </is>
      </c>
      <c r="C83" t="inlineStr">
        <is>
          <t>HUARAZ</t>
        </is>
      </c>
      <c r="D83" t="inlineStr">
        <is>
          <t>020101</t>
        </is>
      </c>
      <c r="E83" s="5" t="n">
        <v>9693871.619999999</v>
      </c>
      <c r="F83" t="n">
        <v>4</v>
      </c>
      <c r="G83" t="n">
        <v>3</v>
      </c>
      <c r="H83" t="n">
        <v>4</v>
      </c>
      <c r="I83" t="n">
        <v>3.67</v>
      </c>
      <c r="J83" s="5" t="n">
        <v>38775486.48</v>
      </c>
      <c r="K83" s="5" t="n">
        <v>29081614.86</v>
      </c>
      <c r="L83" s="5" t="n">
        <v>38775486.48</v>
      </c>
    </row>
    <row r="84">
      <c r="A84" t="inlineStr">
        <is>
          <t>HUANCAVELICA</t>
        </is>
      </c>
      <c r="B84" t="inlineStr">
        <is>
          <t>ANGARAES</t>
        </is>
      </c>
      <c r="C84" t="inlineStr">
        <is>
          <t>CCOCHACCASA</t>
        </is>
      </c>
      <c r="D84" t="inlineStr">
        <is>
          <t>090304</t>
        </is>
      </c>
      <c r="E84" s="5" t="n">
        <v>9476168.52</v>
      </c>
      <c r="F84" t="n">
        <v>4</v>
      </c>
      <c r="G84" t="n">
        <v>2</v>
      </c>
      <c r="H84" t="n">
        <v>3</v>
      </c>
      <c r="I84" t="n">
        <v>3</v>
      </c>
      <c r="J84" s="5" t="n">
        <v>37904674.08</v>
      </c>
      <c r="K84" s="5" t="n">
        <v>18952337.04</v>
      </c>
      <c r="L84" s="5" t="n">
        <v>28428505.56</v>
      </c>
    </row>
    <row r="85">
      <c r="A85" t="inlineStr">
        <is>
          <t>ICA</t>
        </is>
      </c>
      <c r="B85" t="inlineStr">
        <is>
          <t>CHINCHA</t>
        </is>
      </c>
      <c r="C85" t="inlineStr">
        <is>
          <t>CHINCHA ALTA</t>
        </is>
      </c>
      <c r="D85" t="inlineStr">
        <is>
          <t>110201</t>
        </is>
      </c>
      <c r="E85" s="5" t="n">
        <v>9325650.09</v>
      </c>
      <c r="F85" t="n">
        <v>4</v>
      </c>
      <c r="G85" t="n">
        <v>4</v>
      </c>
      <c r="I85" t="n">
        <v>4</v>
      </c>
      <c r="J85" s="5" t="n">
        <v>37302600.36</v>
      </c>
      <c r="K85" s="5" t="n">
        <v>37302600.36</v>
      </c>
      <c r="L85" s="5" t="n">
        <v>0</v>
      </c>
    </row>
    <row r="86">
      <c r="A86" t="inlineStr">
        <is>
          <t>UCAYALI</t>
        </is>
      </c>
      <c r="B86" t="inlineStr">
        <is>
          <t>CORONEL PORTILLO</t>
        </is>
      </c>
      <c r="C86" t="inlineStr">
        <is>
          <t>CALLERIA</t>
        </is>
      </c>
      <c r="D86" t="inlineStr">
        <is>
          <t>250101</t>
        </is>
      </c>
      <c r="E86" s="5" t="n">
        <v>9046209.619999999</v>
      </c>
      <c r="F86" t="n">
        <v>4</v>
      </c>
      <c r="G86" t="n">
        <v>4</v>
      </c>
      <c r="H86" t="n">
        <v>2</v>
      </c>
      <c r="I86" t="n">
        <v>3.33</v>
      </c>
      <c r="J86" s="5" t="n">
        <v>36184838.48</v>
      </c>
      <c r="K86" s="5" t="n">
        <v>36184838.48</v>
      </c>
      <c r="L86" s="5" t="n">
        <v>18092419.24</v>
      </c>
    </row>
    <row r="87">
      <c r="A87" t="inlineStr">
        <is>
          <t>CAJAMARCA</t>
        </is>
      </c>
      <c r="B87" t="inlineStr">
        <is>
          <t>JAEN</t>
        </is>
      </c>
      <c r="C87" t="inlineStr">
        <is>
          <t>JAEN</t>
        </is>
      </c>
      <c r="D87" t="inlineStr">
        <is>
          <t>060801</t>
        </is>
      </c>
      <c r="E87" s="5" t="n">
        <v>8810531.41</v>
      </c>
      <c r="F87" t="n">
        <v>4</v>
      </c>
      <c r="G87" t="n">
        <v>3</v>
      </c>
      <c r="H87" t="n">
        <v>2</v>
      </c>
      <c r="I87" t="n">
        <v>3</v>
      </c>
      <c r="J87" s="5" t="n">
        <v>35242125.64</v>
      </c>
      <c r="K87" s="5" t="n">
        <v>26431594.23</v>
      </c>
      <c r="L87" s="5" t="n">
        <v>17621062.82</v>
      </c>
    </row>
    <row r="88">
      <c r="A88" t="inlineStr">
        <is>
          <t>CUSCO</t>
        </is>
      </c>
      <c r="B88" t="inlineStr">
        <is>
          <t>CUSCO</t>
        </is>
      </c>
      <c r="C88" t="inlineStr">
        <is>
          <t>SANTIAGO</t>
        </is>
      </c>
      <c r="D88" t="inlineStr">
        <is>
          <t>080106</t>
        </is>
      </c>
      <c r="E88" s="5" t="n">
        <v>8810521.52</v>
      </c>
      <c r="F88" t="n">
        <v>4</v>
      </c>
      <c r="G88" t="n">
        <v>2</v>
      </c>
      <c r="H88" t="n">
        <v>3</v>
      </c>
      <c r="I88" t="n">
        <v>3</v>
      </c>
      <c r="J88" s="5" t="n">
        <v>35242086.08</v>
      </c>
      <c r="K88" s="5" t="n">
        <v>17621043.04</v>
      </c>
      <c r="L88" s="5" t="n">
        <v>26431564.56</v>
      </c>
    </row>
    <row r="89">
      <c r="A89" t="inlineStr">
        <is>
          <t>CUSCO</t>
        </is>
      </c>
      <c r="B89" t="inlineStr">
        <is>
          <t>URUBAMBA</t>
        </is>
      </c>
      <c r="C89" t="inlineStr">
        <is>
          <t>MACHUPICCHU</t>
        </is>
      </c>
      <c r="D89" t="inlineStr">
        <is>
          <t>081304</t>
        </is>
      </c>
      <c r="E89" s="5" t="n">
        <v>8263048.98</v>
      </c>
      <c r="F89" t="n">
        <v>4</v>
      </c>
      <c r="G89" t="n">
        <v>2</v>
      </c>
      <c r="H89" t="n">
        <v>3</v>
      </c>
      <c r="I89" t="n">
        <v>3</v>
      </c>
      <c r="J89" s="5" t="n">
        <v>33052195.92</v>
      </c>
      <c r="K89" s="5" t="n">
        <v>16526097.96</v>
      </c>
      <c r="L89" s="5" t="n">
        <v>24789146.94</v>
      </c>
    </row>
    <row r="90">
      <c r="A90" t="inlineStr">
        <is>
          <t>HUANUCO</t>
        </is>
      </c>
      <c r="B90" t="inlineStr">
        <is>
          <t>HUANUCO</t>
        </is>
      </c>
      <c r="C90" t="inlineStr">
        <is>
          <t>HUANUCO</t>
        </is>
      </c>
      <c r="D90" t="inlineStr">
        <is>
          <t>100101</t>
        </is>
      </c>
      <c r="E90" s="5" t="n">
        <v>7915841.29</v>
      </c>
      <c r="F90" t="n">
        <v>4</v>
      </c>
      <c r="G90" t="n">
        <v>3</v>
      </c>
      <c r="H90" t="n">
        <v>4</v>
      </c>
      <c r="I90" t="n">
        <v>3.67</v>
      </c>
      <c r="J90" s="5" t="n">
        <v>31663365.16</v>
      </c>
      <c r="K90" s="5" t="n">
        <v>23747523.87</v>
      </c>
      <c r="L90" s="5" t="n">
        <v>31663365.16</v>
      </c>
    </row>
    <row r="91">
      <c r="A91" t="inlineStr">
        <is>
          <t>CUSCO</t>
        </is>
      </c>
      <c r="B91" t="inlineStr">
        <is>
          <t>CUSCO</t>
        </is>
      </c>
      <c r="C91" t="inlineStr">
        <is>
          <t>POROY</t>
        </is>
      </c>
      <c r="D91" t="inlineStr">
        <is>
          <t>080103</t>
        </is>
      </c>
      <c r="E91" s="5" t="n">
        <v>7636888.1</v>
      </c>
      <c r="J91" s="5" t="n">
        <v>0</v>
      </c>
      <c r="K91" s="5" t="n">
        <v>0</v>
      </c>
      <c r="L91" s="5" t="n">
        <v>0</v>
      </c>
    </row>
    <row r="92">
      <c r="A92" t="inlineStr">
        <is>
          <t>CUSCO</t>
        </is>
      </c>
      <c r="B92" t="inlineStr">
        <is>
          <t>URUBAMBA</t>
        </is>
      </c>
      <c r="C92" t="inlineStr">
        <is>
          <t>OLLANTAYTAMBO</t>
        </is>
      </c>
      <c r="D92" t="inlineStr">
        <is>
          <t>081306</t>
        </is>
      </c>
      <c r="E92" s="5" t="n">
        <v>7636888.1</v>
      </c>
      <c r="J92" s="5" t="n">
        <v>0</v>
      </c>
      <c r="K92" s="5" t="n">
        <v>0</v>
      </c>
      <c r="L92" s="5" t="n">
        <v>0</v>
      </c>
    </row>
    <row r="93">
      <c r="A93" t="inlineStr">
        <is>
          <t>LIMA</t>
        </is>
      </c>
      <c r="B93" t="inlineStr">
        <is>
          <t>LIMA</t>
        </is>
      </c>
      <c r="C93" t="inlineStr">
        <is>
          <t>SAN BORJA</t>
        </is>
      </c>
      <c r="D93" t="inlineStr">
        <is>
          <t>150130</t>
        </is>
      </c>
      <c r="E93" s="5" t="n">
        <v>7565234.58</v>
      </c>
      <c r="F93" t="n">
        <v>1</v>
      </c>
      <c r="G93" t="n">
        <v>2</v>
      </c>
      <c r="I93" t="n">
        <v>1.5</v>
      </c>
      <c r="J93" s="5" t="n">
        <v>7565234.58</v>
      </c>
      <c r="K93" s="5" t="n">
        <v>15130469.16</v>
      </c>
      <c r="L93" s="5" t="n">
        <v>0</v>
      </c>
    </row>
    <row r="94">
      <c r="A94" t="inlineStr">
        <is>
          <t>AREQUIPA</t>
        </is>
      </c>
      <c r="B94" t="inlineStr">
        <is>
          <t>AREQUIPA</t>
        </is>
      </c>
      <c r="C94" t="inlineStr">
        <is>
          <t>CERRO COLORADO</t>
        </is>
      </c>
      <c r="D94" t="inlineStr">
        <is>
          <t>040104</t>
        </is>
      </c>
      <c r="E94" s="5" t="n">
        <v>7376676.3</v>
      </c>
      <c r="F94" t="n">
        <v>4</v>
      </c>
      <c r="G94" t="n">
        <v>4</v>
      </c>
      <c r="H94" t="n">
        <v>2</v>
      </c>
      <c r="I94" t="n">
        <v>3.33</v>
      </c>
      <c r="J94" s="5" t="n">
        <v>29506705.2</v>
      </c>
      <c r="K94" s="5" t="n">
        <v>29506705.2</v>
      </c>
      <c r="L94" s="5" t="n">
        <v>14753352.6</v>
      </c>
    </row>
    <row r="95">
      <c r="A95" t="inlineStr">
        <is>
          <t>LIMA</t>
        </is>
      </c>
      <c r="B95" t="inlineStr">
        <is>
          <t>LIMA</t>
        </is>
      </c>
      <c r="C95" t="inlineStr">
        <is>
          <t>SAN MIGUEL</t>
        </is>
      </c>
      <c r="D95" t="inlineStr">
        <is>
          <t>150136</t>
        </is>
      </c>
      <c r="E95" s="5" t="n">
        <v>7101508.83</v>
      </c>
      <c r="F95" t="n">
        <v>1</v>
      </c>
      <c r="G95" t="n">
        <v>4</v>
      </c>
      <c r="I95" t="n">
        <v>2.5</v>
      </c>
      <c r="J95" s="5" t="n">
        <v>7101508.83</v>
      </c>
      <c r="K95" s="5" t="n">
        <v>28406035.32</v>
      </c>
      <c r="L95" s="5" t="n">
        <v>0</v>
      </c>
    </row>
    <row r="96">
      <c r="A96" t="inlineStr">
        <is>
          <t>LIMA</t>
        </is>
      </c>
      <c r="B96" t="inlineStr">
        <is>
          <t>HUAROCHIRI</t>
        </is>
      </c>
      <c r="C96" t="inlineStr">
        <is>
          <t>CALLAHUANCA</t>
        </is>
      </c>
      <c r="D96" t="inlineStr">
        <is>
          <t>150703</t>
        </is>
      </c>
      <c r="E96" s="5" t="n">
        <v>7058687.73</v>
      </c>
      <c r="F96" t="n">
        <v>4</v>
      </c>
      <c r="G96" t="n">
        <v>1</v>
      </c>
      <c r="H96" t="n">
        <v>4</v>
      </c>
      <c r="I96" t="n">
        <v>3</v>
      </c>
      <c r="J96" s="5" t="n">
        <v>28234750.92</v>
      </c>
      <c r="K96" s="5" t="n">
        <v>7058687.73</v>
      </c>
      <c r="L96" s="5" t="n">
        <v>28234750.92</v>
      </c>
    </row>
    <row r="97">
      <c r="A97" t="inlineStr">
        <is>
          <t>AREQUIPA</t>
        </is>
      </c>
      <c r="B97" t="inlineStr">
        <is>
          <t>AREQUIPA</t>
        </is>
      </c>
      <c r="C97" t="inlineStr">
        <is>
          <t>SACHACA</t>
        </is>
      </c>
      <c r="D97" t="inlineStr">
        <is>
          <t>040117</t>
        </is>
      </c>
      <c r="E97" s="5" t="n">
        <v>6986492.93</v>
      </c>
      <c r="F97" t="n">
        <v>4</v>
      </c>
      <c r="G97" t="n">
        <v>5</v>
      </c>
      <c r="I97" t="n">
        <v>4.5</v>
      </c>
      <c r="J97" s="5" t="n">
        <v>27945971.72</v>
      </c>
      <c r="K97" s="5" t="n">
        <v>34932464.65</v>
      </c>
      <c r="L97" s="5" t="n">
        <v>0</v>
      </c>
    </row>
    <row r="98">
      <c r="A98" t="inlineStr">
        <is>
          <t>LIMA</t>
        </is>
      </c>
      <c r="B98" t="inlineStr">
        <is>
          <t>HUAURA</t>
        </is>
      </c>
      <c r="C98" t="inlineStr">
        <is>
          <t>HUACHO</t>
        </is>
      </c>
      <c r="D98" t="inlineStr">
        <is>
          <t>150801</t>
        </is>
      </c>
      <c r="E98" s="5" t="n">
        <v>6964786.24</v>
      </c>
      <c r="F98" t="n">
        <v>3</v>
      </c>
      <c r="G98" t="n">
        <v>3</v>
      </c>
      <c r="I98" t="n">
        <v>3</v>
      </c>
      <c r="J98" s="5" t="n">
        <v>20894358.72</v>
      </c>
      <c r="K98" s="5" t="n">
        <v>20894358.72</v>
      </c>
      <c r="L98" s="5" t="n">
        <v>0</v>
      </c>
    </row>
    <row r="99">
      <c r="A99" t="inlineStr">
        <is>
          <t>LIMA</t>
        </is>
      </c>
      <c r="B99" t="inlineStr">
        <is>
          <t>LIMA</t>
        </is>
      </c>
      <c r="C99" t="inlineStr">
        <is>
          <t>LA MOLINA</t>
        </is>
      </c>
      <c r="D99" t="inlineStr">
        <is>
          <t>150114</t>
        </is>
      </c>
      <c r="E99" s="5" t="n">
        <v>6825171.5</v>
      </c>
      <c r="F99" t="n">
        <v>4</v>
      </c>
      <c r="G99" t="n">
        <v>3</v>
      </c>
      <c r="I99" t="n">
        <v>3.5</v>
      </c>
      <c r="J99" s="5" t="n">
        <v>27300686</v>
      </c>
      <c r="K99" s="5" t="n">
        <v>20475514.5</v>
      </c>
      <c r="L99" s="5" t="n">
        <v>0</v>
      </c>
    </row>
    <row r="100">
      <c r="A100" t="inlineStr">
        <is>
          <t>MADRE DE DIOS</t>
        </is>
      </c>
      <c r="B100" t="inlineStr">
        <is>
          <t>TAMBOPATA</t>
        </is>
      </c>
      <c r="C100" t="inlineStr">
        <is>
          <t>TAMBOPATA</t>
        </is>
      </c>
      <c r="D100" t="inlineStr">
        <is>
          <t>170101</t>
        </is>
      </c>
      <c r="E100" s="5" t="n">
        <v>6401201.32</v>
      </c>
      <c r="F100" t="n">
        <v>3</v>
      </c>
      <c r="G100" t="n">
        <v>2</v>
      </c>
      <c r="H100" t="n">
        <v>2</v>
      </c>
      <c r="I100" t="n">
        <v>2.33</v>
      </c>
      <c r="J100" s="5" t="n">
        <v>19203603.96</v>
      </c>
      <c r="K100" s="5" t="n">
        <v>12802402.64</v>
      </c>
      <c r="L100" s="5" t="n">
        <v>12802402.64</v>
      </c>
    </row>
    <row r="101">
      <c r="A101" t="inlineStr">
        <is>
          <t>PIURA</t>
        </is>
      </c>
      <c r="B101" t="inlineStr">
        <is>
          <t>PAITA</t>
        </is>
      </c>
      <c r="C101" t="inlineStr">
        <is>
          <t>PAITA</t>
        </is>
      </c>
      <c r="D101" t="inlineStr">
        <is>
          <t>200501</t>
        </is>
      </c>
      <c r="E101" s="5" t="n">
        <v>6308513.99</v>
      </c>
      <c r="F101" t="n">
        <v>2</v>
      </c>
      <c r="G101" t="n">
        <v>4</v>
      </c>
      <c r="I101" t="n">
        <v>3</v>
      </c>
      <c r="J101" s="5" t="n">
        <v>12617027.98</v>
      </c>
      <c r="K101" s="5" t="n">
        <v>25234055.96</v>
      </c>
      <c r="L101" s="5" t="n">
        <v>0</v>
      </c>
    </row>
    <row r="102">
      <c r="A102" t="inlineStr">
        <is>
          <t>LIMA</t>
        </is>
      </c>
      <c r="B102" t="inlineStr">
        <is>
          <t>LIMA</t>
        </is>
      </c>
      <c r="C102" t="inlineStr">
        <is>
          <t>CARABAYLLO</t>
        </is>
      </c>
      <c r="D102" t="inlineStr">
        <is>
          <t>150106</t>
        </is>
      </c>
      <c r="E102" s="5" t="n">
        <v>6297059.95</v>
      </c>
      <c r="F102" t="n">
        <v>5</v>
      </c>
      <c r="G102" t="n">
        <v>3</v>
      </c>
      <c r="I102" t="n">
        <v>4</v>
      </c>
      <c r="J102" s="5" t="n">
        <v>31485299.75</v>
      </c>
      <c r="K102" s="5" t="n">
        <v>18891179.85</v>
      </c>
      <c r="L102" s="5" t="n">
        <v>0</v>
      </c>
    </row>
    <row r="103">
      <c r="A103" t="inlineStr">
        <is>
          <t>PIURA</t>
        </is>
      </c>
      <c r="B103" t="inlineStr">
        <is>
          <t>SULLANA</t>
        </is>
      </c>
      <c r="C103" t="inlineStr">
        <is>
          <t>SULLANA</t>
        </is>
      </c>
      <c r="D103" t="inlineStr">
        <is>
          <t>200601</t>
        </is>
      </c>
      <c r="E103" s="5" t="n">
        <v>6121076.05</v>
      </c>
      <c r="F103" t="n">
        <v>2</v>
      </c>
      <c r="G103" t="n">
        <v>5</v>
      </c>
      <c r="H103" t="n">
        <v>2</v>
      </c>
      <c r="I103" t="n">
        <v>3</v>
      </c>
      <c r="J103" s="5" t="n">
        <v>12242152.1</v>
      </c>
      <c r="K103" s="5" t="n">
        <v>30605380.25</v>
      </c>
      <c r="L103" s="5" t="n">
        <v>12242152.1</v>
      </c>
    </row>
    <row r="104">
      <c r="A104" t="inlineStr">
        <is>
          <t>PUNO</t>
        </is>
      </c>
      <c r="B104" t="inlineStr">
        <is>
          <t>PUNO</t>
        </is>
      </c>
      <c r="C104" t="inlineStr">
        <is>
          <t>PUNO</t>
        </is>
      </c>
      <c r="D104" t="inlineStr">
        <is>
          <t>210101</t>
        </is>
      </c>
      <c r="E104" s="5" t="n">
        <v>5997760.6</v>
      </c>
      <c r="F104" t="n">
        <v>4</v>
      </c>
      <c r="G104" t="n">
        <v>3</v>
      </c>
      <c r="H104" t="n">
        <v>3</v>
      </c>
      <c r="I104" t="n">
        <v>3.33</v>
      </c>
      <c r="J104" s="5" t="n">
        <v>23991042.4</v>
      </c>
      <c r="K104" s="5" t="n">
        <v>17993281.8</v>
      </c>
      <c r="L104" s="5" t="n">
        <v>17993281.8</v>
      </c>
    </row>
    <row r="105">
      <c r="A105" t="inlineStr">
        <is>
          <t>ICA</t>
        </is>
      </c>
      <c r="B105" t="inlineStr">
        <is>
          <t>PISCO</t>
        </is>
      </c>
      <c r="C105" t="inlineStr">
        <is>
          <t>SAN ANDRES</t>
        </is>
      </c>
      <c r="D105" t="inlineStr">
        <is>
          <t>110506</t>
        </is>
      </c>
      <c r="E105" s="5" t="n">
        <v>5980776.16</v>
      </c>
      <c r="F105" t="n">
        <v>3</v>
      </c>
      <c r="G105" t="n">
        <v>4</v>
      </c>
      <c r="I105" t="n">
        <v>3.5</v>
      </c>
      <c r="J105" s="5" t="n">
        <v>17942328.48</v>
      </c>
      <c r="K105" s="5" t="n">
        <v>23923104.64</v>
      </c>
      <c r="L105" s="5" t="n">
        <v>0</v>
      </c>
    </row>
    <row r="106">
      <c r="A106" t="inlineStr">
        <is>
          <t>LIMA</t>
        </is>
      </c>
      <c r="B106" t="inlineStr">
        <is>
          <t>LIMA</t>
        </is>
      </c>
      <c r="C106" t="inlineStr">
        <is>
          <t>JESUS MARIA</t>
        </is>
      </c>
      <c r="D106" t="inlineStr">
        <is>
          <t>150113</t>
        </is>
      </c>
      <c r="E106" s="5" t="n">
        <v>5947442.55</v>
      </c>
      <c r="F106" t="n">
        <v>1</v>
      </c>
      <c r="G106" t="n">
        <v>4</v>
      </c>
      <c r="I106" t="n">
        <v>2.5</v>
      </c>
      <c r="J106" s="5" t="n">
        <v>5947442.55</v>
      </c>
      <c r="K106" s="5" t="n">
        <v>23789770.2</v>
      </c>
      <c r="L106" s="5" t="n">
        <v>0</v>
      </c>
    </row>
    <row r="107">
      <c r="A107" t="inlineStr">
        <is>
          <t>LA LIBERTAD</t>
        </is>
      </c>
      <c r="B107" t="inlineStr">
        <is>
          <t>TRUJILLO</t>
        </is>
      </c>
      <c r="C107" t="inlineStr">
        <is>
          <t>MOCHE</t>
        </is>
      </c>
      <c r="D107" t="inlineStr">
        <is>
          <t>130107</t>
        </is>
      </c>
      <c r="E107" s="5" t="n">
        <v>5788489.67</v>
      </c>
      <c r="F107" t="n">
        <v>1</v>
      </c>
      <c r="G107" t="n">
        <v>4</v>
      </c>
      <c r="I107" t="n">
        <v>2.5</v>
      </c>
      <c r="J107" s="5" t="n">
        <v>5788489.67</v>
      </c>
      <c r="K107" s="5" t="n">
        <v>23153958.68</v>
      </c>
      <c r="L107" s="5" t="n">
        <v>0</v>
      </c>
    </row>
    <row r="108">
      <c r="A108" t="inlineStr">
        <is>
          <t>CUSCO</t>
        </is>
      </c>
      <c r="B108" t="inlineStr">
        <is>
          <t>CUSCO</t>
        </is>
      </c>
      <c r="C108" t="inlineStr">
        <is>
          <t>SAN JERONIMO</t>
        </is>
      </c>
      <c r="D108" t="inlineStr">
        <is>
          <t>080104</t>
        </is>
      </c>
      <c r="E108" s="5" t="n">
        <v>5634574.11</v>
      </c>
      <c r="F108" t="n">
        <v>4</v>
      </c>
      <c r="G108" t="n">
        <v>2</v>
      </c>
      <c r="H108" t="n">
        <v>3</v>
      </c>
      <c r="I108" t="n">
        <v>3</v>
      </c>
      <c r="J108" s="5" t="n">
        <v>22538296.44</v>
      </c>
      <c r="K108" s="5" t="n">
        <v>11269148.22</v>
      </c>
      <c r="L108" s="5" t="n">
        <v>16903722.33</v>
      </c>
    </row>
    <row r="109">
      <c r="A109" t="inlineStr">
        <is>
          <t>LIMA</t>
        </is>
      </c>
      <c r="B109" t="inlineStr">
        <is>
          <t>LIMA</t>
        </is>
      </c>
      <c r="C109" t="inlineStr">
        <is>
          <t>CHACLACAYO</t>
        </is>
      </c>
      <c r="D109" t="inlineStr">
        <is>
          <t>150107</t>
        </is>
      </c>
      <c r="E109" s="5" t="n">
        <v>5492580.48</v>
      </c>
      <c r="F109" t="n">
        <v>4</v>
      </c>
      <c r="G109" t="n">
        <v>4</v>
      </c>
      <c r="I109" t="n">
        <v>4</v>
      </c>
      <c r="J109" s="5" t="n">
        <v>21970321.92</v>
      </c>
      <c r="K109" s="5" t="n">
        <v>21970321.92</v>
      </c>
      <c r="L109" s="5" t="n">
        <v>0</v>
      </c>
    </row>
    <row r="110">
      <c r="A110" t="inlineStr">
        <is>
          <t>LIMA</t>
        </is>
      </c>
      <c r="B110" t="inlineStr">
        <is>
          <t>LIMA</t>
        </is>
      </c>
      <c r="C110" t="inlineStr">
        <is>
          <t>LINCE</t>
        </is>
      </c>
      <c r="D110" t="inlineStr">
        <is>
          <t>150116</t>
        </is>
      </c>
      <c r="E110" s="5" t="n">
        <v>5443353.44</v>
      </c>
      <c r="F110" t="n">
        <v>1</v>
      </c>
      <c r="G110" t="n">
        <v>4</v>
      </c>
      <c r="I110" t="n">
        <v>2.5</v>
      </c>
      <c r="J110" s="5" t="n">
        <v>5443353.44</v>
      </c>
      <c r="K110" s="5" t="n">
        <v>21773413.76</v>
      </c>
      <c r="L110" s="5" t="n">
        <v>0</v>
      </c>
    </row>
    <row r="111">
      <c r="A111" t="inlineStr">
        <is>
          <t>AMAZONAS</t>
        </is>
      </c>
      <c r="B111" t="inlineStr">
        <is>
          <t>CONDORCANQUI</t>
        </is>
      </c>
      <c r="C111" t="inlineStr">
        <is>
          <t>EL CENEPA</t>
        </is>
      </c>
      <c r="D111" t="inlineStr">
        <is>
          <t>010402</t>
        </is>
      </c>
      <c r="E111" s="5" t="n">
        <v>5253989.15</v>
      </c>
      <c r="F111" t="n">
        <v>3</v>
      </c>
      <c r="G111" t="n">
        <v>1</v>
      </c>
      <c r="H111" t="n">
        <v>2</v>
      </c>
      <c r="I111" t="n">
        <v>2</v>
      </c>
      <c r="J111" s="5" t="n">
        <v>15761967.45</v>
      </c>
      <c r="K111" s="5" t="n">
        <v>5253989.15</v>
      </c>
      <c r="L111" s="5" t="n">
        <v>10507978.3</v>
      </c>
    </row>
    <row r="112">
      <c r="A112" t="inlineStr">
        <is>
          <t>LIMA</t>
        </is>
      </c>
      <c r="B112" t="inlineStr">
        <is>
          <t>LIMA</t>
        </is>
      </c>
      <c r="C112" t="inlineStr">
        <is>
          <t>INDEPENDENCIA</t>
        </is>
      </c>
      <c r="D112" t="inlineStr">
        <is>
          <t>150112</t>
        </is>
      </c>
      <c r="E112" s="5" t="n">
        <v>5204471.8</v>
      </c>
      <c r="F112" t="n">
        <v>5</v>
      </c>
      <c r="G112" t="n">
        <v>2</v>
      </c>
      <c r="I112" t="n">
        <v>3.5</v>
      </c>
      <c r="J112" s="5" t="n">
        <v>26022359</v>
      </c>
      <c r="K112" s="5" t="n">
        <v>10408943.6</v>
      </c>
      <c r="L112" s="5" t="n">
        <v>0</v>
      </c>
    </row>
    <row r="113">
      <c r="A113" t="inlineStr">
        <is>
          <t>CALLAO</t>
        </is>
      </c>
      <c r="B113" t="inlineStr">
        <is>
          <t>CALLAO</t>
        </is>
      </c>
      <c r="C113" t="inlineStr">
        <is>
          <t>VENTANILLA</t>
        </is>
      </c>
      <c r="D113" t="inlineStr">
        <is>
          <t>070106</t>
        </is>
      </c>
      <c r="E113" s="5" t="n">
        <v>5033686.73</v>
      </c>
      <c r="F113" t="n">
        <v>3</v>
      </c>
      <c r="G113" t="n">
        <v>3</v>
      </c>
      <c r="I113" t="n">
        <v>3</v>
      </c>
      <c r="J113" s="5" t="n">
        <v>15101060.19</v>
      </c>
      <c r="K113" s="5" t="n">
        <v>15101060.19</v>
      </c>
      <c r="L113" s="5" t="n">
        <v>0</v>
      </c>
    </row>
    <row r="114">
      <c r="A114" t="inlineStr">
        <is>
          <t>LIMA</t>
        </is>
      </c>
      <c r="B114" t="inlineStr">
        <is>
          <t>BARRANCA</t>
        </is>
      </c>
      <c r="C114" t="inlineStr">
        <is>
          <t>BARRANCA</t>
        </is>
      </c>
      <c r="D114" t="inlineStr">
        <is>
          <t>150201</t>
        </is>
      </c>
      <c r="E114" s="5" t="n">
        <v>4989924.67</v>
      </c>
      <c r="F114" t="n">
        <v>3</v>
      </c>
      <c r="G114" t="n">
        <v>4</v>
      </c>
      <c r="I114" t="n">
        <v>3.5</v>
      </c>
      <c r="J114" s="5" t="n">
        <v>14969774.01</v>
      </c>
      <c r="K114" s="5" t="n">
        <v>19959698.68</v>
      </c>
      <c r="L114" s="5" t="n">
        <v>0</v>
      </c>
    </row>
    <row r="115">
      <c r="A115" t="inlineStr">
        <is>
          <t>SAN MARTIN</t>
        </is>
      </c>
      <c r="B115" t="inlineStr">
        <is>
          <t>MOYOBAMBA</t>
        </is>
      </c>
      <c r="C115" t="inlineStr">
        <is>
          <t>MOYOBAMBA</t>
        </is>
      </c>
      <c r="D115" t="inlineStr">
        <is>
          <t>220101</t>
        </is>
      </c>
      <c r="E115" s="5" t="n">
        <v>4832092.18</v>
      </c>
      <c r="F115" t="n">
        <v>4</v>
      </c>
      <c r="G115" t="n">
        <v>4</v>
      </c>
      <c r="H115" t="n">
        <v>2</v>
      </c>
      <c r="I115" t="n">
        <v>3.33</v>
      </c>
      <c r="J115" s="5" t="n">
        <v>19328368.72</v>
      </c>
      <c r="K115" s="5" t="n">
        <v>19328368.72</v>
      </c>
      <c r="L115" s="5" t="n">
        <v>9664184.359999999</v>
      </c>
    </row>
    <row r="116">
      <c r="A116" t="inlineStr">
        <is>
          <t>LIMA</t>
        </is>
      </c>
      <c r="B116" t="inlineStr">
        <is>
          <t>LIMA</t>
        </is>
      </c>
      <c r="C116" t="inlineStr">
        <is>
          <t>SAN JUAN DE MIRAFLORES</t>
        </is>
      </c>
      <c r="D116" t="inlineStr">
        <is>
          <t>150133</t>
        </is>
      </c>
      <c r="E116" s="5" t="n">
        <v>4829407.41</v>
      </c>
      <c r="F116" t="n">
        <v>2</v>
      </c>
      <c r="G116" t="n">
        <v>3</v>
      </c>
      <c r="I116" t="n">
        <v>2.5</v>
      </c>
      <c r="J116" s="5" t="n">
        <v>9658814.82</v>
      </c>
      <c r="K116" s="5" t="n">
        <v>14488222.23</v>
      </c>
      <c r="L116" s="5" t="n">
        <v>0</v>
      </c>
    </row>
    <row r="117">
      <c r="A117" t="inlineStr">
        <is>
          <t>LIMA</t>
        </is>
      </c>
      <c r="B117" t="inlineStr">
        <is>
          <t>HUARAL</t>
        </is>
      </c>
      <c r="C117" t="inlineStr">
        <is>
          <t>HUARAL</t>
        </is>
      </c>
      <c r="D117" t="inlineStr">
        <is>
          <t>150601</t>
        </is>
      </c>
      <c r="E117" s="5" t="n">
        <v>4669138.95</v>
      </c>
      <c r="F117" t="n">
        <v>4</v>
      </c>
      <c r="G117" t="n">
        <v>4</v>
      </c>
      <c r="I117" t="n">
        <v>4</v>
      </c>
      <c r="J117" s="5" t="n">
        <v>18676555.8</v>
      </c>
      <c r="K117" s="5" t="n">
        <v>18676555.8</v>
      </c>
      <c r="L117" s="5" t="n">
        <v>0</v>
      </c>
    </row>
    <row r="118">
      <c r="A118" t="inlineStr">
        <is>
          <t>LIMA</t>
        </is>
      </c>
      <c r="B118" t="inlineStr">
        <is>
          <t>LIMA</t>
        </is>
      </c>
      <c r="C118" t="inlineStr">
        <is>
          <t>BREÑA</t>
        </is>
      </c>
      <c r="D118" t="inlineStr">
        <is>
          <t>150105</t>
        </is>
      </c>
      <c r="E118" s="5" t="n">
        <v>4313640.31</v>
      </c>
      <c r="F118" t="n">
        <v>1</v>
      </c>
      <c r="G118" t="n">
        <v>3</v>
      </c>
      <c r="I118" t="n">
        <v>2</v>
      </c>
      <c r="J118" s="5" t="n">
        <v>4313640.31</v>
      </c>
      <c r="K118" s="5" t="n">
        <v>12940920.93</v>
      </c>
      <c r="L118" s="5" t="n">
        <v>0</v>
      </c>
    </row>
    <row r="119">
      <c r="A119" t="inlineStr">
        <is>
          <t>AMAZONAS</t>
        </is>
      </c>
      <c r="B119" t="inlineStr">
        <is>
          <t>UTCUBAMBA</t>
        </is>
      </c>
      <c r="C119" t="inlineStr">
        <is>
          <t>BAGUA GRANDE</t>
        </is>
      </c>
      <c r="D119" t="inlineStr">
        <is>
          <t>010701</t>
        </is>
      </c>
      <c r="E119" s="5" t="n">
        <v>4251805.43</v>
      </c>
      <c r="F119" t="n">
        <v>5</v>
      </c>
      <c r="G119" t="n">
        <v>3</v>
      </c>
      <c r="H119" t="n">
        <v>3</v>
      </c>
      <c r="I119" t="n">
        <v>3.67</v>
      </c>
      <c r="J119" s="5" t="n">
        <v>21259027.15</v>
      </c>
      <c r="K119" s="5" t="n">
        <v>12755416.29</v>
      </c>
      <c r="L119" s="5" t="n">
        <v>12755416.29</v>
      </c>
    </row>
    <row r="120">
      <c r="A120" t="inlineStr">
        <is>
          <t>APURIMAC</t>
        </is>
      </c>
      <c r="B120" t="inlineStr">
        <is>
          <t>ABANCAY</t>
        </is>
      </c>
      <c r="C120" t="inlineStr">
        <is>
          <t>ABANCAY</t>
        </is>
      </c>
      <c r="D120" t="inlineStr">
        <is>
          <t>030101</t>
        </is>
      </c>
      <c r="E120" s="5" t="n">
        <v>4158074.12</v>
      </c>
      <c r="F120" t="n">
        <v>4</v>
      </c>
      <c r="G120" t="n">
        <v>2</v>
      </c>
      <c r="H120" t="n">
        <v>3</v>
      </c>
      <c r="I120" t="n">
        <v>3</v>
      </c>
      <c r="J120" s="5" t="n">
        <v>16632296.48</v>
      </c>
      <c r="K120" s="5" t="n">
        <v>8316148.24</v>
      </c>
      <c r="L120" s="5" t="n">
        <v>12474222.36</v>
      </c>
    </row>
    <row r="121">
      <c r="A121" t="inlineStr">
        <is>
          <t>LIMA</t>
        </is>
      </c>
      <c r="B121" t="inlineStr">
        <is>
          <t>LIMA</t>
        </is>
      </c>
      <c r="C121" t="inlineStr">
        <is>
          <t>SANTA ANITA</t>
        </is>
      </c>
      <c r="D121" t="inlineStr">
        <is>
          <t>150137</t>
        </is>
      </c>
      <c r="E121" s="5" t="n">
        <v>4125217.66</v>
      </c>
      <c r="F121" t="n">
        <v>2</v>
      </c>
      <c r="G121" t="n">
        <v>4</v>
      </c>
      <c r="I121" t="n">
        <v>3</v>
      </c>
      <c r="J121" s="5" t="n">
        <v>8250435.32</v>
      </c>
      <c r="K121" s="5" t="n">
        <v>16500870.64</v>
      </c>
      <c r="L121" s="5" t="n">
        <v>0</v>
      </c>
    </row>
    <row r="122">
      <c r="A122" t="inlineStr">
        <is>
          <t>LIMA</t>
        </is>
      </c>
      <c r="B122" t="inlineStr">
        <is>
          <t>LIMA</t>
        </is>
      </c>
      <c r="C122" t="inlineStr">
        <is>
          <t>VILLA MARIA DEL TRIUNFO</t>
        </is>
      </c>
      <c r="D122" t="inlineStr">
        <is>
          <t>150143</t>
        </is>
      </c>
      <c r="E122" s="5" t="n">
        <v>3962542.85</v>
      </c>
      <c r="F122" t="n">
        <v>4</v>
      </c>
      <c r="G122" t="n">
        <v>1</v>
      </c>
      <c r="I122" t="n">
        <v>2.5</v>
      </c>
      <c r="J122" s="5" t="n">
        <v>15850171.4</v>
      </c>
      <c r="K122" s="5" t="n">
        <v>3962542.85</v>
      </c>
      <c r="L122" s="5" t="n">
        <v>0</v>
      </c>
    </row>
    <row r="123">
      <c r="A123" t="inlineStr">
        <is>
          <t>LIMA</t>
        </is>
      </c>
      <c r="B123" t="inlineStr">
        <is>
          <t>LIMA</t>
        </is>
      </c>
      <c r="C123" t="inlineStr">
        <is>
          <t>MAGDALENA VIEJA</t>
        </is>
      </c>
      <c r="D123" t="inlineStr">
        <is>
          <t>150121</t>
        </is>
      </c>
      <c r="E123" s="5" t="n">
        <v>3804674.92</v>
      </c>
      <c r="F123" t="n">
        <v>1</v>
      </c>
      <c r="G123" t="n">
        <v>4</v>
      </c>
      <c r="I123" t="n">
        <v>2.5</v>
      </c>
      <c r="J123" s="5" t="n">
        <v>3804674.92</v>
      </c>
      <c r="K123" s="5" t="n">
        <v>15218699.68</v>
      </c>
      <c r="L123" s="5" t="n">
        <v>0</v>
      </c>
    </row>
    <row r="124">
      <c r="A124" t="inlineStr">
        <is>
          <t>ICA</t>
        </is>
      </c>
      <c r="B124" t="inlineStr">
        <is>
          <t>PISCO</t>
        </is>
      </c>
      <c r="C124" t="inlineStr">
        <is>
          <t>PISCO</t>
        </is>
      </c>
      <c r="D124" t="inlineStr">
        <is>
          <t>110501</t>
        </is>
      </c>
      <c r="E124" s="5" t="n">
        <v>3579129.85</v>
      </c>
      <c r="F124" t="n">
        <v>3</v>
      </c>
      <c r="G124" t="n">
        <v>5</v>
      </c>
      <c r="I124" t="n">
        <v>4</v>
      </c>
      <c r="J124" s="5" t="n">
        <v>10737389.55</v>
      </c>
      <c r="K124" s="5" t="n">
        <v>17895649.25</v>
      </c>
      <c r="L124" s="5" t="n">
        <v>0</v>
      </c>
    </row>
    <row r="125">
      <c r="A125" t="inlineStr">
        <is>
          <t>JUNIN</t>
        </is>
      </c>
      <c r="B125" t="inlineStr">
        <is>
          <t>CHANCHAMAYO</t>
        </is>
      </c>
      <c r="C125" t="inlineStr">
        <is>
          <t>CHANCHAMAYO</t>
        </is>
      </c>
      <c r="D125" t="inlineStr">
        <is>
          <t>120301</t>
        </is>
      </c>
      <c r="E125" s="5" t="n">
        <v>3192604.98</v>
      </c>
      <c r="F125" t="n">
        <v>5</v>
      </c>
      <c r="G125" t="n">
        <v>2</v>
      </c>
      <c r="H125" t="n">
        <v>3</v>
      </c>
      <c r="I125" t="n">
        <v>3.33</v>
      </c>
      <c r="J125" s="5" t="n">
        <v>15963024.9</v>
      </c>
      <c r="K125" s="5" t="n">
        <v>6385209.96</v>
      </c>
      <c r="L125" s="5" t="n">
        <v>9577814.939999999</v>
      </c>
    </row>
    <row r="126">
      <c r="A126" t="inlineStr">
        <is>
          <t>AYACUCHO</t>
        </is>
      </c>
      <c r="B126" t="inlineStr">
        <is>
          <t>PARINACOCHAS</t>
        </is>
      </c>
      <c r="C126" t="inlineStr">
        <is>
          <t>SAN FRANCISCO DE RAVACAYCO</t>
        </is>
      </c>
      <c r="D126" t="inlineStr">
        <is>
          <t>050707</t>
        </is>
      </c>
      <c r="E126" s="5" t="n">
        <v>3056088.22</v>
      </c>
      <c r="F126" t="n">
        <v>4</v>
      </c>
      <c r="G126" t="n">
        <v>3</v>
      </c>
      <c r="H126" t="n">
        <v>4</v>
      </c>
      <c r="I126" t="n">
        <v>3.67</v>
      </c>
      <c r="J126" s="5" t="n">
        <v>12224352.88</v>
      </c>
      <c r="K126" s="5" t="n">
        <v>9168264.66</v>
      </c>
      <c r="L126" s="5" t="n">
        <v>12224352.88</v>
      </c>
    </row>
    <row r="127">
      <c r="A127" t="inlineStr">
        <is>
          <t>PIURA</t>
        </is>
      </c>
      <c r="B127" t="inlineStr">
        <is>
          <t>SECHURA</t>
        </is>
      </c>
      <c r="C127" t="inlineStr">
        <is>
          <t>SECHURA</t>
        </is>
      </c>
      <c r="D127" t="inlineStr">
        <is>
          <t>200801</t>
        </is>
      </c>
      <c r="E127" s="5" t="n">
        <v>3006678.51</v>
      </c>
      <c r="F127" t="n">
        <v>2</v>
      </c>
      <c r="G127" t="n">
        <v>5</v>
      </c>
      <c r="I127" t="n">
        <v>3.5</v>
      </c>
      <c r="J127" s="5" t="n">
        <v>6013357.02</v>
      </c>
      <c r="K127" s="5" t="n">
        <v>15033392.55</v>
      </c>
      <c r="L127" s="5" t="n">
        <v>0</v>
      </c>
    </row>
    <row r="128">
      <c r="A128" t="inlineStr">
        <is>
          <t>PIURA</t>
        </is>
      </c>
      <c r="B128" t="inlineStr">
        <is>
          <t>PAITA</t>
        </is>
      </c>
      <c r="C128" t="inlineStr">
        <is>
          <t>LA HUACA</t>
        </is>
      </c>
      <c r="D128" t="inlineStr">
        <is>
          <t>200505</t>
        </is>
      </c>
      <c r="E128" s="5" t="n">
        <v>2990388.08</v>
      </c>
      <c r="F128" t="n">
        <v>2</v>
      </c>
      <c r="G128" t="n">
        <v>5</v>
      </c>
      <c r="I128" t="n">
        <v>3.5</v>
      </c>
      <c r="J128" s="5" t="n">
        <v>5980776.16</v>
      </c>
      <c r="K128" s="5" t="n">
        <v>14951940.4</v>
      </c>
      <c r="L128" s="5" t="n">
        <v>0</v>
      </c>
    </row>
    <row r="129">
      <c r="A129" t="inlineStr">
        <is>
          <t>HUANUCO</t>
        </is>
      </c>
      <c r="B129" t="inlineStr">
        <is>
          <t>HUANUCO</t>
        </is>
      </c>
      <c r="C129" t="inlineStr">
        <is>
          <t>AMARILIS</t>
        </is>
      </c>
      <c r="D129" t="inlineStr">
        <is>
          <t>100102</t>
        </is>
      </c>
      <c r="E129" s="5" t="n">
        <v>2894034.25</v>
      </c>
      <c r="F129" t="n">
        <v>5</v>
      </c>
      <c r="G129" t="n">
        <v>2</v>
      </c>
      <c r="H129" t="n">
        <v>3</v>
      </c>
      <c r="I129" t="n">
        <v>3.33</v>
      </c>
      <c r="J129" s="5" t="n">
        <v>14470171.25</v>
      </c>
      <c r="K129" s="5" t="n">
        <v>5788068.5</v>
      </c>
      <c r="L129" s="5" t="n">
        <v>8682102.75</v>
      </c>
    </row>
    <row r="130">
      <c r="A130" t="inlineStr">
        <is>
          <t>AREQUIPA</t>
        </is>
      </c>
      <c r="B130" t="inlineStr">
        <is>
          <t>AREQUIPA</t>
        </is>
      </c>
      <c r="C130" t="inlineStr">
        <is>
          <t>YANAHUARA</t>
        </is>
      </c>
      <c r="D130" t="inlineStr">
        <is>
          <t>040126</t>
        </is>
      </c>
      <c r="E130" s="5" t="n">
        <v>2813767.51</v>
      </c>
      <c r="F130" t="n">
        <v>2</v>
      </c>
      <c r="G130" t="n">
        <v>5</v>
      </c>
      <c r="I130" t="n">
        <v>3.5</v>
      </c>
      <c r="J130" s="5" t="n">
        <v>5627535.02</v>
      </c>
      <c r="K130" s="5" t="n">
        <v>14068837.55</v>
      </c>
      <c r="L130" s="5" t="n">
        <v>0</v>
      </c>
    </row>
    <row r="131">
      <c r="A131" t="inlineStr">
        <is>
          <t>LIMA</t>
        </is>
      </c>
      <c r="B131" t="inlineStr">
        <is>
          <t>LIMA</t>
        </is>
      </c>
      <c r="C131" t="inlineStr">
        <is>
          <t>SURQUILLO</t>
        </is>
      </c>
      <c r="D131" t="inlineStr">
        <is>
          <t>150141</t>
        </is>
      </c>
      <c r="E131" s="5" t="n">
        <v>2749976.35</v>
      </c>
      <c r="F131" t="n">
        <v>1</v>
      </c>
      <c r="G131" t="n">
        <v>4</v>
      </c>
      <c r="I131" t="n">
        <v>2.5</v>
      </c>
      <c r="J131" s="5" t="n">
        <v>2749976.35</v>
      </c>
      <c r="K131" s="5" t="n">
        <v>10999905.4</v>
      </c>
      <c r="L131" s="5" t="n">
        <v>0</v>
      </c>
    </row>
    <row r="132">
      <c r="A132" t="inlineStr">
        <is>
          <t>AREQUIPA</t>
        </is>
      </c>
      <c r="B132" t="inlineStr">
        <is>
          <t>AREQUIPA</t>
        </is>
      </c>
      <c r="C132" t="inlineStr">
        <is>
          <t>PAUCARPATA</t>
        </is>
      </c>
      <c r="D132" t="inlineStr">
        <is>
          <t>040112</t>
        </is>
      </c>
      <c r="E132" s="5" t="n">
        <v>2746561.96</v>
      </c>
      <c r="F132" t="n">
        <v>5</v>
      </c>
      <c r="G132" t="n">
        <v>4</v>
      </c>
      <c r="H132" t="n">
        <v>2</v>
      </c>
      <c r="I132" t="n">
        <v>3.67</v>
      </c>
      <c r="J132" s="5" t="n">
        <v>13732809.8</v>
      </c>
      <c r="K132" s="5" t="n">
        <v>10986247.84</v>
      </c>
      <c r="L132" s="5" t="n">
        <v>5493123.92</v>
      </c>
    </row>
    <row r="133">
      <c r="A133" t="inlineStr">
        <is>
          <t>LIMA</t>
        </is>
      </c>
      <c r="B133" t="inlineStr">
        <is>
          <t>LIMA</t>
        </is>
      </c>
      <c r="C133" t="inlineStr">
        <is>
          <t>ANCON</t>
        </is>
      </c>
      <c r="D133" t="inlineStr">
        <is>
          <t>150102</t>
        </is>
      </c>
      <c r="E133" s="5" t="n">
        <v>2613492.28</v>
      </c>
      <c r="F133" t="n">
        <v>4</v>
      </c>
      <c r="G133" t="n">
        <v>2</v>
      </c>
      <c r="I133" t="n">
        <v>3</v>
      </c>
      <c r="J133" s="5" t="n">
        <v>10453969.12</v>
      </c>
      <c r="K133" s="5" t="n">
        <v>5226984.56</v>
      </c>
      <c r="L133" s="5" t="n">
        <v>0</v>
      </c>
    </row>
    <row r="134">
      <c r="A134" t="inlineStr">
        <is>
          <t>UCAYALI</t>
        </is>
      </c>
      <c r="B134" t="inlineStr">
        <is>
          <t>CORONEL PORTILLO</t>
        </is>
      </c>
      <c r="C134" t="inlineStr">
        <is>
          <t>YARINACOCHA</t>
        </is>
      </c>
      <c r="D134" t="inlineStr">
        <is>
          <t>250105</t>
        </is>
      </c>
      <c r="E134" s="5" t="n">
        <v>2612021.75</v>
      </c>
      <c r="F134" t="n">
        <v>1</v>
      </c>
      <c r="G134" t="n">
        <v>5</v>
      </c>
      <c r="H134" t="n">
        <v>2</v>
      </c>
      <c r="I134" t="n">
        <v>2.67</v>
      </c>
      <c r="J134" s="5" t="n">
        <v>2612021.75</v>
      </c>
      <c r="K134" s="5" t="n">
        <v>13060108.75</v>
      </c>
      <c r="L134" s="5" t="n">
        <v>5224043.5</v>
      </c>
    </row>
    <row r="135">
      <c r="A135" t="inlineStr">
        <is>
          <t>JUNIN</t>
        </is>
      </c>
      <c r="B135" t="inlineStr">
        <is>
          <t>TARMA</t>
        </is>
      </c>
      <c r="C135" t="inlineStr">
        <is>
          <t>TARMA</t>
        </is>
      </c>
      <c r="D135" t="inlineStr">
        <is>
          <t>120701</t>
        </is>
      </c>
      <c r="E135" s="5" t="n">
        <v>2570398.5</v>
      </c>
      <c r="F135" t="n">
        <v>5</v>
      </c>
      <c r="G135" t="n">
        <v>2</v>
      </c>
      <c r="H135" t="n">
        <v>5</v>
      </c>
      <c r="I135" t="n">
        <v>4</v>
      </c>
      <c r="J135" s="5" t="n">
        <v>12851992.5</v>
      </c>
      <c r="K135" s="5" t="n">
        <v>5140797</v>
      </c>
      <c r="L135" s="5" t="n">
        <v>12851992.5</v>
      </c>
    </row>
    <row r="136">
      <c r="A136" t="inlineStr">
        <is>
          <t>APURIMAC</t>
        </is>
      </c>
      <c r="B136" t="inlineStr">
        <is>
          <t>ANDAHUAYLAS</t>
        </is>
      </c>
      <c r="C136" t="inlineStr">
        <is>
          <t>ANDAHUAYLAS</t>
        </is>
      </c>
      <c r="D136" t="inlineStr">
        <is>
          <t>030201</t>
        </is>
      </c>
      <c r="E136" s="5" t="n">
        <v>2483048.05</v>
      </c>
      <c r="F136" t="n">
        <v>3</v>
      </c>
      <c r="G136" t="n">
        <v>3</v>
      </c>
      <c r="H136" t="n">
        <v>3</v>
      </c>
      <c r="I136" t="n">
        <v>3</v>
      </c>
      <c r="J136" s="5" t="n">
        <v>7449144.15</v>
      </c>
      <c r="K136" s="5" t="n">
        <v>7449144.15</v>
      </c>
      <c r="L136" s="5" t="n">
        <v>7449144.15</v>
      </c>
    </row>
    <row r="137">
      <c r="A137" t="inlineStr">
        <is>
          <t>LA LIBERTAD</t>
        </is>
      </c>
      <c r="B137" t="inlineStr">
        <is>
          <t>CHEPEN</t>
        </is>
      </c>
      <c r="C137" t="inlineStr">
        <is>
          <t>CHEPEN</t>
        </is>
      </c>
      <c r="D137" t="inlineStr">
        <is>
          <t>130401</t>
        </is>
      </c>
      <c r="E137" s="5" t="n">
        <v>2371477.38</v>
      </c>
      <c r="F137" t="n">
        <v>5</v>
      </c>
      <c r="G137" t="n">
        <v>4</v>
      </c>
      <c r="I137" t="n">
        <v>4.5</v>
      </c>
      <c r="J137" s="5" t="n">
        <v>11857386.9</v>
      </c>
      <c r="K137" s="5" t="n">
        <v>9485909.52</v>
      </c>
      <c r="L137" s="5" t="n">
        <v>0</v>
      </c>
    </row>
    <row r="138">
      <c r="A138" t="inlineStr">
        <is>
          <t>AREQUIPA</t>
        </is>
      </c>
      <c r="B138" t="inlineStr">
        <is>
          <t>AREQUIPA</t>
        </is>
      </c>
      <c r="C138" t="inlineStr">
        <is>
          <t>CAYMA</t>
        </is>
      </c>
      <c r="D138" t="inlineStr">
        <is>
          <t>040103</t>
        </is>
      </c>
      <c r="E138" s="5" t="n">
        <v>2356273.32</v>
      </c>
      <c r="F138" t="n">
        <v>4</v>
      </c>
      <c r="G138" t="n">
        <v>3</v>
      </c>
      <c r="H138" t="n">
        <v>4</v>
      </c>
      <c r="I138" t="n">
        <v>3.67</v>
      </c>
      <c r="J138" s="5" t="n">
        <v>9425093.279999999</v>
      </c>
      <c r="K138" s="5" t="n">
        <v>7068819.96</v>
      </c>
      <c r="L138" s="5" t="n">
        <v>9425093.279999999</v>
      </c>
    </row>
    <row r="139">
      <c r="A139" t="inlineStr">
        <is>
          <t>AMAZONAS</t>
        </is>
      </c>
      <c r="B139" t="inlineStr">
        <is>
          <t>CHACHAPOYAS</t>
        </is>
      </c>
      <c r="C139" t="inlineStr">
        <is>
          <t>CHACHAPOYAS</t>
        </is>
      </c>
      <c r="D139" t="inlineStr">
        <is>
          <t>010101</t>
        </is>
      </c>
      <c r="E139" s="5" t="n">
        <v>2317803.82</v>
      </c>
      <c r="F139" t="n">
        <v>4</v>
      </c>
      <c r="G139" t="n">
        <v>1</v>
      </c>
      <c r="H139" t="n">
        <v>2</v>
      </c>
      <c r="I139" t="n">
        <v>2.33</v>
      </c>
      <c r="J139" s="5" t="n">
        <v>9271215.279999999</v>
      </c>
      <c r="K139" s="5" t="n">
        <v>2317803.82</v>
      </c>
      <c r="L139" s="5" t="n">
        <v>4635607.64</v>
      </c>
    </row>
    <row r="140">
      <c r="A140" t="inlineStr">
        <is>
          <t>LIMA</t>
        </is>
      </c>
      <c r="B140" t="inlineStr">
        <is>
          <t>LIMA</t>
        </is>
      </c>
      <c r="C140" t="inlineStr">
        <is>
          <t>EL AGUSTINO</t>
        </is>
      </c>
      <c r="D140" t="inlineStr">
        <is>
          <t>150111</t>
        </is>
      </c>
      <c r="E140" s="5" t="n">
        <v>2260201.82</v>
      </c>
      <c r="F140" t="n">
        <v>2</v>
      </c>
      <c r="G140" t="n">
        <v>4</v>
      </c>
      <c r="I140" t="n">
        <v>3</v>
      </c>
      <c r="J140" s="5" t="n">
        <v>4520403.64</v>
      </c>
      <c r="K140" s="5" t="n">
        <v>9040807.279999999</v>
      </c>
      <c r="L140" s="5" t="n">
        <v>0</v>
      </c>
    </row>
    <row r="141">
      <c r="A141" t="inlineStr">
        <is>
          <t>CAJAMARCA</t>
        </is>
      </c>
      <c r="B141" t="inlineStr">
        <is>
          <t>CHOTA</t>
        </is>
      </c>
      <c r="C141" t="inlineStr">
        <is>
          <t>CHOTA</t>
        </is>
      </c>
      <c r="D141" t="inlineStr">
        <is>
          <t>060401</t>
        </is>
      </c>
      <c r="E141" s="5" t="n">
        <v>2228746.35</v>
      </c>
      <c r="F141" t="n">
        <v>4</v>
      </c>
      <c r="G141" t="n">
        <v>3</v>
      </c>
      <c r="H141" t="n">
        <v>3</v>
      </c>
      <c r="I141" t="n">
        <v>3.33</v>
      </c>
      <c r="J141" s="5" t="n">
        <v>8914985.4</v>
      </c>
      <c r="K141" s="5" t="n">
        <v>6686239.05</v>
      </c>
      <c r="L141" s="5" t="n">
        <v>6686239.05</v>
      </c>
    </row>
    <row r="142">
      <c r="A142" t="inlineStr">
        <is>
          <t>LA LIBERTAD</t>
        </is>
      </c>
      <c r="B142" t="inlineStr">
        <is>
          <t>SANCHEZ CARRION</t>
        </is>
      </c>
      <c r="C142" t="inlineStr">
        <is>
          <t>HUAMACHUCO</t>
        </is>
      </c>
      <c r="D142" t="inlineStr">
        <is>
          <t>130901</t>
        </is>
      </c>
      <c r="E142" s="5" t="n">
        <v>2221499.44</v>
      </c>
      <c r="F142" t="n">
        <v>4</v>
      </c>
      <c r="G142" t="n">
        <v>4</v>
      </c>
      <c r="H142" t="n">
        <v>3</v>
      </c>
      <c r="I142" t="n">
        <v>3.67</v>
      </c>
      <c r="J142" s="5" t="n">
        <v>8885997.76</v>
      </c>
      <c r="K142" s="5" t="n">
        <v>8885997.76</v>
      </c>
      <c r="L142" s="5" t="n">
        <v>6664498.32</v>
      </c>
    </row>
    <row r="143">
      <c r="A143" t="inlineStr">
        <is>
          <t>ICA</t>
        </is>
      </c>
      <c r="B143" t="inlineStr">
        <is>
          <t>NAZCA</t>
        </is>
      </c>
      <c r="C143" t="inlineStr">
        <is>
          <t>NAZCA</t>
        </is>
      </c>
      <c r="D143" t="inlineStr">
        <is>
          <t>110301</t>
        </is>
      </c>
      <c r="E143" s="5" t="n">
        <v>2139315</v>
      </c>
      <c r="F143" t="n">
        <v>3</v>
      </c>
      <c r="G143" t="n">
        <v>5</v>
      </c>
      <c r="I143" t="n">
        <v>4</v>
      </c>
      <c r="J143" s="5" t="n">
        <v>6417945</v>
      </c>
      <c r="K143" s="5" t="n">
        <v>10696575</v>
      </c>
      <c r="L143" s="5" t="n">
        <v>0</v>
      </c>
    </row>
    <row r="144">
      <c r="A144" t="inlineStr">
        <is>
          <t>LIMA</t>
        </is>
      </c>
      <c r="B144" t="inlineStr">
        <is>
          <t>LIMA</t>
        </is>
      </c>
      <c r="C144" t="inlineStr">
        <is>
          <t>BARRANCO</t>
        </is>
      </c>
      <c r="D144" t="inlineStr">
        <is>
          <t>150104</t>
        </is>
      </c>
      <c r="E144" s="5" t="n">
        <v>1971123.55</v>
      </c>
      <c r="F144" t="n">
        <v>1</v>
      </c>
      <c r="G144" t="n">
        <v>4</v>
      </c>
      <c r="I144" t="n">
        <v>2.5</v>
      </c>
      <c r="J144" s="5" t="n">
        <v>1971123.55</v>
      </c>
      <c r="K144" s="5" t="n">
        <v>7884494.2</v>
      </c>
      <c r="L144" s="5" t="n">
        <v>0</v>
      </c>
    </row>
    <row r="145">
      <c r="A145" t="inlineStr">
        <is>
          <t>AREQUIPA</t>
        </is>
      </c>
      <c r="B145" t="inlineStr">
        <is>
          <t>CAYLLOMA</t>
        </is>
      </c>
      <c r="C145" t="inlineStr">
        <is>
          <t>MAJES</t>
        </is>
      </c>
      <c r="D145" t="inlineStr">
        <is>
          <t>040520</t>
        </is>
      </c>
      <c r="E145" s="5" t="n">
        <v>1884118.73</v>
      </c>
      <c r="F145" t="n">
        <v>4</v>
      </c>
      <c r="G145" t="n">
        <v>4</v>
      </c>
      <c r="I145" t="n">
        <v>4</v>
      </c>
      <c r="J145" s="5" t="n">
        <v>7536474.92</v>
      </c>
      <c r="K145" s="5" t="n">
        <v>7536474.92</v>
      </c>
      <c r="L145" s="5" t="n">
        <v>0</v>
      </c>
    </row>
    <row r="146">
      <c r="A146" t="inlineStr">
        <is>
          <t>LIMA</t>
        </is>
      </c>
      <c r="B146" t="inlineStr">
        <is>
          <t>LIMA</t>
        </is>
      </c>
      <c r="C146" t="inlineStr">
        <is>
          <t>PACHACAMAC</t>
        </is>
      </c>
      <c r="D146" t="inlineStr">
        <is>
          <t>150123</t>
        </is>
      </c>
      <c r="E146" s="5" t="n">
        <v>1873170.35</v>
      </c>
      <c r="F146" t="n">
        <v>4</v>
      </c>
      <c r="G146" t="n">
        <v>2</v>
      </c>
      <c r="I146" t="n">
        <v>3</v>
      </c>
      <c r="J146" s="5" t="n">
        <v>7492681.4</v>
      </c>
      <c r="K146" s="5" t="n">
        <v>3746340.7</v>
      </c>
      <c r="L146" s="5" t="n">
        <v>0</v>
      </c>
    </row>
    <row r="147">
      <c r="A147" t="inlineStr">
        <is>
          <t>HUANUCO</t>
        </is>
      </c>
      <c r="B147" t="inlineStr">
        <is>
          <t>LEONCIO PRADO</t>
        </is>
      </c>
      <c r="C147" t="inlineStr">
        <is>
          <t>RUPA-RUPA</t>
        </is>
      </c>
      <c r="D147" t="inlineStr">
        <is>
          <t>100601</t>
        </is>
      </c>
      <c r="E147" s="5" t="n">
        <v>1872266.06</v>
      </c>
      <c r="F147" t="n">
        <v>4</v>
      </c>
      <c r="G147" t="n">
        <v>3</v>
      </c>
      <c r="H147" t="n">
        <v>2</v>
      </c>
      <c r="I147" t="n">
        <v>3</v>
      </c>
      <c r="J147" s="5" t="n">
        <v>7489064.24</v>
      </c>
      <c r="K147" s="5" t="n">
        <v>5616798.18</v>
      </c>
      <c r="L147" s="5" t="n">
        <v>3744532.12</v>
      </c>
    </row>
    <row r="148">
      <c r="A148" t="inlineStr">
        <is>
          <t>LAMBAYEQUE</t>
        </is>
      </c>
      <c r="B148" t="inlineStr">
        <is>
          <t>CHICLAYO</t>
        </is>
      </c>
      <c r="C148" t="inlineStr">
        <is>
          <t>JOSE LEONARDO ORTIZ</t>
        </is>
      </c>
      <c r="D148" t="inlineStr">
        <is>
          <t>140105</t>
        </is>
      </c>
      <c r="E148" s="5" t="n">
        <v>1855610.73</v>
      </c>
      <c r="F148" t="n">
        <v>1</v>
      </c>
      <c r="G148" t="n">
        <v>4</v>
      </c>
      <c r="I148" t="n">
        <v>2.5</v>
      </c>
      <c r="J148" s="5" t="n">
        <v>1855610.73</v>
      </c>
      <c r="K148" s="5" t="n">
        <v>7422442.92</v>
      </c>
      <c r="L148" s="5" t="n">
        <v>0</v>
      </c>
    </row>
    <row r="149">
      <c r="A149" t="inlineStr">
        <is>
          <t>LA LIBERTAD</t>
        </is>
      </c>
      <c r="B149" t="inlineStr">
        <is>
          <t>TRUJILLO</t>
        </is>
      </c>
      <c r="C149" t="inlineStr">
        <is>
          <t>EL PORVENIR</t>
        </is>
      </c>
      <c r="D149" t="inlineStr">
        <is>
          <t>130102</t>
        </is>
      </c>
      <c r="E149" s="5" t="n">
        <v>1809643.01</v>
      </c>
      <c r="F149" t="n">
        <v>5</v>
      </c>
      <c r="G149" t="n">
        <v>4</v>
      </c>
      <c r="I149" t="n">
        <v>4.5</v>
      </c>
      <c r="J149" s="5" t="n">
        <v>9048215.050000001</v>
      </c>
      <c r="K149" s="5" t="n">
        <v>7238572.04</v>
      </c>
      <c r="L149" s="5" t="n">
        <v>0</v>
      </c>
    </row>
    <row r="150">
      <c r="A150" t="inlineStr">
        <is>
          <t>LA LIBERTAD</t>
        </is>
      </c>
      <c r="B150" t="inlineStr">
        <is>
          <t>TRUJILLO</t>
        </is>
      </c>
      <c r="C150" t="inlineStr">
        <is>
          <t>LA ESPERANZA</t>
        </is>
      </c>
      <c r="D150" t="inlineStr">
        <is>
          <t>130105</t>
        </is>
      </c>
      <c r="E150" s="5" t="n">
        <v>1591878.81</v>
      </c>
      <c r="F150" t="n">
        <v>1</v>
      </c>
      <c r="G150" t="n">
        <v>4</v>
      </c>
      <c r="I150" t="n">
        <v>2.5</v>
      </c>
      <c r="J150" s="5" t="n">
        <v>1591878.81</v>
      </c>
      <c r="K150" s="5" t="n">
        <v>6367515.24</v>
      </c>
      <c r="L150" s="5" t="n">
        <v>0</v>
      </c>
    </row>
    <row r="151">
      <c r="A151" t="inlineStr">
        <is>
          <t>AREQUIPA</t>
        </is>
      </c>
      <c r="B151" t="inlineStr">
        <is>
          <t>CAMANA</t>
        </is>
      </c>
      <c r="C151" t="inlineStr">
        <is>
          <t>CAMANA</t>
        </is>
      </c>
      <c r="D151" t="inlineStr">
        <is>
          <t>040201</t>
        </is>
      </c>
      <c r="E151" s="5" t="n">
        <v>1581437.88</v>
      </c>
      <c r="F151" t="n">
        <v>4</v>
      </c>
      <c r="G151" t="n">
        <v>4</v>
      </c>
      <c r="I151" t="n">
        <v>4</v>
      </c>
      <c r="J151" s="5" t="n">
        <v>6325751.52</v>
      </c>
      <c r="K151" s="5" t="n">
        <v>6325751.52</v>
      </c>
      <c r="L151" s="5" t="n">
        <v>0</v>
      </c>
    </row>
    <row r="152">
      <c r="A152" t="inlineStr">
        <is>
          <t>CUSCO</t>
        </is>
      </c>
      <c r="B152" t="inlineStr">
        <is>
          <t>LA CONVENCION</t>
        </is>
      </c>
      <c r="C152" t="inlineStr">
        <is>
          <t>SANTA ANA</t>
        </is>
      </c>
      <c r="D152" t="inlineStr">
        <is>
          <t>080901</t>
        </is>
      </c>
      <c r="E152" s="5" t="n">
        <v>1541669.17</v>
      </c>
      <c r="F152" t="n">
        <v>4</v>
      </c>
      <c r="G152" t="n">
        <v>2</v>
      </c>
      <c r="H152" t="n">
        <v>2</v>
      </c>
      <c r="I152" t="n">
        <v>2.67</v>
      </c>
      <c r="J152" s="5" t="n">
        <v>6166676.68</v>
      </c>
      <c r="K152" s="5" t="n">
        <v>3083338.34</v>
      </c>
      <c r="L152" s="5" t="n">
        <v>3083338.34</v>
      </c>
    </row>
    <row r="153">
      <c r="A153" t="inlineStr">
        <is>
          <t>HUANCAVELICA</t>
        </is>
      </c>
      <c r="B153" t="inlineStr">
        <is>
          <t>HUANCAVELICA</t>
        </is>
      </c>
      <c r="C153" t="inlineStr">
        <is>
          <t>HUANCAVELICA</t>
        </is>
      </c>
      <c r="D153" t="inlineStr">
        <is>
          <t>090101</t>
        </is>
      </c>
      <c r="E153" s="5" t="n">
        <v>1540167.96</v>
      </c>
      <c r="F153" t="n">
        <v>4</v>
      </c>
      <c r="G153" t="n">
        <v>3</v>
      </c>
      <c r="H153" t="n">
        <v>3</v>
      </c>
      <c r="I153" t="n">
        <v>3.33</v>
      </c>
      <c r="J153" s="5" t="n">
        <v>6160671.84</v>
      </c>
      <c r="K153" s="5" t="n">
        <v>4620503.88</v>
      </c>
      <c r="L153" s="5" t="n">
        <v>4620503.88</v>
      </c>
    </row>
    <row r="154">
      <c r="A154" t="inlineStr">
        <is>
          <t>AREQUIPA</t>
        </is>
      </c>
      <c r="B154" t="inlineStr">
        <is>
          <t>AREQUIPA</t>
        </is>
      </c>
      <c r="C154" t="inlineStr">
        <is>
          <t>MIRAFLORES</t>
        </is>
      </c>
      <c r="D154" t="inlineStr">
        <is>
          <t>040110</t>
        </is>
      </c>
      <c r="E154" s="5" t="n">
        <v>1502730.19</v>
      </c>
      <c r="F154" t="n">
        <v>5</v>
      </c>
      <c r="G154" t="n">
        <v>3</v>
      </c>
      <c r="H154" t="n">
        <v>2</v>
      </c>
      <c r="I154" t="n">
        <v>3.33</v>
      </c>
      <c r="J154" s="5" t="n">
        <v>7513650.95</v>
      </c>
      <c r="K154" s="5" t="n">
        <v>4508190.57</v>
      </c>
      <c r="L154" s="5" t="n">
        <v>3005460.38</v>
      </c>
    </row>
    <row r="155">
      <c r="A155" t="inlineStr">
        <is>
          <t>ANCASH</t>
        </is>
      </c>
      <c r="B155" t="inlineStr">
        <is>
          <t>HUARI</t>
        </is>
      </c>
      <c r="C155" t="inlineStr">
        <is>
          <t>HUARI</t>
        </is>
      </c>
      <c r="D155" t="inlineStr">
        <is>
          <t>021001</t>
        </is>
      </c>
      <c r="E155" s="5" t="n">
        <v>1485408.91</v>
      </c>
      <c r="F155" t="n">
        <v>5</v>
      </c>
      <c r="G155" t="n">
        <v>3</v>
      </c>
      <c r="H155" t="n">
        <v>3</v>
      </c>
      <c r="I155" t="n">
        <v>3.67</v>
      </c>
      <c r="J155" s="5" t="n">
        <v>7427044.55</v>
      </c>
      <c r="K155" s="5" t="n">
        <v>4456226.73</v>
      </c>
      <c r="L155" s="5" t="n">
        <v>4456226.73</v>
      </c>
    </row>
    <row r="156">
      <c r="A156" t="inlineStr">
        <is>
          <t>LA LIBERTAD</t>
        </is>
      </c>
      <c r="B156" t="inlineStr">
        <is>
          <t>PACASMAYO</t>
        </is>
      </c>
      <c r="C156" t="inlineStr">
        <is>
          <t>PACASMAYO</t>
        </is>
      </c>
      <c r="D156" t="inlineStr">
        <is>
          <t>130704</t>
        </is>
      </c>
      <c r="E156" s="5" t="n">
        <v>1441990.23</v>
      </c>
      <c r="F156" t="n">
        <v>2</v>
      </c>
      <c r="G156" t="n">
        <v>4</v>
      </c>
      <c r="I156" t="n">
        <v>3</v>
      </c>
      <c r="J156" s="5" t="n">
        <v>2883980.46</v>
      </c>
      <c r="K156" s="5" t="n">
        <v>5767960.92</v>
      </c>
      <c r="L156" s="5" t="n">
        <v>0</v>
      </c>
    </row>
    <row r="157">
      <c r="A157" t="inlineStr">
        <is>
          <t>CUSCO</t>
        </is>
      </c>
      <c r="B157" t="inlineStr">
        <is>
          <t>CUSCO</t>
        </is>
      </c>
      <c r="C157" t="inlineStr">
        <is>
          <t>WANCHAQ</t>
        </is>
      </c>
      <c r="D157" t="inlineStr">
        <is>
          <t>080108</t>
        </is>
      </c>
      <c r="E157" s="5" t="n">
        <v>1423103.84</v>
      </c>
      <c r="F157" t="n">
        <v>3</v>
      </c>
      <c r="G157" t="n">
        <v>4</v>
      </c>
      <c r="H157" t="n">
        <v>4</v>
      </c>
      <c r="I157" t="n">
        <v>3.67</v>
      </c>
      <c r="J157" s="5" t="n">
        <v>4269311.52</v>
      </c>
      <c r="K157" s="5" t="n">
        <v>5692415.36</v>
      </c>
      <c r="L157" s="5" t="n">
        <v>5692415.36</v>
      </c>
    </row>
    <row r="158">
      <c r="A158" t="inlineStr">
        <is>
          <t>AYACUCHO</t>
        </is>
      </c>
      <c r="B158" t="inlineStr">
        <is>
          <t>LUCANAS</t>
        </is>
      </c>
      <c r="C158" t="inlineStr">
        <is>
          <t>PUQUIO</t>
        </is>
      </c>
      <c r="D158" t="inlineStr">
        <is>
          <t>050601</t>
        </is>
      </c>
      <c r="E158" s="5" t="n">
        <v>1412127.71</v>
      </c>
      <c r="F158" t="n">
        <v>4</v>
      </c>
      <c r="G158" t="n">
        <v>4</v>
      </c>
      <c r="H158" t="n">
        <v>4</v>
      </c>
      <c r="I158" t="n">
        <v>4</v>
      </c>
      <c r="J158" s="5" t="n">
        <v>5648510.84</v>
      </c>
      <c r="K158" s="5" t="n">
        <v>5648510.84</v>
      </c>
      <c r="L158" s="5" t="n">
        <v>5648510.84</v>
      </c>
    </row>
    <row r="159">
      <c r="A159" t="inlineStr">
        <is>
          <t>CUSCO</t>
        </is>
      </c>
      <c r="B159" t="inlineStr">
        <is>
          <t>CUSCO</t>
        </is>
      </c>
      <c r="C159" t="inlineStr">
        <is>
          <t>SAN SEBASTIAN</t>
        </is>
      </c>
      <c r="D159" t="inlineStr">
        <is>
          <t>080105</t>
        </is>
      </c>
      <c r="E159" s="5" t="n">
        <v>1405910.65</v>
      </c>
      <c r="F159" t="n">
        <v>4</v>
      </c>
      <c r="G159" t="n">
        <v>2</v>
      </c>
      <c r="H159" t="n">
        <v>3</v>
      </c>
      <c r="I159" t="n">
        <v>3</v>
      </c>
      <c r="J159" s="5" t="n">
        <v>5623642.6</v>
      </c>
      <c r="K159" s="5" t="n">
        <v>2811821.3</v>
      </c>
      <c r="L159" s="5" t="n">
        <v>4217731.95</v>
      </c>
    </row>
    <row r="160">
      <c r="A160" t="inlineStr">
        <is>
          <t>LIMA</t>
        </is>
      </c>
      <c r="B160" t="inlineStr">
        <is>
          <t>BARRANCA</t>
        </is>
      </c>
      <c r="C160" t="inlineStr">
        <is>
          <t>SUPE</t>
        </is>
      </c>
      <c r="D160" t="inlineStr">
        <is>
          <t>150204</t>
        </is>
      </c>
      <c r="E160" s="5" t="n">
        <v>1359752.86</v>
      </c>
      <c r="F160" t="n">
        <v>4</v>
      </c>
      <c r="G160" t="n">
        <v>4</v>
      </c>
      <c r="I160" t="n">
        <v>4</v>
      </c>
      <c r="J160" s="5" t="n">
        <v>5439011.44</v>
      </c>
      <c r="K160" s="5" t="n">
        <v>5439011.44</v>
      </c>
      <c r="L160" s="5" t="n">
        <v>0</v>
      </c>
    </row>
    <row r="161">
      <c r="A161" t="inlineStr">
        <is>
          <t>JUNIN</t>
        </is>
      </c>
      <c r="B161" t="inlineStr">
        <is>
          <t>SATIPO</t>
        </is>
      </c>
      <c r="C161" t="inlineStr">
        <is>
          <t>SATIPO</t>
        </is>
      </c>
      <c r="D161" t="inlineStr">
        <is>
          <t>120601</t>
        </is>
      </c>
      <c r="E161" s="5" t="n">
        <v>1301659.5</v>
      </c>
      <c r="F161" t="n">
        <v>4</v>
      </c>
      <c r="G161" t="n">
        <v>3</v>
      </c>
      <c r="H161" t="n">
        <v>2</v>
      </c>
      <c r="I161" t="n">
        <v>3</v>
      </c>
      <c r="J161" s="5" t="n">
        <v>5206638</v>
      </c>
      <c r="K161" s="5" t="n">
        <v>3904978.5</v>
      </c>
      <c r="L161" s="5" t="n">
        <v>2603319</v>
      </c>
    </row>
    <row r="162">
      <c r="A162" t="inlineStr">
        <is>
          <t>AREQUIPA</t>
        </is>
      </c>
      <c r="B162" t="inlineStr">
        <is>
          <t>AREQUIPA</t>
        </is>
      </c>
      <c r="C162" t="inlineStr">
        <is>
          <t>JACOBO HUNTER</t>
        </is>
      </c>
      <c r="D162" t="inlineStr">
        <is>
          <t>040107</t>
        </is>
      </c>
      <c r="E162" s="5" t="n">
        <v>1261595.05</v>
      </c>
      <c r="F162" t="n">
        <v>4</v>
      </c>
      <c r="G162" t="n">
        <v>4</v>
      </c>
      <c r="I162" t="n">
        <v>4</v>
      </c>
      <c r="J162" s="5" t="n">
        <v>5046380.2</v>
      </c>
      <c r="K162" s="5" t="n">
        <v>5046380.2</v>
      </c>
      <c r="L162" s="5" t="n">
        <v>0</v>
      </c>
    </row>
    <row r="163">
      <c r="A163" t="inlineStr">
        <is>
          <t>JUNIN</t>
        </is>
      </c>
      <c r="B163" t="inlineStr">
        <is>
          <t>CHANCHAMAYO</t>
        </is>
      </c>
      <c r="C163" t="inlineStr">
        <is>
          <t>PICHANAQUI</t>
        </is>
      </c>
      <c r="D163" t="inlineStr">
        <is>
          <t>120303</t>
        </is>
      </c>
      <c r="E163" s="5" t="n">
        <v>1207859.73</v>
      </c>
      <c r="F163" t="n">
        <v>4</v>
      </c>
      <c r="G163" t="n">
        <v>2</v>
      </c>
      <c r="H163" t="n">
        <v>2</v>
      </c>
      <c r="I163" t="n">
        <v>2.67</v>
      </c>
      <c r="J163" s="5" t="n">
        <v>4831438.92</v>
      </c>
      <c r="K163" s="5" t="n">
        <v>2415719.46</v>
      </c>
      <c r="L163" s="5" t="n">
        <v>2415719.46</v>
      </c>
    </row>
    <row r="164">
      <c r="A164" t="inlineStr">
        <is>
          <t>LA LIBERTAD</t>
        </is>
      </c>
      <c r="B164" t="inlineStr">
        <is>
          <t>TRUJILLO</t>
        </is>
      </c>
      <c r="C164" t="inlineStr">
        <is>
          <t>SALAVERRY</t>
        </is>
      </c>
      <c r="D164" t="inlineStr">
        <is>
          <t>130109</t>
        </is>
      </c>
      <c r="E164" s="5" t="n">
        <v>1196155.23</v>
      </c>
      <c r="F164" t="n">
        <v>2</v>
      </c>
      <c r="G164" t="n">
        <v>4</v>
      </c>
      <c r="I164" t="n">
        <v>3</v>
      </c>
      <c r="J164" s="5" t="n">
        <v>2392310.46</v>
      </c>
      <c r="K164" s="5" t="n">
        <v>4784620.92</v>
      </c>
      <c r="L164" s="5" t="n">
        <v>0</v>
      </c>
    </row>
    <row r="165">
      <c r="A165" t="inlineStr">
        <is>
          <t>LAMBAYEQUE</t>
        </is>
      </c>
      <c r="B165" t="inlineStr">
        <is>
          <t>CHICLAYO</t>
        </is>
      </c>
      <c r="C165" t="inlineStr">
        <is>
          <t>ETEN</t>
        </is>
      </c>
      <c r="D165" t="inlineStr">
        <is>
          <t>140103</t>
        </is>
      </c>
      <c r="E165" s="5" t="n">
        <v>1196155.23</v>
      </c>
      <c r="F165" t="n">
        <v>1</v>
      </c>
      <c r="G165" t="n">
        <v>4</v>
      </c>
      <c r="I165" t="n">
        <v>2.5</v>
      </c>
      <c r="J165" s="5" t="n">
        <v>1196155.23</v>
      </c>
      <c r="K165" s="5" t="n">
        <v>4784620.92</v>
      </c>
      <c r="L165" s="5" t="n">
        <v>0</v>
      </c>
    </row>
    <row r="166">
      <c r="A166" t="inlineStr">
        <is>
          <t>MOQUEGUA</t>
        </is>
      </c>
      <c r="B166" t="inlineStr">
        <is>
          <t>GENERAL SANCHEZ CERRO</t>
        </is>
      </c>
      <c r="C166" t="inlineStr">
        <is>
          <t>ICHUÑA</t>
        </is>
      </c>
      <c r="D166" t="inlineStr">
        <is>
          <t>180204</t>
        </is>
      </c>
      <c r="E166" s="5" t="n">
        <v>1196155.23</v>
      </c>
      <c r="F166" t="n">
        <v>4</v>
      </c>
      <c r="G166" t="n">
        <v>3</v>
      </c>
      <c r="H166" t="n">
        <v>4</v>
      </c>
      <c r="I166" t="n">
        <v>3.67</v>
      </c>
      <c r="J166" s="5" t="n">
        <v>4784620.92</v>
      </c>
      <c r="K166" s="5" t="n">
        <v>3588465.69</v>
      </c>
      <c r="L166" s="5" t="n">
        <v>4784620.92</v>
      </c>
    </row>
    <row r="167">
      <c r="A167" t="inlineStr">
        <is>
          <t>LAMBAYEQUE</t>
        </is>
      </c>
      <c r="B167" t="inlineStr">
        <is>
          <t>LAMBAYEQUE</t>
        </is>
      </c>
      <c r="C167" t="inlineStr">
        <is>
          <t>OLMOS</t>
        </is>
      </c>
      <c r="D167" t="inlineStr">
        <is>
          <t>140308</t>
        </is>
      </c>
      <c r="E167" s="5" t="n">
        <v>1167947.22</v>
      </c>
      <c r="F167" t="n">
        <v>3</v>
      </c>
      <c r="G167" t="n">
        <v>5</v>
      </c>
      <c r="H167" t="n">
        <v>3</v>
      </c>
      <c r="I167" t="n">
        <v>3.67</v>
      </c>
      <c r="J167" s="5" t="n">
        <v>3503841.66</v>
      </c>
      <c r="K167" s="5" t="n">
        <v>5839736.1</v>
      </c>
      <c r="L167" s="5" t="n">
        <v>3503841.66</v>
      </c>
    </row>
    <row r="168">
      <c r="A168" t="inlineStr">
        <is>
          <t>LIMA</t>
        </is>
      </c>
      <c r="B168" t="inlineStr">
        <is>
          <t>LIMA</t>
        </is>
      </c>
      <c r="C168" t="inlineStr">
        <is>
          <t>SAN LUIS</t>
        </is>
      </c>
      <c r="D168" t="inlineStr">
        <is>
          <t>150134</t>
        </is>
      </c>
      <c r="E168" s="5" t="n">
        <v>1156300.11</v>
      </c>
      <c r="F168" t="n">
        <v>1</v>
      </c>
      <c r="G168" t="n">
        <v>3</v>
      </c>
      <c r="I168" t="n">
        <v>2</v>
      </c>
      <c r="J168" s="5" t="n">
        <v>1156300.11</v>
      </c>
      <c r="K168" s="5" t="n">
        <v>3468900.33</v>
      </c>
      <c r="L168" s="5" t="n">
        <v>0</v>
      </c>
    </row>
    <row r="169">
      <c r="A169" t="inlineStr">
        <is>
          <t>CUSCO</t>
        </is>
      </c>
      <c r="B169" t="inlineStr">
        <is>
          <t>CANCHIS</t>
        </is>
      </c>
      <c r="C169" t="inlineStr">
        <is>
          <t>SICUANI</t>
        </is>
      </c>
      <c r="D169" t="inlineStr">
        <is>
          <t>080601</t>
        </is>
      </c>
      <c r="E169" s="5" t="n">
        <v>1064969.74</v>
      </c>
      <c r="F169" t="n">
        <v>4</v>
      </c>
      <c r="G169" t="n">
        <v>3</v>
      </c>
      <c r="H169" t="n">
        <v>3</v>
      </c>
      <c r="I169" t="n">
        <v>3.33</v>
      </c>
      <c r="J169" s="5" t="n">
        <v>4259878.96</v>
      </c>
      <c r="K169" s="5" t="n">
        <v>3194909.22</v>
      </c>
      <c r="L169" s="5" t="n">
        <v>3194909.22</v>
      </c>
    </row>
    <row r="170">
      <c r="A170" t="inlineStr">
        <is>
          <t>AREQUIPA</t>
        </is>
      </c>
      <c r="B170" t="inlineStr">
        <is>
          <t>ISLAY</t>
        </is>
      </c>
      <c r="C170" t="inlineStr">
        <is>
          <t>MOLLENDO</t>
        </is>
      </c>
      <c r="D170" t="inlineStr">
        <is>
          <t>040701</t>
        </is>
      </c>
      <c r="E170" s="5" t="n">
        <v>1064269.62</v>
      </c>
      <c r="F170" t="n">
        <v>2</v>
      </c>
      <c r="G170" t="n">
        <v>4</v>
      </c>
      <c r="I170" t="n">
        <v>3</v>
      </c>
      <c r="J170" s="5" t="n">
        <v>2128539.24</v>
      </c>
      <c r="K170" s="5" t="n">
        <v>4257078.48</v>
      </c>
      <c r="L170" s="5" t="n">
        <v>0</v>
      </c>
    </row>
    <row r="171">
      <c r="A171" t="inlineStr">
        <is>
          <t>PASCO</t>
        </is>
      </c>
      <c r="B171" t="inlineStr">
        <is>
          <t>OXAPAMPA</t>
        </is>
      </c>
      <c r="C171" t="inlineStr">
        <is>
          <t>OXAPAMPA</t>
        </is>
      </c>
      <c r="D171" t="inlineStr">
        <is>
          <t>190301</t>
        </is>
      </c>
      <c r="E171" s="5" t="n">
        <v>1063083.83</v>
      </c>
      <c r="F171" t="n">
        <v>4</v>
      </c>
      <c r="G171" t="n">
        <v>3</v>
      </c>
      <c r="H171" t="n">
        <v>2</v>
      </c>
      <c r="I171" t="n">
        <v>3</v>
      </c>
      <c r="J171" s="5" t="n">
        <v>4252335.32</v>
      </c>
      <c r="K171" s="5" t="n">
        <v>3189251.49</v>
      </c>
      <c r="L171" s="5" t="n">
        <v>2126167.66</v>
      </c>
    </row>
    <row r="172">
      <c r="A172" t="inlineStr">
        <is>
          <t>LAMBAYEQUE</t>
        </is>
      </c>
      <c r="B172" t="inlineStr">
        <is>
          <t>CHICLAYO</t>
        </is>
      </c>
      <c r="C172" t="inlineStr">
        <is>
          <t>LA VICTORIA</t>
        </is>
      </c>
      <c r="D172" t="inlineStr">
        <is>
          <t>140106</t>
        </is>
      </c>
      <c r="E172" s="5" t="n">
        <v>1052344.35</v>
      </c>
      <c r="F172" t="n">
        <v>1</v>
      </c>
      <c r="G172" t="n">
        <v>4</v>
      </c>
      <c r="I172" t="n">
        <v>2.5</v>
      </c>
      <c r="J172" s="5" t="n">
        <v>1052344.35</v>
      </c>
      <c r="K172" s="5" t="n">
        <v>4209377.4</v>
      </c>
      <c r="L172" s="5" t="n">
        <v>0</v>
      </c>
    </row>
    <row r="173">
      <c r="A173" t="inlineStr">
        <is>
          <t>LIMA</t>
        </is>
      </c>
      <c r="B173" t="inlineStr">
        <is>
          <t>HUAROCHIRI</t>
        </is>
      </c>
      <c r="C173" t="inlineStr">
        <is>
          <t>SAN ANTONIO</t>
        </is>
      </c>
      <c r="D173" t="inlineStr">
        <is>
          <t>150716</t>
        </is>
      </c>
      <c r="E173" s="5" t="n">
        <v>1031538.83</v>
      </c>
      <c r="F173" t="n">
        <v>4</v>
      </c>
      <c r="G173" t="n">
        <v>1</v>
      </c>
      <c r="H173" t="n">
        <v>4</v>
      </c>
      <c r="I173" t="n">
        <v>3</v>
      </c>
      <c r="J173" s="5" t="n">
        <v>4126155.32</v>
      </c>
      <c r="K173" s="5" t="n">
        <v>1031538.83</v>
      </c>
      <c r="L173" s="5" t="n">
        <v>4126155.32</v>
      </c>
    </row>
    <row r="174">
      <c r="A174" t="inlineStr">
        <is>
          <t>CUSCO</t>
        </is>
      </c>
      <c r="B174" t="inlineStr">
        <is>
          <t>QUISPICANCHI</t>
        </is>
      </c>
      <c r="C174" t="inlineStr">
        <is>
          <t>URCOS</t>
        </is>
      </c>
      <c r="D174" t="inlineStr">
        <is>
          <t>081201</t>
        </is>
      </c>
      <c r="E174" s="5" t="n">
        <v>1018266.15</v>
      </c>
      <c r="F174" t="n">
        <v>4</v>
      </c>
      <c r="G174" t="n">
        <v>3</v>
      </c>
      <c r="H174" t="n">
        <v>4</v>
      </c>
      <c r="I174" t="n">
        <v>3.67</v>
      </c>
      <c r="J174" s="5" t="n">
        <v>4073064.6</v>
      </c>
      <c r="K174" s="5" t="n">
        <v>3054798.45</v>
      </c>
      <c r="L174" s="5" t="n">
        <v>4073064.6</v>
      </c>
    </row>
    <row r="175">
      <c r="A175" t="inlineStr">
        <is>
          <t>CUSCO</t>
        </is>
      </c>
      <c r="B175" t="inlineStr">
        <is>
          <t>ANTA</t>
        </is>
      </c>
      <c r="C175" t="inlineStr">
        <is>
          <t>ANTA</t>
        </is>
      </c>
      <c r="D175" t="inlineStr">
        <is>
          <t>080301</t>
        </is>
      </c>
      <c r="E175" s="5" t="n">
        <v>1010106.19</v>
      </c>
      <c r="F175" t="n">
        <v>4</v>
      </c>
      <c r="G175" t="n">
        <v>2</v>
      </c>
      <c r="H175" t="n">
        <v>3</v>
      </c>
      <c r="I175" t="n">
        <v>3</v>
      </c>
      <c r="J175" s="5" t="n">
        <v>4040424.76</v>
      </c>
      <c r="K175" s="5" t="n">
        <v>2020212.38</v>
      </c>
      <c r="L175" s="5" t="n">
        <v>3030318.57</v>
      </c>
    </row>
    <row r="176">
      <c r="A176" t="inlineStr">
        <is>
          <t>ANCASH</t>
        </is>
      </c>
      <c r="B176" t="inlineStr">
        <is>
          <t>CASMA</t>
        </is>
      </c>
      <c r="C176" t="inlineStr">
        <is>
          <t>CASMA</t>
        </is>
      </c>
      <c r="D176" t="inlineStr">
        <is>
          <t>020801</t>
        </is>
      </c>
      <c r="E176" s="5" t="n">
        <v>999576.02</v>
      </c>
      <c r="F176" t="n">
        <v>3</v>
      </c>
      <c r="G176" t="n">
        <v>4</v>
      </c>
      <c r="I176" t="n">
        <v>3.5</v>
      </c>
      <c r="J176" s="5" t="n">
        <v>2998728.06</v>
      </c>
      <c r="K176" s="5" t="n">
        <v>3998304.08</v>
      </c>
      <c r="L176" s="5" t="n">
        <v>0</v>
      </c>
    </row>
    <row r="177">
      <c r="A177" t="inlineStr">
        <is>
          <t>LA LIBERTAD</t>
        </is>
      </c>
      <c r="B177" t="inlineStr">
        <is>
          <t>TRUJILLO</t>
        </is>
      </c>
      <c r="C177" t="inlineStr">
        <is>
          <t>HUANCHACO</t>
        </is>
      </c>
      <c r="D177" t="inlineStr">
        <is>
          <t>130104</t>
        </is>
      </c>
      <c r="E177" s="5" t="n">
        <v>933418.46</v>
      </c>
      <c r="F177" t="n">
        <v>2</v>
      </c>
      <c r="G177" t="n">
        <v>4</v>
      </c>
      <c r="I177" t="n">
        <v>3</v>
      </c>
      <c r="J177" s="5" t="n">
        <v>1866836.92</v>
      </c>
      <c r="K177" s="5" t="n">
        <v>3733673.84</v>
      </c>
      <c r="L177" s="5" t="n">
        <v>0</v>
      </c>
    </row>
    <row r="178">
      <c r="A178" t="inlineStr">
        <is>
          <t>LAMBAYEQUE</t>
        </is>
      </c>
      <c r="B178" t="inlineStr">
        <is>
          <t>LAMBAYEQUE</t>
        </is>
      </c>
      <c r="C178" t="inlineStr">
        <is>
          <t>MOCHUMI</t>
        </is>
      </c>
      <c r="D178" t="inlineStr">
        <is>
          <t>140305</t>
        </is>
      </c>
      <c r="E178" s="5" t="n">
        <v>927156.37</v>
      </c>
      <c r="F178" t="n">
        <v>1</v>
      </c>
      <c r="G178" t="n">
        <v>4</v>
      </c>
      <c r="I178" t="n">
        <v>2.5</v>
      </c>
      <c r="J178" s="5" t="n">
        <v>927156.37</v>
      </c>
      <c r="K178" s="5" t="n">
        <v>3708625.48</v>
      </c>
      <c r="L178" s="5" t="n">
        <v>0</v>
      </c>
    </row>
    <row r="179">
      <c r="A179" t="inlineStr">
        <is>
          <t>CAJAMARCA</t>
        </is>
      </c>
      <c r="B179" t="inlineStr">
        <is>
          <t>HUALGAYOC</t>
        </is>
      </c>
      <c r="C179" t="inlineStr">
        <is>
          <t>BAMBAMARCA</t>
        </is>
      </c>
      <c r="D179" t="inlineStr">
        <is>
          <t>060701</t>
        </is>
      </c>
      <c r="E179" s="5" t="n">
        <v>920627.84</v>
      </c>
      <c r="F179" t="n">
        <v>4</v>
      </c>
      <c r="G179" t="n">
        <v>2</v>
      </c>
      <c r="H179" t="n">
        <v>3</v>
      </c>
      <c r="I179" t="n">
        <v>3</v>
      </c>
      <c r="J179" s="5" t="n">
        <v>3682511.36</v>
      </c>
      <c r="K179" s="5" t="n">
        <v>1841255.68</v>
      </c>
      <c r="L179" s="5" t="n">
        <v>2761883.52</v>
      </c>
    </row>
    <row r="180">
      <c r="A180" t="inlineStr">
        <is>
          <t>LORETO</t>
        </is>
      </c>
      <c r="B180" t="inlineStr">
        <is>
          <t>ALTO AMAZONAS</t>
        </is>
      </c>
      <c r="C180" t="inlineStr">
        <is>
          <t>YURIMAGUAS</t>
        </is>
      </c>
      <c r="D180" t="inlineStr">
        <is>
          <t>160201</t>
        </is>
      </c>
      <c r="E180" s="5" t="n">
        <v>895192.42</v>
      </c>
      <c r="F180" t="n">
        <v>3</v>
      </c>
      <c r="G180" t="n">
        <v>3</v>
      </c>
      <c r="H180" t="n">
        <v>2</v>
      </c>
      <c r="I180" t="n">
        <v>2.67</v>
      </c>
      <c r="J180" s="5" t="n">
        <v>2685577.26</v>
      </c>
      <c r="K180" s="5" t="n">
        <v>2685577.26</v>
      </c>
      <c r="L180" s="5" t="n">
        <v>1790384.84</v>
      </c>
    </row>
    <row r="181">
      <c r="A181" t="inlineStr">
        <is>
          <t>JUNIN</t>
        </is>
      </c>
      <c r="B181" t="inlineStr">
        <is>
          <t>JAUJA</t>
        </is>
      </c>
      <c r="C181" t="inlineStr">
        <is>
          <t>JAUJA</t>
        </is>
      </c>
      <c r="D181" t="inlineStr">
        <is>
          <t>120401</t>
        </is>
      </c>
      <c r="E181" s="5" t="n">
        <v>869682.4300000001</v>
      </c>
      <c r="F181" t="n">
        <v>3</v>
      </c>
      <c r="G181" t="n">
        <v>1</v>
      </c>
      <c r="H181" t="n">
        <v>4</v>
      </c>
      <c r="I181" t="n">
        <v>2.67</v>
      </c>
      <c r="J181" s="5" t="n">
        <v>2609047.29</v>
      </c>
      <c r="K181" s="5" t="n">
        <v>869682.4300000001</v>
      </c>
      <c r="L181" s="5" t="n">
        <v>3478729.72</v>
      </c>
    </row>
    <row r="182">
      <c r="A182" t="inlineStr">
        <is>
          <t>AMAZONAS</t>
        </is>
      </c>
      <c r="B182" t="inlineStr">
        <is>
          <t>BAGUA</t>
        </is>
      </c>
      <c r="C182" t="inlineStr">
        <is>
          <t>BAGUA</t>
        </is>
      </c>
      <c r="D182" t="inlineStr">
        <is>
          <t>010201</t>
        </is>
      </c>
      <c r="E182" s="5" t="n">
        <v>868771.3100000001</v>
      </c>
      <c r="F182" t="n">
        <v>4</v>
      </c>
      <c r="G182" t="n">
        <v>4</v>
      </c>
      <c r="H182" t="n">
        <v>3</v>
      </c>
      <c r="I182" t="n">
        <v>3.67</v>
      </c>
      <c r="J182" s="5" t="n">
        <v>3475085.24</v>
      </c>
      <c r="K182" s="5" t="n">
        <v>3475085.24</v>
      </c>
      <c r="L182" s="5" t="n">
        <v>2606313.93</v>
      </c>
    </row>
    <row r="183">
      <c r="A183" t="inlineStr">
        <is>
          <t>CALLAO</t>
        </is>
      </c>
      <c r="B183" t="inlineStr">
        <is>
          <t>CALLAO</t>
        </is>
      </c>
      <c r="C183" t="inlineStr">
        <is>
          <t>LA PERLA</t>
        </is>
      </c>
      <c r="D183" t="inlineStr">
        <is>
          <t>070104</t>
        </is>
      </c>
      <c r="E183" s="5" t="n">
        <v>867605.79</v>
      </c>
      <c r="F183" t="n">
        <v>1</v>
      </c>
      <c r="G183" t="n">
        <v>4</v>
      </c>
      <c r="I183" t="n">
        <v>2.5</v>
      </c>
      <c r="J183" s="5" t="n">
        <v>867605.79</v>
      </c>
      <c r="K183" s="5" t="n">
        <v>3470423.16</v>
      </c>
      <c r="L183" s="5" t="n">
        <v>0</v>
      </c>
    </row>
    <row r="184">
      <c r="A184" t="inlineStr">
        <is>
          <t>PIURA</t>
        </is>
      </c>
      <c r="B184" t="inlineStr">
        <is>
          <t>MORROPON</t>
        </is>
      </c>
      <c r="C184" t="inlineStr">
        <is>
          <t>CHULUCANAS</t>
        </is>
      </c>
      <c r="D184" t="inlineStr">
        <is>
          <t>200401</t>
        </is>
      </c>
      <c r="E184" s="5" t="n">
        <v>856654.29</v>
      </c>
      <c r="F184" t="n">
        <v>2</v>
      </c>
      <c r="G184" t="n">
        <v>5</v>
      </c>
      <c r="H184" t="n">
        <v>2</v>
      </c>
      <c r="I184" t="n">
        <v>3</v>
      </c>
      <c r="J184" s="5" t="n">
        <v>1713308.58</v>
      </c>
      <c r="K184" s="5" t="n">
        <v>4283271.45</v>
      </c>
      <c r="L184" s="5" t="n">
        <v>1713308.58</v>
      </c>
    </row>
    <row r="185">
      <c r="A185" t="inlineStr">
        <is>
          <t>ANCASH</t>
        </is>
      </c>
      <c r="B185" t="inlineStr">
        <is>
          <t>HUAYLAS</t>
        </is>
      </c>
      <c r="C185" t="inlineStr">
        <is>
          <t>CARAZ</t>
        </is>
      </c>
      <c r="D185" t="inlineStr">
        <is>
          <t>021201</t>
        </is>
      </c>
      <c r="E185" s="5" t="n">
        <v>856211.52</v>
      </c>
      <c r="F185" t="n">
        <v>4</v>
      </c>
      <c r="G185" t="n">
        <v>3</v>
      </c>
      <c r="H185" t="n">
        <v>4</v>
      </c>
      <c r="I185" t="n">
        <v>3.67</v>
      </c>
      <c r="J185" s="5" t="n">
        <v>3424846.08</v>
      </c>
      <c r="K185" s="5" t="n">
        <v>2568634.56</v>
      </c>
      <c r="L185" s="5" t="n">
        <v>3424846.08</v>
      </c>
    </row>
    <row r="186">
      <c r="A186" t="inlineStr">
        <is>
          <t>JUNIN</t>
        </is>
      </c>
      <c r="B186" t="inlineStr">
        <is>
          <t>CHUPACA</t>
        </is>
      </c>
      <c r="C186" t="inlineStr">
        <is>
          <t>CHUPACA</t>
        </is>
      </c>
      <c r="D186" t="inlineStr">
        <is>
          <t>120901</t>
        </is>
      </c>
      <c r="E186" s="5" t="n">
        <v>854753.46</v>
      </c>
      <c r="F186" t="n">
        <v>1</v>
      </c>
      <c r="G186" t="n">
        <v>5</v>
      </c>
      <c r="H186" t="n">
        <v>3</v>
      </c>
      <c r="I186" t="n">
        <v>3</v>
      </c>
      <c r="J186" s="5" t="n">
        <v>854753.46</v>
      </c>
      <c r="K186" s="5" t="n">
        <v>4273767.3</v>
      </c>
      <c r="L186" s="5" t="n">
        <v>2564260.38</v>
      </c>
    </row>
    <row r="187">
      <c r="A187" t="inlineStr">
        <is>
          <t>LAMBAYEQUE</t>
        </is>
      </c>
      <c r="B187" t="inlineStr">
        <is>
          <t>LAMBAYEQUE</t>
        </is>
      </c>
      <c r="C187" t="inlineStr">
        <is>
          <t>MORROPE</t>
        </is>
      </c>
      <c r="D187" t="inlineStr">
        <is>
          <t>140306</t>
        </is>
      </c>
      <c r="E187" s="5" t="n">
        <v>832012.03</v>
      </c>
      <c r="F187" t="n">
        <v>2</v>
      </c>
      <c r="G187" t="n">
        <v>5</v>
      </c>
      <c r="I187" t="n">
        <v>3.5</v>
      </c>
      <c r="J187" s="5" t="n">
        <v>1664024.06</v>
      </c>
      <c r="K187" s="5" t="n">
        <v>4160060.15</v>
      </c>
      <c r="L187" s="5" t="n">
        <v>0</v>
      </c>
    </row>
    <row r="188">
      <c r="A188" t="inlineStr">
        <is>
          <t>LA LIBERTAD</t>
        </is>
      </c>
      <c r="B188" t="inlineStr">
        <is>
          <t>OTUZCO</t>
        </is>
      </c>
      <c r="C188" t="inlineStr">
        <is>
          <t>OTUZCO</t>
        </is>
      </c>
      <c r="D188" t="inlineStr">
        <is>
          <t>130601</t>
        </is>
      </c>
      <c r="E188" s="5" t="n">
        <v>824186.6899999999</v>
      </c>
      <c r="F188" t="n">
        <v>5</v>
      </c>
      <c r="G188" t="n">
        <v>2</v>
      </c>
      <c r="H188" t="n">
        <v>3</v>
      </c>
      <c r="I188" t="n">
        <v>3.33</v>
      </c>
      <c r="J188" s="5" t="n">
        <v>4120933.45</v>
      </c>
      <c r="K188" s="5" t="n">
        <v>1648373.38</v>
      </c>
      <c r="L188" s="5" t="n">
        <v>2472560.07</v>
      </c>
    </row>
    <row r="189">
      <c r="A189" t="inlineStr">
        <is>
          <t>AREQUIPA</t>
        </is>
      </c>
      <c r="B189" t="inlineStr">
        <is>
          <t>AREQUIPA</t>
        </is>
      </c>
      <c r="C189" t="inlineStr">
        <is>
          <t>ALTO SELVA ALEGRE</t>
        </is>
      </c>
      <c r="D189" t="inlineStr">
        <is>
          <t>040102</t>
        </is>
      </c>
      <c r="E189" s="5" t="n">
        <v>819831.91</v>
      </c>
      <c r="F189" t="n">
        <v>5</v>
      </c>
      <c r="G189" t="n">
        <v>3</v>
      </c>
      <c r="H189" t="n">
        <v>4</v>
      </c>
      <c r="I189" t="n">
        <v>4</v>
      </c>
      <c r="J189" s="5" t="n">
        <v>4099159.55</v>
      </c>
      <c r="K189" s="5" t="n">
        <v>2459495.73</v>
      </c>
      <c r="L189" s="5" t="n">
        <v>3279327.64</v>
      </c>
    </row>
    <row r="190">
      <c r="A190" t="inlineStr">
        <is>
          <t>AREQUIPA</t>
        </is>
      </c>
      <c r="B190" t="inlineStr">
        <is>
          <t>AREQUIPA</t>
        </is>
      </c>
      <c r="C190" t="inlineStr">
        <is>
          <t>SOCABAYA</t>
        </is>
      </c>
      <c r="D190" t="inlineStr">
        <is>
          <t>040122</t>
        </is>
      </c>
      <c r="E190" s="5" t="n">
        <v>783040.14</v>
      </c>
      <c r="F190" t="n">
        <v>3</v>
      </c>
      <c r="G190" t="n">
        <v>5</v>
      </c>
      <c r="I190" t="n">
        <v>4</v>
      </c>
      <c r="J190" s="5" t="n">
        <v>2349120.42</v>
      </c>
      <c r="K190" s="5" t="n">
        <v>3915200.7</v>
      </c>
      <c r="L190" s="5" t="n">
        <v>0</v>
      </c>
    </row>
    <row r="191">
      <c r="A191" t="inlineStr">
        <is>
          <t>LA LIBERTAD</t>
        </is>
      </c>
      <c r="B191" t="inlineStr">
        <is>
          <t>VIRU</t>
        </is>
      </c>
      <c r="C191" t="inlineStr">
        <is>
          <t>VIRU</t>
        </is>
      </c>
      <c r="D191" t="inlineStr">
        <is>
          <t>131201</t>
        </is>
      </c>
      <c r="E191" s="5" t="n">
        <v>782060.9</v>
      </c>
      <c r="F191" t="n">
        <v>5</v>
      </c>
      <c r="G191" t="n">
        <v>4</v>
      </c>
      <c r="H191" t="n">
        <v>3</v>
      </c>
      <c r="I191" t="n">
        <v>4</v>
      </c>
      <c r="J191" s="5" t="n">
        <v>3910304.5</v>
      </c>
      <c r="K191" s="5" t="n">
        <v>3128243.6</v>
      </c>
      <c r="L191" s="5" t="n">
        <v>2346182.7</v>
      </c>
    </row>
    <row r="192">
      <c r="A192" t="inlineStr">
        <is>
          <t>JUNIN</t>
        </is>
      </c>
      <c r="B192" t="inlineStr">
        <is>
          <t>HUANCAYO</t>
        </is>
      </c>
      <c r="C192" t="inlineStr">
        <is>
          <t>CHILCA</t>
        </is>
      </c>
      <c r="D192" t="inlineStr">
        <is>
          <t>120107</t>
        </is>
      </c>
      <c r="E192" s="5" t="n">
        <v>775547.34</v>
      </c>
      <c r="F192" t="n">
        <v>4</v>
      </c>
      <c r="G192" t="n">
        <v>2</v>
      </c>
      <c r="H192" t="n">
        <v>3</v>
      </c>
      <c r="I192" t="n">
        <v>3</v>
      </c>
      <c r="J192" s="5" t="n">
        <v>3102189.36</v>
      </c>
      <c r="K192" s="5" t="n">
        <v>1551094.68</v>
      </c>
      <c r="L192" s="5" t="n">
        <v>2326642.02</v>
      </c>
    </row>
    <row r="193">
      <c r="A193" t="inlineStr">
        <is>
          <t>LIMA</t>
        </is>
      </c>
      <c r="B193" t="inlineStr">
        <is>
          <t>HUAURA</t>
        </is>
      </c>
      <c r="C193" t="inlineStr">
        <is>
          <t>HUAURA</t>
        </is>
      </c>
      <c r="D193" t="inlineStr">
        <is>
          <t>150806</t>
        </is>
      </c>
      <c r="E193" s="5" t="n">
        <v>764771.87</v>
      </c>
      <c r="F193" t="n">
        <v>4</v>
      </c>
      <c r="G193" t="n">
        <v>4</v>
      </c>
      <c r="I193" t="n">
        <v>4</v>
      </c>
      <c r="J193" s="5" t="n">
        <v>3059087.48</v>
      </c>
      <c r="K193" s="5" t="n">
        <v>3059087.48</v>
      </c>
      <c r="L193" s="5" t="n">
        <v>0</v>
      </c>
    </row>
    <row r="194">
      <c r="A194" t="inlineStr">
        <is>
          <t>APURIMAC</t>
        </is>
      </c>
      <c r="B194" t="inlineStr">
        <is>
          <t>AYMARAES</t>
        </is>
      </c>
      <c r="C194" t="inlineStr">
        <is>
          <t>CHALHUANCA</t>
        </is>
      </c>
      <c r="D194" t="inlineStr">
        <is>
          <t>030401</t>
        </is>
      </c>
      <c r="E194" s="5" t="n">
        <v>747597.02</v>
      </c>
      <c r="F194" t="n">
        <v>3</v>
      </c>
      <c r="G194" t="n">
        <v>3</v>
      </c>
      <c r="H194" t="n">
        <v>3</v>
      </c>
      <c r="I194" t="n">
        <v>3</v>
      </c>
      <c r="J194" s="5" t="n">
        <v>2242791.06</v>
      </c>
      <c r="K194" s="5" t="n">
        <v>2242791.06</v>
      </c>
      <c r="L194" s="5" t="n">
        <v>2242791.06</v>
      </c>
    </row>
    <row r="195">
      <c r="A195" t="inlineStr">
        <is>
          <t>PIURA</t>
        </is>
      </c>
      <c r="B195" t="inlineStr">
        <is>
          <t>MORROPON</t>
        </is>
      </c>
      <c r="C195" t="inlineStr">
        <is>
          <t>BUENOS AIRES</t>
        </is>
      </c>
      <c r="D195" t="inlineStr">
        <is>
          <t>200402</t>
        </is>
      </c>
      <c r="E195" s="5" t="n">
        <v>747597.02</v>
      </c>
      <c r="F195" t="n">
        <v>5</v>
      </c>
      <c r="G195" t="n">
        <v>4</v>
      </c>
      <c r="H195" t="n">
        <v>5</v>
      </c>
      <c r="I195" t="n">
        <v>4.67</v>
      </c>
      <c r="J195" s="5" t="n">
        <v>3737985.1</v>
      </c>
      <c r="K195" s="5" t="n">
        <v>2990388.08</v>
      </c>
      <c r="L195" s="5" t="n">
        <v>3737985.1</v>
      </c>
    </row>
    <row r="196">
      <c r="A196" t="inlineStr">
        <is>
          <t>PIURA</t>
        </is>
      </c>
      <c r="B196" t="inlineStr">
        <is>
          <t>HUANCABAMBA</t>
        </is>
      </c>
      <c r="C196" t="inlineStr">
        <is>
          <t>CANCHAQUE</t>
        </is>
      </c>
      <c r="D196" t="inlineStr">
        <is>
          <t>200302</t>
        </is>
      </c>
      <c r="E196" s="5" t="n">
        <v>747597.02</v>
      </c>
      <c r="F196" t="n">
        <v>5</v>
      </c>
      <c r="G196" t="n">
        <v>2</v>
      </c>
      <c r="H196" t="n">
        <v>4</v>
      </c>
      <c r="I196" t="n">
        <v>3.67</v>
      </c>
      <c r="J196" s="5" t="n">
        <v>3737985.1</v>
      </c>
      <c r="K196" s="5" t="n">
        <v>1495194.04</v>
      </c>
      <c r="L196" s="5" t="n">
        <v>2990388.08</v>
      </c>
    </row>
    <row r="197">
      <c r="A197" t="inlineStr">
        <is>
          <t>SAN MARTIN</t>
        </is>
      </c>
      <c r="B197" t="inlineStr">
        <is>
          <t>MARISCAL CACERES</t>
        </is>
      </c>
      <c r="C197" t="inlineStr">
        <is>
          <t>JUANJUI</t>
        </is>
      </c>
      <c r="D197" t="inlineStr">
        <is>
          <t>220601</t>
        </is>
      </c>
      <c r="E197" s="5" t="n">
        <v>743767.55</v>
      </c>
      <c r="F197" t="n">
        <v>4</v>
      </c>
      <c r="G197" t="n">
        <v>4</v>
      </c>
      <c r="H197" t="n">
        <v>2</v>
      </c>
      <c r="I197" t="n">
        <v>3.33</v>
      </c>
      <c r="J197" s="5" t="n">
        <v>2975070.2</v>
      </c>
      <c r="K197" s="5" t="n">
        <v>2975070.2</v>
      </c>
      <c r="L197" s="5" t="n">
        <v>1487535.1</v>
      </c>
    </row>
    <row r="198">
      <c r="A198" t="inlineStr">
        <is>
          <t>TUMBES</t>
        </is>
      </c>
      <c r="B198" t="inlineStr">
        <is>
          <t>CONTRALMIRANTE VILLAR</t>
        </is>
      </c>
      <c r="C198" t="inlineStr">
        <is>
          <t>ZORRITOS</t>
        </is>
      </c>
      <c r="D198" t="inlineStr">
        <is>
          <t>240201</t>
        </is>
      </c>
      <c r="E198" s="5" t="n">
        <v>710200.45</v>
      </c>
      <c r="F198" t="n">
        <v>4</v>
      </c>
      <c r="G198" t="n">
        <v>3</v>
      </c>
      <c r="H198" t="n">
        <v>4</v>
      </c>
      <c r="I198" t="n">
        <v>3.67</v>
      </c>
      <c r="J198" s="5" t="n">
        <v>2840801.8</v>
      </c>
      <c r="K198" s="5" t="n">
        <v>2130601.35</v>
      </c>
      <c r="L198" s="5" t="n">
        <v>2840801.8</v>
      </c>
    </row>
    <row r="199">
      <c r="A199" t="inlineStr">
        <is>
          <t>LA LIBERTAD</t>
        </is>
      </c>
      <c r="B199" t="inlineStr">
        <is>
          <t>ASCOPE</t>
        </is>
      </c>
      <c r="C199" t="inlineStr">
        <is>
          <t>CHOCOPE</t>
        </is>
      </c>
      <c r="D199" t="inlineStr">
        <is>
          <t>130203</t>
        </is>
      </c>
      <c r="E199" s="5" t="n">
        <v>706460.97</v>
      </c>
      <c r="F199" t="n">
        <v>1</v>
      </c>
      <c r="G199" t="n">
        <v>5</v>
      </c>
      <c r="I199" t="n">
        <v>3</v>
      </c>
      <c r="J199" s="5" t="n">
        <v>706460.97</v>
      </c>
      <c r="K199" s="5" t="n">
        <v>3532304.85</v>
      </c>
      <c r="L199" s="5" t="n">
        <v>0</v>
      </c>
    </row>
    <row r="200">
      <c r="A200" t="inlineStr">
        <is>
          <t>APURIMAC</t>
        </is>
      </c>
      <c r="B200" t="inlineStr">
        <is>
          <t>ABANCAY</t>
        </is>
      </c>
      <c r="C200" t="inlineStr">
        <is>
          <t>CURAHUASI</t>
        </is>
      </c>
      <c r="D200" t="inlineStr">
        <is>
          <t>030104</t>
        </is>
      </c>
      <c r="E200" s="5" t="n">
        <v>688545.66</v>
      </c>
      <c r="F200" t="n">
        <v>3</v>
      </c>
      <c r="G200" t="n">
        <v>2</v>
      </c>
      <c r="H200" t="n">
        <v>4</v>
      </c>
      <c r="I200" t="n">
        <v>3</v>
      </c>
      <c r="J200" s="5" t="n">
        <v>2065636.98</v>
      </c>
      <c r="K200" s="5" t="n">
        <v>1377091.32</v>
      </c>
      <c r="L200" s="5" t="n">
        <v>2754182.64</v>
      </c>
    </row>
    <row r="201">
      <c r="A201" t="inlineStr">
        <is>
          <t>PIURA</t>
        </is>
      </c>
      <c r="B201" t="inlineStr">
        <is>
          <t>PIURA</t>
        </is>
      </c>
      <c r="C201" t="inlineStr">
        <is>
          <t>TAMBO GRANDE</t>
        </is>
      </c>
      <c r="D201" t="inlineStr">
        <is>
          <t>200114</t>
        </is>
      </c>
      <c r="E201" s="5" t="n">
        <v>671770.92</v>
      </c>
      <c r="F201" t="n">
        <v>4</v>
      </c>
      <c r="G201" t="n">
        <v>4</v>
      </c>
      <c r="H201" t="n">
        <v>2</v>
      </c>
      <c r="I201" t="n">
        <v>3.33</v>
      </c>
      <c r="J201" s="5" t="n">
        <v>2687083.68</v>
      </c>
      <c r="K201" s="5" t="n">
        <v>2687083.68</v>
      </c>
      <c r="L201" s="5" t="n">
        <v>1343541.84</v>
      </c>
    </row>
    <row r="202">
      <c r="A202" t="inlineStr">
        <is>
          <t>LIMA</t>
        </is>
      </c>
      <c r="B202" t="inlineStr">
        <is>
          <t>HUAURA</t>
        </is>
      </c>
      <c r="C202" t="inlineStr">
        <is>
          <t>SANTA MARIA</t>
        </is>
      </c>
      <c r="D202" t="inlineStr">
        <is>
          <t>150810</t>
        </is>
      </c>
      <c r="E202" s="5" t="n">
        <v>665861.87</v>
      </c>
      <c r="F202" t="n">
        <v>3</v>
      </c>
      <c r="G202" t="n">
        <v>3</v>
      </c>
      <c r="I202" t="n">
        <v>3</v>
      </c>
      <c r="J202" s="5" t="n">
        <v>1997585.61</v>
      </c>
      <c r="K202" s="5" t="n">
        <v>1997585.61</v>
      </c>
      <c r="L202" s="5" t="n">
        <v>0</v>
      </c>
    </row>
    <row r="203">
      <c r="A203" t="inlineStr">
        <is>
          <t>APURIMAC</t>
        </is>
      </c>
      <c r="B203" t="inlineStr">
        <is>
          <t>ABANCAY</t>
        </is>
      </c>
      <c r="C203" t="inlineStr">
        <is>
          <t>PICHIRHUA</t>
        </is>
      </c>
      <c r="D203" t="inlineStr">
        <is>
          <t>030107</t>
        </is>
      </c>
      <c r="E203" s="5" t="n">
        <v>664530.6800000001</v>
      </c>
      <c r="F203" t="n">
        <v>3</v>
      </c>
      <c r="G203" t="n">
        <v>3</v>
      </c>
      <c r="H203" t="n">
        <v>3</v>
      </c>
      <c r="I203" t="n">
        <v>3</v>
      </c>
      <c r="J203" s="5" t="n">
        <v>1993592.04</v>
      </c>
      <c r="K203" s="5" t="n">
        <v>1993592.04</v>
      </c>
      <c r="L203" s="5" t="n">
        <v>1993592.04</v>
      </c>
    </row>
    <row r="204">
      <c r="A204" t="inlineStr">
        <is>
          <t>APURIMAC</t>
        </is>
      </c>
      <c r="B204" t="inlineStr">
        <is>
          <t>ABANCAY</t>
        </is>
      </c>
      <c r="C204" t="inlineStr">
        <is>
          <t>TAMBURCO</t>
        </is>
      </c>
      <c r="D204" t="inlineStr">
        <is>
          <t>030109</t>
        </is>
      </c>
      <c r="E204" s="5" t="n">
        <v>664530.6800000001</v>
      </c>
      <c r="F204" t="n">
        <v>4</v>
      </c>
      <c r="G204" t="n">
        <v>3</v>
      </c>
      <c r="H204" t="n">
        <v>3</v>
      </c>
      <c r="I204" t="n">
        <v>3.33</v>
      </c>
      <c r="J204" s="5" t="n">
        <v>2658122.72</v>
      </c>
      <c r="K204" s="5" t="n">
        <v>1993592.04</v>
      </c>
      <c r="L204" s="5" t="n">
        <v>1993592.04</v>
      </c>
    </row>
    <row r="205">
      <c r="A205" t="inlineStr">
        <is>
          <t>AYACUCHO</t>
        </is>
      </c>
      <c r="B205" t="inlineStr">
        <is>
          <t>PARINACOCHAS</t>
        </is>
      </c>
      <c r="C205" t="inlineStr">
        <is>
          <t>CORACORA</t>
        </is>
      </c>
      <c r="D205" t="inlineStr">
        <is>
          <t>050701</t>
        </is>
      </c>
      <c r="E205" s="5" t="n">
        <v>664530.6800000001</v>
      </c>
      <c r="F205" t="n">
        <v>4</v>
      </c>
      <c r="G205" t="n">
        <v>4</v>
      </c>
      <c r="H205" t="n">
        <v>4</v>
      </c>
      <c r="I205" t="n">
        <v>4</v>
      </c>
      <c r="J205" s="5" t="n">
        <v>2658122.72</v>
      </c>
      <c r="K205" s="5" t="n">
        <v>2658122.72</v>
      </c>
      <c r="L205" s="5" t="n">
        <v>2658122.72</v>
      </c>
    </row>
    <row r="206">
      <c r="A206" t="inlineStr">
        <is>
          <t>CUSCO</t>
        </is>
      </c>
      <c r="B206" t="inlineStr">
        <is>
          <t>ANTA</t>
        </is>
      </c>
      <c r="C206" t="inlineStr">
        <is>
          <t>ANCAHUASI</t>
        </is>
      </c>
      <c r="D206" t="inlineStr">
        <is>
          <t>080302</t>
        </is>
      </c>
      <c r="E206" s="5" t="n">
        <v>664530.6800000001</v>
      </c>
      <c r="F206" t="n">
        <v>4</v>
      </c>
      <c r="G206" t="n">
        <v>2</v>
      </c>
      <c r="H206" t="n">
        <v>3</v>
      </c>
      <c r="I206" t="n">
        <v>3</v>
      </c>
      <c r="J206" s="5" t="n">
        <v>2658122.72</v>
      </c>
      <c r="K206" s="5" t="n">
        <v>1329061.36</v>
      </c>
      <c r="L206" s="5" t="n">
        <v>1993592.04</v>
      </c>
    </row>
    <row r="207">
      <c r="A207" t="inlineStr">
        <is>
          <t>CUSCO</t>
        </is>
      </c>
      <c r="B207" t="inlineStr">
        <is>
          <t>CANAS</t>
        </is>
      </c>
      <c r="C207" t="inlineStr">
        <is>
          <t>YANAOCA</t>
        </is>
      </c>
      <c r="D207" t="inlineStr">
        <is>
          <t>080501</t>
        </is>
      </c>
      <c r="E207" s="5" t="n">
        <v>664530.6800000001</v>
      </c>
      <c r="F207" t="n">
        <v>4</v>
      </c>
      <c r="G207" t="n">
        <v>3</v>
      </c>
      <c r="H207" t="n">
        <v>3</v>
      </c>
      <c r="I207" t="n">
        <v>3.33</v>
      </c>
      <c r="J207" s="5" t="n">
        <v>2658122.72</v>
      </c>
      <c r="K207" s="5" t="n">
        <v>1993592.04</v>
      </c>
      <c r="L207" s="5" t="n">
        <v>1993592.04</v>
      </c>
    </row>
    <row r="208">
      <c r="A208" t="inlineStr">
        <is>
          <t>JUNIN</t>
        </is>
      </c>
      <c r="B208" t="inlineStr">
        <is>
          <t>SATIPO</t>
        </is>
      </c>
      <c r="C208" t="inlineStr">
        <is>
          <t>PANGOA</t>
        </is>
      </c>
      <c r="D208" t="inlineStr">
        <is>
          <t>120606</t>
        </is>
      </c>
      <c r="E208" s="5" t="n">
        <v>656607.0600000001</v>
      </c>
      <c r="F208" t="n">
        <v>3</v>
      </c>
      <c r="G208" t="n">
        <v>2</v>
      </c>
      <c r="I208" t="n">
        <v>2.5</v>
      </c>
      <c r="J208" s="5" t="n">
        <v>1969821.18</v>
      </c>
      <c r="K208" s="5" t="n">
        <v>1313214.12</v>
      </c>
      <c r="L208" s="5" t="n">
        <v>0</v>
      </c>
    </row>
    <row r="209">
      <c r="A209" t="inlineStr">
        <is>
          <t>PASCO</t>
        </is>
      </c>
      <c r="B209" t="inlineStr">
        <is>
          <t>PASCO</t>
        </is>
      </c>
      <c r="C209" t="inlineStr">
        <is>
          <t>YANACANCHA</t>
        </is>
      </c>
      <c r="D209" t="inlineStr">
        <is>
          <t>190113</t>
        </is>
      </c>
      <c r="E209" s="5" t="n">
        <v>650560.92</v>
      </c>
      <c r="F209" t="n">
        <v>4</v>
      </c>
      <c r="G209" t="n">
        <v>2</v>
      </c>
      <c r="H209" t="n">
        <v>3</v>
      </c>
      <c r="I209" t="n">
        <v>3</v>
      </c>
      <c r="J209" s="5" t="n">
        <v>2602243.68</v>
      </c>
      <c r="K209" s="5" t="n">
        <v>1301121.84</v>
      </c>
      <c r="L209" s="5" t="n">
        <v>1951682.76</v>
      </c>
    </row>
    <row r="210">
      <c r="A210" t="inlineStr">
        <is>
          <t>CAJAMARCA</t>
        </is>
      </c>
      <c r="B210" t="inlineStr">
        <is>
          <t>CAJABAMBA</t>
        </is>
      </c>
      <c r="C210" t="inlineStr">
        <is>
          <t>CAJABAMBA</t>
        </is>
      </c>
      <c r="D210" t="inlineStr">
        <is>
          <t>060201</t>
        </is>
      </c>
      <c r="E210" s="5" t="n">
        <v>648872.49</v>
      </c>
      <c r="F210" t="n">
        <v>4</v>
      </c>
      <c r="G210" t="n">
        <v>3</v>
      </c>
      <c r="H210" t="n">
        <v>2</v>
      </c>
      <c r="I210" t="n">
        <v>3</v>
      </c>
      <c r="J210" s="5" t="n">
        <v>2595489.96</v>
      </c>
      <c r="K210" s="5" t="n">
        <v>1946617.47</v>
      </c>
      <c r="L210" s="5" t="n">
        <v>1297744.98</v>
      </c>
    </row>
    <row r="211">
      <c r="A211" t="inlineStr">
        <is>
          <t>ICA</t>
        </is>
      </c>
      <c r="B211" t="inlineStr">
        <is>
          <t>ICA</t>
        </is>
      </c>
      <c r="C211" t="inlineStr">
        <is>
          <t>PARCONA</t>
        </is>
      </c>
      <c r="D211" t="inlineStr">
        <is>
          <t>110106</t>
        </is>
      </c>
      <c r="E211" s="5" t="n">
        <v>637281.71</v>
      </c>
      <c r="F211" t="n">
        <v>4</v>
      </c>
      <c r="G211" t="n">
        <v>5</v>
      </c>
      <c r="I211" t="n">
        <v>4.5</v>
      </c>
      <c r="J211" s="5" t="n">
        <v>2549126.84</v>
      </c>
      <c r="K211" s="5" t="n">
        <v>3186408.55</v>
      </c>
      <c r="L211" s="5" t="n">
        <v>0</v>
      </c>
    </row>
    <row r="212">
      <c r="A212" t="inlineStr">
        <is>
          <t>CAJAMARCA</t>
        </is>
      </c>
      <c r="B212" t="inlineStr">
        <is>
          <t>CUTERVO</t>
        </is>
      </c>
      <c r="C212" t="inlineStr">
        <is>
          <t>CUTERVO</t>
        </is>
      </c>
      <c r="D212" t="inlineStr">
        <is>
          <t>060601</t>
        </is>
      </c>
      <c r="E212" s="5" t="n">
        <v>627839.99</v>
      </c>
      <c r="F212" t="n">
        <v>4</v>
      </c>
      <c r="G212" t="n">
        <v>2</v>
      </c>
      <c r="H212" t="n">
        <v>3</v>
      </c>
      <c r="I212" t="n">
        <v>3</v>
      </c>
      <c r="J212" s="5" t="n">
        <v>2511359.96</v>
      </c>
      <c r="K212" s="5" t="n">
        <v>1255679.98</v>
      </c>
      <c r="L212" s="5" t="n">
        <v>1883519.97</v>
      </c>
    </row>
    <row r="213">
      <c r="A213" t="inlineStr">
        <is>
          <t>CUSCO</t>
        </is>
      </c>
      <c r="B213" t="inlineStr">
        <is>
          <t>URUBAMBA</t>
        </is>
      </c>
      <c r="C213" t="inlineStr">
        <is>
          <t>URUBAMBA</t>
        </is>
      </c>
      <c r="D213" t="inlineStr">
        <is>
          <t>081301</t>
        </is>
      </c>
      <c r="E213" s="5" t="n">
        <v>626230.0699999999</v>
      </c>
      <c r="F213" t="n">
        <v>4</v>
      </c>
      <c r="G213" t="n">
        <v>2</v>
      </c>
      <c r="H213" t="n">
        <v>3</v>
      </c>
      <c r="I213" t="n">
        <v>3</v>
      </c>
      <c r="J213" s="5" t="n">
        <v>2504920.28</v>
      </c>
      <c r="K213" s="5" t="n">
        <v>1252460.14</v>
      </c>
      <c r="L213" s="5" t="n">
        <v>1878690.21</v>
      </c>
    </row>
    <row r="214">
      <c r="A214" t="inlineStr">
        <is>
          <t>SAN MARTIN</t>
        </is>
      </c>
      <c r="B214" t="inlineStr">
        <is>
          <t>SAN MARTIN</t>
        </is>
      </c>
      <c r="C214" t="inlineStr">
        <is>
          <t>SAUCE</t>
        </is>
      </c>
      <c r="D214" t="inlineStr">
        <is>
          <t>220913</t>
        </is>
      </c>
      <c r="E214" s="5" t="n">
        <v>626160.88</v>
      </c>
      <c r="J214" s="5" t="n">
        <v>0</v>
      </c>
      <c r="K214" s="5" t="n">
        <v>0</v>
      </c>
      <c r="L214" s="5" t="n">
        <v>0</v>
      </c>
    </row>
    <row r="215">
      <c r="A215" t="inlineStr">
        <is>
          <t>LORETO</t>
        </is>
      </c>
      <c r="B215" t="inlineStr">
        <is>
          <t>MAYNAS</t>
        </is>
      </c>
      <c r="C215" t="inlineStr">
        <is>
          <t>PUNCHANA</t>
        </is>
      </c>
      <c r="D215" t="inlineStr">
        <is>
          <t>160108</t>
        </is>
      </c>
      <c r="E215" s="5" t="n">
        <v>626160.88</v>
      </c>
      <c r="J215" s="5" t="n">
        <v>0</v>
      </c>
      <c r="K215" s="5" t="n">
        <v>0</v>
      </c>
      <c r="L215" s="5" t="n">
        <v>0</v>
      </c>
    </row>
    <row r="216">
      <c r="A216" t="inlineStr">
        <is>
          <t>ICA</t>
        </is>
      </c>
      <c r="B216" t="inlineStr">
        <is>
          <t>CHINCHA</t>
        </is>
      </c>
      <c r="C216" t="inlineStr">
        <is>
          <t>SUNAMPE</t>
        </is>
      </c>
      <c r="D216" t="inlineStr">
        <is>
          <t>110210</t>
        </is>
      </c>
      <c r="E216" s="5" t="n">
        <v>626160.88</v>
      </c>
      <c r="J216" s="5" t="n">
        <v>0</v>
      </c>
      <c r="K216" s="5" t="n">
        <v>0</v>
      </c>
      <c r="L216" s="5" t="n">
        <v>0</v>
      </c>
    </row>
    <row r="217">
      <c r="A217" t="inlineStr">
        <is>
          <t>AREQUIPA</t>
        </is>
      </c>
      <c r="B217" t="inlineStr">
        <is>
          <t>CAYLLOMA</t>
        </is>
      </c>
      <c r="C217" t="inlineStr">
        <is>
          <t>CHIVAY</t>
        </is>
      </c>
      <c r="D217" t="inlineStr">
        <is>
          <t>040501</t>
        </is>
      </c>
      <c r="E217" s="5" t="n">
        <v>626160.88</v>
      </c>
      <c r="J217" s="5" t="n">
        <v>0</v>
      </c>
      <c r="K217" s="5" t="n">
        <v>0</v>
      </c>
      <c r="L217" s="5" t="n">
        <v>0</v>
      </c>
    </row>
    <row r="218">
      <c r="A218" t="inlineStr">
        <is>
          <t>JUNIN</t>
        </is>
      </c>
      <c r="B218" t="inlineStr">
        <is>
          <t>YAULI</t>
        </is>
      </c>
      <c r="C218" t="inlineStr">
        <is>
          <t>LA OROYA</t>
        </is>
      </c>
      <c r="D218" t="inlineStr">
        <is>
          <t>120801</t>
        </is>
      </c>
      <c r="E218" s="5" t="n">
        <v>625282.38</v>
      </c>
      <c r="F218" t="n">
        <v>5</v>
      </c>
      <c r="G218" t="n">
        <v>2</v>
      </c>
      <c r="H218" t="n">
        <v>4</v>
      </c>
      <c r="I218" t="n">
        <v>3.67</v>
      </c>
      <c r="J218" s="5" t="n">
        <v>3126411.9</v>
      </c>
      <c r="K218" s="5" t="n">
        <v>1250564.76</v>
      </c>
      <c r="L218" s="5" t="n">
        <v>2501129.52</v>
      </c>
    </row>
    <row r="219">
      <c r="A219" t="inlineStr">
        <is>
          <t>JUNIN</t>
        </is>
      </c>
      <c r="B219" t="inlineStr">
        <is>
          <t>CONCEPCION</t>
        </is>
      </c>
      <c r="C219" t="inlineStr">
        <is>
          <t>CONCEPCION</t>
        </is>
      </c>
      <c r="D219" t="inlineStr">
        <is>
          <t>120201</t>
        </is>
      </c>
      <c r="E219" s="5" t="n">
        <v>611243.84</v>
      </c>
      <c r="F219" t="n">
        <v>3</v>
      </c>
      <c r="G219" t="n">
        <v>4</v>
      </c>
      <c r="H219" t="n">
        <v>4</v>
      </c>
      <c r="I219" t="n">
        <v>3.67</v>
      </c>
      <c r="J219" s="5" t="n">
        <v>1833731.52</v>
      </c>
      <c r="K219" s="5" t="n">
        <v>2444975.36</v>
      </c>
      <c r="L219" s="5" t="n">
        <v>2444975.36</v>
      </c>
    </row>
    <row r="220">
      <c r="A220" t="inlineStr">
        <is>
          <t>ANCASH</t>
        </is>
      </c>
      <c r="B220" t="inlineStr">
        <is>
          <t>CARHUAZ</t>
        </is>
      </c>
      <c r="C220" t="inlineStr">
        <is>
          <t>CARHUAZ</t>
        </is>
      </c>
      <c r="D220" t="inlineStr">
        <is>
          <t>020601</t>
        </is>
      </c>
      <c r="E220" s="5" t="n">
        <v>592888.99</v>
      </c>
      <c r="F220" t="n">
        <v>4</v>
      </c>
      <c r="G220" t="n">
        <v>3</v>
      </c>
      <c r="H220" t="n">
        <v>3</v>
      </c>
      <c r="I220" t="n">
        <v>3.33</v>
      </c>
      <c r="J220" s="5" t="n">
        <v>2371555.96</v>
      </c>
      <c r="K220" s="5" t="n">
        <v>1778666.97</v>
      </c>
      <c r="L220" s="5" t="n">
        <v>1778666.97</v>
      </c>
    </row>
    <row r="221">
      <c r="A221" t="inlineStr">
        <is>
          <t>LA LIBERTAD</t>
        </is>
      </c>
      <c r="B221" t="inlineStr">
        <is>
          <t>TRUJILLO</t>
        </is>
      </c>
      <c r="C221" t="inlineStr">
        <is>
          <t>VICTOR LARCO HERRERA</t>
        </is>
      </c>
      <c r="D221" t="inlineStr">
        <is>
          <t>130111</t>
        </is>
      </c>
      <c r="E221" s="5" t="n">
        <v>588068.1</v>
      </c>
      <c r="J221" s="5" t="n">
        <v>0</v>
      </c>
      <c r="K221" s="5" t="n">
        <v>0</v>
      </c>
      <c r="L221" s="5" t="n">
        <v>0</v>
      </c>
    </row>
    <row r="222">
      <c r="A222" t="inlineStr">
        <is>
          <t>SAN MARTIN</t>
        </is>
      </c>
      <c r="B222" t="inlineStr">
        <is>
          <t>RIOJA</t>
        </is>
      </c>
      <c r="C222" t="inlineStr">
        <is>
          <t>NUEVA CAJAMARCA</t>
        </is>
      </c>
      <c r="D222" t="inlineStr">
        <is>
          <t>220804</t>
        </is>
      </c>
      <c r="E222" s="5" t="n">
        <v>565462.4399999999</v>
      </c>
      <c r="F222" t="n">
        <v>4</v>
      </c>
      <c r="G222" t="n">
        <v>4</v>
      </c>
      <c r="H222" t="n">
        <v>2</v>
      </c>
      <c r="I222" t="n">
        <v>3.33</v>
      </c>
      <c r="J222" s="5" t="n">
        <v>2261849.76</v>
      </c>
      <c r="K222" s="5" t="n">
        <v>2261849.76</v>
      </c>
      <c r="L222" s="5" t="n">
        <v>1130924.88</v>
      </c>
    </row>
    <row r="223">
      <c r="A223" t="inlineStr">
        <is>
          <t>PIURA</t>
        </is>
      </c>
      <c r="B223" t="inlineStr">
        <is>
          <t>PUIRA</t>
        </is>
      </c>
      <c r="C223" t="inlineStr">
        <is>
          <t>LA UNION</t>
        </is>
      </c>
      <c r="D223" t="inlineStr">
        <is>
          <t>200110</t>
        </is>
      </c>
      <c r="E223" s="5" t="n">
        <v>551707.97</v>
      </c>
      <c r="F223" t="n">
        <v>2</v>
      </c>
      <c r="G223" t="n">
        <v>5</v>
      </c>
      <c r="I223" t="n">
        <v>3.5</v>
      </c>
      <c r="J223" s="5" t="n">
        <v>1103415.94</v>
      </c>
      <c r="K223" s="5" t="n">
        <v>2758539.85</v>
      </c>
      <c r="L223" s="5" t="n">
        <v>0</v>
      </c>
    </row>
    <row r="224">
      <c r="A224" t="inlineStr">
        <is>
          <t>ANCASH</t>
        </is>
      </c>
      <c r="B224" t="inlineStr">
        <is>
          <t>SANTA</t>
        </is>
      </c>
      <c r="C224" t="inlineStr">
        <is>
          <t>SANTA</t>
        </is>
      </c>
      <c r="D224" t="inlineStr">
        <is>
          <t>021808</t>
        </is>
      </c>
      <c r="E224" s="5" t="n">
        <v>544105.75</v>
      </c>
      <c r="F224" t="n">
        <v>1</v>
      </c>
      <c r="G224" t="n">
        <v>4</v>
      </c>
      <c r="I224" t="n">
        <v>2.5</v>
      </c>
      <c r="J224" s="5" t="n">
        <v>544105.75</v>
      </c>
      <c r="K224" s="5" t="n">
        <v>2176423</v>
      </c>
      <c r="L224" s="5" t="n">
        <v>0</v>
      </c>
    </row>
    <row r="225">
      <c r="A225" t="inlineStr">
        <is>
          <t>LAMBAYEQUE</t>
        </is>
      </c>
      <c r="B225" t="inlineStr">
        <is>
          <t>FERREÑAFE</t>
        </is>
      </c>
      <c r="C225" t="inlineStr">
        <is>
          <t>FERREÑAFE</t>
        </is>
      </c>
      <c r="D225" t="inlineStr">
        <is>
          <t>140201</t>
        </is>
      </c>
      <c r="E225" s="5" t="n">
        <v>542475.98</v>
      </c>
      <c r="F225" t="n">
        <v>1</v>
      </c>
      <c r="G225" t="n">
        <v>4</v>
      </c>
      <c r="I225" t="n">
        <v>2.5</v>
      </c>
      <c r="J225" s="5" t="n">
        <v>542475.98</v>
      </c>
      <c r="K225" s="5" t="n">
        <v>2169903.92</v>
      </c>
      <c r="L225" s="5" t="n">
        <v>0</v>
      </c>
    </row>
    <row r="226">
      <c r="A226" t="inlineStr">
        <is>
          <t>PUNO</t>
        </is>
      </c>
      <c r="B226" t="inlineStr">
        <is>
          <t>EL COLLAO</t>
        </is>
      </c>
      <c r="C226" t="inlineStr">
        <is>
          <t>ILAVE</t>
        </is>
      </c>
      <c r="D226" t="inlineStr">
        <is>
          <t>210501</t>
        </is>
      </c>
      <c r="E226" s="5" t="n">
        <v>524158.77</v>
      </c>
      <c r="F226" t="n">
        <v>3</v>
      </c>
      <c r="G226" t="n">
        <v>3</v>
      </c>
      <c r="H226" t="n">
        <v>4</v>
      </c>
      <c r="I226" t="n">
        <v>3.33</v>
      </c>
      <c r="J226" s="5" t="n">
        <v>1572476.31</v>
      </c>
      <c r="K226" s="5" t="n">
        <v>1572476.31</v>
      </c>
      <c r="L226" s="5" t="n">
        <v>2096635.08</v>
      </c>
    </row>
    <row r="227">
      <c r="A227" t="inlineStr">
        <is>
          <t>AYACUCHO</t>
        </is>
      </c>
      <c r="B227" t="inlineStr">
        <is>
          <t>HUANTA</t>
        </is>
      </c>
      <c r="C227" t="inlineStr">
        <is>
          <t>HUANTA</t>
        </is>
      </c>
      <c r="D227" t="inlineStr">
        <is>
          <t>050401</t>
        </is>
      </c>
      <c r="E227" s="5" t="n">
        <v>516551.7</v>
      </c>
      <c r="F227" t="n">
        <v>4</v>
      </c>
      <c r="G227" t="n">
        <v>3</v>
      </c>
      <c r="H227" t="n">
        <v>3</v>
      </c>
      <c r="I227" t="n">
        <v>3.33</v>
      </c>
      <c r="J227" s="5" t="n">
        <v>2066206.8</v>
      </c>
      <c r="K227" s="5" t="n">
        <v>1549655.1</v>
      </c>
      <c r="L227" s="5" t="n">
        <v>1549655.1</v>
      </c>
    </row>
    <row r="228">
      <c r="A228" t="inlineStr">
        <is>
          <t>TACNA</t>
        </is>
      </c>
      <c r="B228" t="inlineStr">
        <is>
          <t>TACNA</t>
        </is>
      </c>
      <c r="C228" t="inlineStr">
        <is>
          <t>CIUDAD NUEVA</t>
        </is>
      </c>
      <c r="D228" t="inlineStr">
        <is>
          <t>230104</t>
        </is>
      </c>
      <c r="E228" s="5" t="n">
        <v>486241.77</v>
      </c>
      <c r="F228" t="n">
        <v>4</v>
      </c>
      <c r="G228" t="n">
        <v>3</v>
      </c>
      <c r="I228" t="n">
        <v>3.5</v>
      </c>
      <c r="J228" s="5" t="n">
        <v>1944967.08</v>
      </c>
      <c r="K228" s="5" t="n">
        <v>1458725.31</v>
      </c>
      <c r="L228" s="5" t="n">
        <v>0</v>
      </c>
    </row>
    <row r="229">
      <c r="A229" t="inlineStr">
        <is>
          <t>AREQUIPA</t>
        </is>
      </c>
      <c r="B229" t="inlineStr">
        <is>
          <t>ISLAY</t>
        </is>
      </c>
      <c r="C229" t="inlineStr">
        <is>
          <t>COCACHACRA</t>
        </is>
      </c>
      <c r="D229" t="inlineStr">
        <is>
          <t>040702</t>
        </is>
      </c>
      <c r="E229" s="5" t="n">
        <v>458931.05</v>
      </c>
      <c r="F229" t="n">
        <v>4</v>
      </c>
      <c r="G229" t="n">
        <v>4</v>
      </c>
      <c r="I229" t="n">
        <v>4</v>
      </c>
      <c r="J229" s="5" t="n">
        <v>1835724.2</v>
      </c>
      <c r="K229" s="5" t="n">
        <v>1835724.2</v>
      </c>
      <c r="L229" s="5" t="n">
        <v>0</v>
      </c>
    </row>
    <row r="230">
      <c r="A230" t="inlineStr">
        <is>
          <t>PUNO</t>
        </is>
      </c>
      <c r="B230" t="inlineStr">
        <is>
          <t>YUNGUYO</t>
        </is>
      </c>
      <c r="C230" t="inlineStr">
        <is>
          <t>YUNGUYO</t>
        </is>
      </c>
      <c r="D230" t="inlineStr">
        <is>
          <t>211301</t>
        </is>
      </c>
      <c r="E230" s="5" t="n">
        <v>433393.08</v>
      </c>
      <c r="F230" t="n">
        <v>1</v>
      </c>
      <c r="G230" t="n">
        <v>2</v>
      </c>
      <c r="H230" t="n">
        <v>3</v>
      </c>
      <c r="I230" t="n">
        <v>2</v>
      </c>
      <c r="J230" s="5" t="n">
        <v>433393.08</v>
      </c>
      <c r="K230" s="5" t="n">
        <v>866786.16</v>
      </c>
      <c r="L230" s="5" t="n">
        <v>1300179.24</v>
      </c>
    </row>
    <row r="231">
      <c r="A231" t="inlineStr">
        <is>
          <t>PIURA</t>
        </is>
      </c>
      <c r="B231" t="inlineStr">
        <is>
          <t>PIURA</t>
        </is>
      </c>
      <c r="C231" t="inlineStr">
        <is>
          <t>CATACAOS</t>
        </is>
      </c>
      <c r="D231" t="inlineStr">
        <is>
          <t>200105</t>
        </is>
      </c>
      <c r="E231" s="5" t="n">
        <v>423581.35</v>
      </c>
      <c r="F231" t="n">
        <v>2</v>
      </c>
      <c r="G231" t="n">
        <v>4</v>
      </c>
      <c r="I231" t="n">
        <v>3</v>
      </c>
      <c r="J231" s="5" t="n">
        <v>847162.7</v>
      </c>
      <c r="K231" s="5" t="n">
        <v>1694325.4</v>
      </c>
      <c r="L231" s="5" t="n">
        <v>0</v>
      </c>
    </row>
    <row r="232">
      <c r="A232" t="inlineStr">
        <is>
          <t>ANCASH</t>
        </is>
      </c>
      <c r="B232" t="inlineStr">
        <is>
          <t>YUNGAY</t>
        </is>
      </c>
      <c r="C232" t="inlineStr">
        <is>
          <t>YUNGAY</t>
        </is>
      </c>
      <c r="D232" t="inlineStr">
        <is>
          <t>022001</t>
        </is>
      </c>
      <c r="E232" s="5" t="n">
        <v>394418.42</v>
      </c>
      <c r="F232" t="n">
        <v>5</v>
      </c>
      <c r="G232" t="n">
        <v>3</v>
      </c>
      <c r="H232" t="n">
        <v>3</v>
      </c>
      <c r="I232" t="n">
        <v>3.67</v>
      </c>
      <c r="J232" s="5" t="n">
        <v>1972092.1</v>
      </c>
      <c r="K232" s="5" t="n">
        <v>1183255.26</v>
      </c>
      <c r="L232" s="5" t="n">
        <v>1183255.26</v>
      </c>
    </row>
    <row r="233">
      <c r="A233" t="inlineStr">
        <is>
          <t>CAJAMARCA</t>
        </is>
      </c>
      <c r="B233" t="inlineStr">
        <is>
          <t>CELENDIN</t>
        </is>
      </c>
      <c r="C233" t="inlineStr">
        <is>
          <t>CELENDIN</t>
        </is>
      </c>
      <c r="D233" t="inlineStr">
        <is>
          <t>060301</t>
        </is>
      </c>
      <c r="E233" s="5" t="n">
        <v>387767.88</v>
      </c>
      <c r="F233" t="n">
        <v>5</v>
      </c>
      <c r="G233" t="n">
        <v>3</v>
      </c>
      <c r="H233" t="n">
        <v>3</v>
      </c>
      <c r="I233" t="n">
        <v>3.67</v>
      </c>
      <c r="J233" s="5" t="n">
        <v>1938839.4</v>
      </c>
      <c r="K233" s="5" t="n">
        <v>1163303.64</v>
      </c>
      <c r="L233" s="5" t="n">
        <v>1163303.64</v>
      </c>
    </row>
    <row r="234">
      <c r="A234" t="inlineStr">
        <is>
          <t>LIMA</t>
        </is>
      </c>
      <c r="B234" t="inlineStr">
        <is>
          <t>LIMA</t>
        </is>
      </c>
      <c r="C234" t="inlineStr">
        <is>
          <t>SANTA ROSA</t>
        </is>
      </c>
      <c r="D234" t="inlineStr">
        <is>
          <t>150139</t>
        </is>
      </c>
      <c r="E234" s="5" t="n">
        <v>384670.18</v>
      </c>
      <c r="F234" t="n">
        <v>3</v>
      </c>
      <c r="G234" t="n">
        <v>2</v>
      </c>
      <c r="I234" t="n">
        <v>2.5</v>
      </c>
      <c r="J234" s="5" t="n">
        <v>1154010.54</v>
      </c>
      <c r="K234" s="5" t="n">
        <v>769340.36</v>
      </c>
      <c r="L234" s="5" t="n">
        <v>0</v>
      </c>
    </row>
    <row r="235">
      <c r="A235" t="inlineStr">
        <is>
          <t>LIMA</t>
        </is>
      </c>
      <c r="B235" t="inlineStr">
        <is>
          <t>CAÑETE</t>
        </is>
      </c>
      <c r="C235" t="inlineStr">
        <is>
          <t>MALA</t>
        </is>
      </c>
      <c r="D235" t="inlineStr">
        <is>
          <t>150509</t>
        </is>
      </c>
      <c r="E235" s="5" t="n">
        <v>384247.91</v>
      </c>
      <c r="F235" t="n">
        <v>3</v>
      </c>
      <c r="G235" t="n">
        <v>3</v>
      </c>
      <c r="I235" t="n">
        <v>3</v>
      </c>
      <c r="J235" s="5" t="n">
        <v>1152743.73</v>
      </c>
      <c r="K235" s="5" t="n">
        <v>1152743.73</v>
      </c>
      <c r="L235" s="5" t="n">
        <v>0</v>
      </c>
    </row>
    <row r="236">
      <c r="A236" t="inlineStr">
        <is>
          <t>LIMA</t>
        </is>
      </c>
      <c r="B236" t="inlineStr">
        <is>
          <t>HUAURA</t>
        </is>
      </c>
      <c r="C236" t="inlineStr">
        <is>
          <t>VEGUETA</t>
        </is>
      </c>
      <c r="D236" t="inlineStr">
        <is>
          <t>150812</t>
        </is>
      </c>
      <c r="E236" s="5" t="n">
        <v>375645.66</v>
      </c>
      <c r="F236" t="n">
        <v>3</v>
      </c>
      <c r="G236" t="n">
        <v>4</v>
      </c>
      <c r="I236" t="n">
        <v>3.5</v>
      </c>
      <c r="J236" s="5" t="n">
        <v>1126936.98</v>
      </c>
      <c r="K236" s="5" t="n">
        <v>1502582.64</v>
      </c>
      <c r="L236" s="5" t="n">
        <v>0</v>
      </c>
    </row>
    <row r="237">
      <c r="A237" t="inlineStr">
        <is>
          <t>SAN MARTIN</t>
        </is>
      </c>
      <c r="B237" t="inlineStr">
        <is>
          <t>TOCACHE</t>
        </is>
      </c>
      <c r="C237" t="inlineStr">
        <is>
          <t>TOCACHE</t>
        </is>
      </c>
      <c r="D237" t="inlineStr">
        <is>
          <t>221001</t>
        </is>
      </c>
      <c r="E237" s="5" t="n">
        <v>374897.25</v>
      </c>
      <c r="F237" t="n">
        <v>4</v>
      </c>
      <c r="G237" t="n">
        <v>3</v>
      </c>
      <c r="H237" t="n">
        <v>1</v>
      </c>
      <c r="I237" t="n">
        <v>2.67</v>
      </c>
      <c r="J237" s="5" t="n">
        <v>1499589</v>
      </c>
      <c r="K237" s="5" t="n">
        <v>1124691.75</v>
      </c>
      <c r="L237" s="5" t="n">
        <v>374897.25</v>
      </c>
    </row>
    <row r="238">
      <c r="A238" t="inlineStr">
        <is>
          <t>PASCO</t>
        </is>
      </c>
      <c r="B238" t="inlineStr">
        <is>
          <t>OXAPAMPA</t>
        </is>
      </c>
      <c r="C238" t="inlineStr">
        <is>
          <t>VILLA RICA</t>
        </is>
      </c>
      <c r="D238" t="inlineStr">
        <is>
          <t>190307</t>
        </is>
      </c>
      <c r="E238" s="5" t="n">
        <v>366886.38</v>
      </c>
      <c r="F238" t="n">
        <v>3</v>
      </c>
      <c r="G238" t="n">
        <v>2</v>
      </c>
      <c r="H238" t="n">
        <v>2</v>
      </c>
      <c r="I238" t="n">
        <v>2.33</v>
      </c>
      <c r="J238" s="5" t="n">
        <v>1100659.14</v>
      </c>
      <c r="K238" s="5" t="n">
        <v>733772.76</v>
      </c>
      <c r="L238" s="5" t="n">
        <v>733772.76</v>
      </c>
    </row>
    <row r="239">
      <c r="A239" t="inlineStr">
        <is>
          <t>PIURA</t>
        </is>
      </c>
      <c r="B239" t="inlineStr">
        <is>
          <t>MORROPON</t>
        </is>
      </c>
      <c r="C239" t="inlineStr">
        <is>
          <t>MORROPON</t>
        </is>
      </c>
      <c r="D239" t="inlineStr">
        <is>
          <t>200405</t>
        </is>
      </c>
      <c r="E239" s="5" t="n">
        <v>359967.21</v>
      </c>
      <c r="F239" t="n">
        <v>4</v>
      </c>
      <c r="G239" t="n">
        <v>4</v>
      </c>
      <c r="H239" t="n">
        <v>4</v>
      </c>
      <c r="I239" t="n">
        <v>4</v>
      </c>
      <c r="J239" s="5" t="n">
        <v>1439868.84</v>
      </c>
      <c r="K239" s="5" t="n">
        <v>1439868.84</v>
      </c>
      <c r="L239" s="5" t="n">
        <v>1439868.84</v>
      </c>
    </row>
    <row r="240">
      <c r="A240" t="inlineStr">
        <is>
          <t>CAJAMARCA</t>
        </is>
      </c>
      <c r="B240" t="inlineStr">
        <is>
          <t>SAN IGNACIO</t>
        </is>
      </c>
      <c r="C240" t="inlineStr">
        <is>
          <t>SAN IGNACIO</t>
        </is>
      </c>
      <c r="D240" t="inlineStr">
        <is>
          <t>060901</t>
        </is>
      </c>
      <c r="E240" s="5" t="n">
        <v>338629.63</v>
      </c>
      <c r="F240" t="n">
        <v>4</v>
      </c>
      <c r="G240" t="n">
        <v>2</v>
      </c>
      <c r="H240" t="n">
        <v>2</v>
      </c>
      <c r="I240" t="n">
        <v>2.67</v>
      </c>
      <c r="J240" s="5" t="n">
        <v>1354518.52</v>
      </c>
      <c r="K240" s="5" t="n">
        <v>677259.26</v>
      </c>
      <c r="L240" s="5" t="n">
        <v>677259.26</v>
      </c>
    </row>
    <row r="241">
      <c r="A241" t="inlineStr">
        <is>
          <t>LAMBAYEQUE</t>
        </is>
      </c>
      <c r="B241" t="inlineStr">
        <is>
          <t>CHICLAYO</t>
        </is>
      </c>
      <c r="C241" t="inlineStr">
        <is>
          <t>CAYALTI</t>
        </is>
      </c>
      <c r="D241" t="inlineStr">
        <is>
          <t>140116</t>
        </is>
      </c>
      <c r="E241" s="5" t="n">
        <v>315018.53</v>
      </c>
      <c r="F241" t="n">
        <v>2</v>
      </c>
      <c r="G241" t="n">
        <v>4</v>
      </c>
      <c r="I241" t="n">
        <v>3</v>
      </c>
      <c r="J241" s="5" t="n">
        <v>630037.0600000001</v>
      </c>
      <c r="K241" s="5" t="n">
        <v>1260074.12</v>
      </c>
      <c r="L241" s="5" t="n">
        <v>0</v>
      </c>
    </row>
    <row r="242">
      <c r="A242" t="inlineStr">
        <is>
          <t>PIURA</t>
        </is>
      </c>
      <c r="B242" t="inlineStr">
        <is>
          <t>PIURA</t>
        </is>
      </c>
      <c r="C242" t="inlineStr">
        <is>
          <t>VEINTISEIS DE OCTUBRE</t>
        </is>
      </c>
      <c r="D242" t="inlineStr">
        <is>
          <t>200115</t>
        </is>
      </c>
      <c r="E242" s="5" t="n">
        <v>308982.59</v>
      </c>
      <c r="F242" t="n">
        <v>1</v>
      </c>
      <c r="G242" t="n">
        <v>4</v>
      </c>
      <c r="I242" t="n">
        <v>2.5</v>
      </c>
      <c r="J242" s="5" t="n">
        <v>308982.59</v>
      </c>
      <c r="K242" s="5" t="n">
        <v>1235930.36</v>
      </c>
      <c r="L242" s="5" t="n">
        <v>0</v>
      </c>
    </row>
    <row r="243">
      <c r="A243" t="inlineStr">
        <is>
          <t>PUNO</t>
        </is>
      </c>
      <c r="B243" t="inlineStr">
        <is>
          <t>CHUCUITO</t>
        </is>
      </c>
      <c r="C243" t="inlineStr">
        <is>
          <t>DESAGUADERO</t>
        </is>
      </c>
      <c r="D243" t="inlineStr">
        <is>
          <t>210402</t>
        </is>
      </c>
      <c r="E243" s="5" t="n">
        <v>303420.66</v>
      </c>
      <c r="F243" t="n">
        <v>1</v>
      </c>
      <c r="G243" t="n">
        <v>1</v>
      </c>
      <c r="H243" t="n">
        <v>4</v>
      </c>
      <c r="I243" t="n">
        <v>2</v>
      </c>
      <c r="J243" s="5" t="n">
        <v>303420.66</v>
      </c>
      <c r="K243" s="5" t="n">
        <v>303420.66</v>
      </c>
      <c r="L243" s="5" t="n">
        <v>1213682.64</v>
      </c>
    </row>
    <row r="244">
      <c r="A244" t="inlineStr">
        <is>
          <t>PUNO</t>
        </is>
      </c>
      <c r="B244" t="inlineStr">
        <is>
          <t>CARABAYA</t>
        </is>
      </c>
      <c r="C244" t="inlineStr">
        <is>
          <t>MACUSANI</t>
        </is>
      </c>
      <c r="D244" t="inlineStr">
        <is>
          <t>210301</t>
        </is>
      </c>
      <c r="E244" s="5" t="n">
        <v>301156.45</v>
      </c>
      <c r="F244" t="n">
        <v>4</v>
      </c>
      <c r="G244" t="n">
        <v>2</v>
      </c>
      <c r="H244" t="n">
        <v>2</v>
      </c>
      <c r="I244" t="n">
        <v>2.67</v>
      </c>
      <c r="J244" s="5" t="n">
        <v>1204625.8</v>
      </c>
      <c r="K244" s="5" t="n">
        <v>602312.9</v>
      </c>
      <c r="L244" s="5" t="n">
        <v>602312.9</v>
      </c>
    </row>
    <row r="245">
      <c r="A245" t="inlineStr">
        <is>
          <t>LIMA</t>
        </is>
      </c>
      <c r="B245" t="inlineStr">
        <is>
          <t>HUAURA</t>
        </is>
      </c>
      <c r="C245" t="inlineStr">
        <is>
          <t>SAYAN</t>
        </is>
      </c>
      <c r="D245" t="inlineStr">
        <is>
          <t>150811</t>
        </is>
      </c>
      <c r="E245" s="5" t="n">
        <v>296258.08</v>
      </c>
      <c r="F245" t="n">
        <v>5</v>
      </c>
      <c r="G245" t="n">
        <v>4</v>
      </c>
      <c r="I245" t="n">
        <v>4.5</v>
      </c>
      <c r="J245" s="5" t="n">
        <v>1481290.4</v>
      </c>
      <c r="K245" s="5" t="n">
        <v>1185032.32</v>
      </c>
      <c r="L245" s="5" t="n">
        <v>0</v>
      </c>
    </row>
    <row r="246">
      <c r="A246" t="inlineStr">
        <is>
          <t>LIMA</t>
        </is>
      </c>
      <c r="B246" t="inlineStr">
        <is>
          <t>HUARAL</t>
        </is>
      </c>
      <c r="C246" t="inlineStr">
        <is>
          <t>AUCALLAMA</t>
        </is>
      </c>
      <c r="D246" t="inlineStr">
        <is>
          <t>150604</t>
        </is>
      </c>
      <c r="E246" s="5" t="n">
        <v>294283.97</v>
      </c>
      <c r="F246" t="n">
        <v>4</v>
      </c>
      <c r="G246" t="n">
        <v>3</v>
      </c>
      <c r="I246" t="n">
        <v>3.5</v>
      </c>
      <c r="J246" s="5" t="n">
        <v>1177135.88</v>
      </c>
      <c r="K246" s="5" t="n">
        <v>882851.91</v>
      </c>
      <c r="L246" s="5" t="n">
        <v>0</v>
      </c>
    </row>
    <row r="247">
      <c r="A247" t="inlineStr">
        <is>
          <t>HUANCAVELICA</t>
        </is>
      </c>
      <c r="B247" t="inlineStr">
        <is>
          <t>TAYACAJA</t>
        </is>
      </c>
      <c r="C247" t="inlineStr">
        <is>
          <t>PAMPAS</t>
        </is>
      </c>
      <c r="D247" t="inlineStr">
        <is>
          <t>090701</t>
        </is>
      </c>
      <c r="E247" s="5" t="n">
        <v>282630.19</v>
      </c>
      <c r="F247" t="n">
        <v>4</v>
      </c>
      <c r="G247" t="n">
        <v>1</v>
      </c>
      <c r="H247" t="n">
        <v>4</v>
      </c>
      <c r="I247" t="n">
        <v>3</v>
      </c>
      <c r="J247" s="5" t="n">
        <v>1130520.76</v>
      </c>
      <c r="K247" s="5" t="n">
        <v>282630.19</v>
      </c>
      <c r="L247" s="5" t="n">
        <v>1130520.76</v>
      </c>
    </row>
    <row r="248">
      <c r="A248" t="inlineStr">
        <is>
          <t>HUANUCO</t>
        </is>
      </c>
      <c r="B248" t="inlineStr">
        <is>
          <t>PACHITEA</t>
        </is>
      </c>
      <c r="C248" t="inlineStr">
        <is>
          <t>PANAO</t>
        </is>
      </c>
      <c r="D248" t="inlineStr">
        <is>
          <t>100801</t>
        </is>
      </c>
      <c r="E248" s="5" t="n">
        <v>277871.44</v>
      </c>
      <c r="F248" t="n">
        <v>4</v>
      </c>
      <c r="G248" t="n">
        <v>2</v>
      </c>
      <c r="H248" t="n">
        <v>3</v>
      </c>
      <c r="I248" t="n">
        <v>3</v>
      </c>
      <c r="J248" s="5" t="n">
        <v>1111485.76</v>
      </c>
      <c r="K248" s="5" t="n">
        <v>555742.88</v>
      </c>
      <c r="L248" s="5" t="n">
        <v>833614.3199999999</v>
      </c>
    </row>
    <row r="249">
      <c r="A249" t="inlineStr">
        <is>
          <t>PIURA</t>
        </is>
      </c>
      <c r="B249" t="inlineStr">
        <is>
          <t>PIURA</t>
        </is>
      </c>
      <c r="C249" t="inlineStr">
        <is>
          <t>LAS LOMAS</t>
        </is>
      </c>
      <c r="D249" t="inlineStr">
        <is>
          <t>200111</t>
        </is>
      </c>
      <c r="E249" s="5" t="n">
        <v>274732.73</v>
      </c>
      <c r="F249" t="n">
        <v>4</v>
      </c>
      <c r="G249" t="n">
        <v>3</v>
      </c>
      <c r="H249" t="n">
        <v>4</v>
      </c>
      <c r="I249" t="n">
        <v>3.67</v>
      </c>
      <c r="J249" s="5" t="n">
        <v>1098930.92</v>
      </c>
      <c r="K249" s="5" t="n">
        <v>824198.1899999999</v>
      </c>
      <c r="L249" s="5" t="n">
        <v>1098930.92</v>
      </c>
    </row>
    <row r="250">
      <c r="A250" t="inlineStr">
        <is>
          <t>LAMBAYEQUE</t>
        </is>
      </c>
      <c r="B250" t="inlineStr">
        <is>
          <t>CHICLAYO</t>
        </is>
      </c>
      <c r="C250" t="inlineStr">
        <is>
          <t>PIMENTEL</t>
        </is>
      </c>
      <c r="D250" t="inlineStr">
        <is>
          <t>140112</t>
        </is>
      </c>
      <c r="E250" s="5" t="n">
        <v>274445.07</v>
      </c>
      <c r="F250" t="n">
        <v>1</v>
      </c>
      <c r="G250" t="n">
        <v>4</v>
      </c>
      <c r="I250" t="n">
        <v>2.5</v>
      </c>
      <c r="J250" s="5" t="n">
        <v>274445.07</v>
      </c>
      <c r="K250" s="5" t="n">
        <v>1097780.28</v>
      </c>
      <c r="L250" s="5" t="n">
        <v>0</v>
      </c>
    </row>
    <row r="251">
      <c r="A251" t="inlineStr">
        <is>
          <t>PUNO</t>
        </is>
      </c>
      <c r="B251" t="inlineStr">
        <is>
          <t>MELGAR</t>
        </is>
      </c>
      <c r="C251" t="inlineStr">
        <is>
          <t>AYAVIRI</t>
        </is>
      </c>
      <c r="D251" t="inlineStr">
        <is>
          <t>210801</t>
        </is>
      </c>
      <c r="E251" s="5" t="n">
        <v>267027.5</v>
      </c>
      <c r="F251" t="n">
        <v>4</v>
      </c>
      <c r="G251" t="n">
        <v>3</v>
      </c>
      <c r="H251" t="n">
        <v>3</v>
      </c>
      <c r="I251" t="n">
        <v>3.33</v>
      </c>
      <c r="J251" s="5" t="n">
        <v>1068110</v>
      </c>
      <c r="K251" s="5" t="n">
        <v>801082.5</v>
      </c>
      <c r="L251" s="5" t="n">
        <v>801082.5</v>
      </c>
    </row>
    <row r="252">
      <c r="A252" t="inlineStr">
        <is>
          <t>PIURA</t>
        </is>
      </c>
      <c r="B252" t="inlineStr">
        <is>
          <t>HUANCABAMBA</t>
        </is>
      </c>
      <c r="C252" t="inlineStr">
        <is>
          <t>HUANCABAMBA</t>
        </is>
      </c>
      <c r="D252" t="inlineStr">
        <is>
          <t>200301</t>
        </is>
      </c>
      <c r="E252" s="5" t="n">
        <v>248747.83</v>
      </c>
      <c r="F252" t="n">
        <v>5</v>
      </c>
      <c r="G252" t="n">
        <v>2</v>
      </c>
      <c r="H252" t="n">
        <v>4</v>
      </c>
      <c r="I252" t="n">
        <v>3.67</v>
      </c>
      <c r="J252" s="5" t="n">
        <v>1243739.15</v>
      </c>
      <c r="K252" s="5" t="n">
        <v>497495.66</v>
      </c>
      <c r="L252" s="5" t="n">
        <v>994991.3199999999</v>
      </c>
    </row>
    <row r="253">
      <c r="A253" t="inlineStr">
        <is>
          <t>AREQUIPA</t>
        </is>
      </c>
      <c r="B253" t="inlineStr">
        <is>
          <t>AREQUIPA</t>
        </is>
      </c>
      <c r="C253" t="inlineStr">
        <is>
          <t>YURA</t>
        </is>
      </c>
      <c r="D253" t="inlineStr">
        <is>
          <t>040128</t>
        </is>
      </c>
      <c r="E253" s="5" t="n">
        <v>248014.85</v>
      </c>
      <c r="F253" t="n">
        <v>5</v>
      </c>
      <c r="G253" t="n">
        <v>3</v>
      </c>
      <c r="H253" t="n">
        <v>4</v>
      </c>
      <c r="I253" t="n">
        <v>4</v>
      </c>
      <c r="J253" s="5" t="n">
        <v>1240074.25</v>
      </c>
      <c r="K253" s="5" t="n">
        <v>744044.55</v>
      </c>
      <c r="L253" s="5" t="n">
        <v>992059.4</v>
      </c>
    </row>
    <row r="254">
      <c r="A254" t="inlineStr">
        <is>
          <t>PUNO</t>
        </is>
      </c>
      <c r="B254" t="inlineStr">
        <is>
          <t>CHUCUITO</t>
        </is>
      </c>
      <c r="C254" t="inlineStr">
        <is>
          <t>JULI</t>
        </is>
      </c>
      <c r="D254" t="inlineStr">
        <is>
          <t>210401</t>
        </is>
      </c>
      <c r="E254" s="5" t="n">
        <v>246949.67</v>
      </c>
      <c r="F254" t="n">
        <v>3</v>
      </c>
      <c r="G254" t="n">
        <v>2</v>
      </c>
      <c r="H254" t="n">
        <v>3</v>
      </c>
      <c r="I254" t="n">
        <v>2.67</v>
      </c>
      <c r="J254" s="5" t="n">
        <v>740849.01</v>
      </c>
      <c r="K254" s="5" t="n">
        <v>493899.34</v>
      </c>
      <c r="L254" s="5" t="n">
        <v>740849.01</v>
      </c>
    </row>
    <row r="255">
      <c r="A255" t="inlineStr">
        <is>
          <t>HUANUCO</t>
        </is>
      </c>
      <c r="B255" t="inlineStr">
        <is>
          <t>LEONCIO PRADO</t>
        </is>
      </c>
      <c r="C255" t="inlineStr">
        <is>
          <t>JOSE CRESPO Y CASTILLO</t>
        </is>
      </c>
      <c r="D255" t="inlineStr">
        <is>
          <t>100604</t>
        </is>
      </c>
      <c r="E255" s="5" t="n">
        <v>244605.09</v>
      </c>
      <c r="F255" t="n">
        <v>4</v>
      </c>
      <c r="G255" t="n">
        <v>4</v>
      </c>
      <c r="H255" t="n">
        <v>2</v>
      </c>
      <c r="I255" t="n">
        <v>3.33</v>
      </c>
      <c r="J255" s="5" t="n">
        <v>978420.36</v>
      </c>
      <c r="K255" s="5" t="n">
        <v>978420.36</v>
      </c>
      <c r="L255" s="5" t="n">
        <v>489210.18</v>
      </c>
    </row>
    <row r="256">
      <c r="A256" t="inlineStr">
        <is>
          <t>CUSCO</t>
        </is>
      </c>
      <c r="B256" t="inlineStr">
        <is>
          <t>CANCHIS</t>
        </is>
      </c>
      <c r="C256" t="inlineStr">
        <is>
          <t>COMBAPATA</t>
        </is>
      </c>
      <c r="D256" t="inlineStr">
        <is>
          <t>080603</t>
        </is>
      </c>
      <c r="E256" s="5" t="n">
        <v>242144.95</v>
      </c>
      <c r="F256" t="n">
        <v>4</v>
      </c>
      <c r="G256" t="n">
        <v>3</v>
      </c>
      <c r="H256" t="n">
        <v>3</v>
      </c>
      <c r="I256" t="n">
        <v>3.33</v>
      </c>
      <c r="J256" s="5" t="n">
        <v>968579.8</v>
      </c>
      <c r="K256" s="5" t="n">
        <v>726434.85</v>
      </c>
      <c r="L256" s="5" t="n">
        <v>726434.85</v>
      </c>
    </row>
    <row r="257">
      <c r="A257" t="inlineStr">
        <is>
          <t>LIMA</t>
        </is>
      </c>
      <c r="B257" t="inlineStr">
        <is>
          <t>CAÑETE</t>
        </is>
      </c>
      <c r="C257" t="inlineStr">
        <is>
          <t>SAN LUIS</t>
        </is>
      </c>
      <c r="D257" t="inlineStr">
        <is>
          <t>150514</t>
        </is>
      </c>
      <c r="E257" s="5" t="n">
        <v>238393.21</v>
      </c>
      <c r="J257" s="5" t="n">
        <v>0</v>
      </c>
      <c r="K257" s="5" t="n">
        <v>0</v>
      </c>
      <c r="L257" s="5" t="n">
        <v>0</v>
      </c>
    </row>
    <row r="258">
      <c r="A258" t="inlineStr">
        <is>
          <t>AREQUIPA</t>
        </is>
      </c>
      <c r="B258" t="inlineStr">
        <is>
          <t>AREQUIPA</t>
        </is>
      </c>
      <c r="C258" t="inlineStr">
        <is>
          <t>TIABAYA</t>
        </is>
      </c>
      <c r="D258" t="inlineStr">
        <is>
          <t>040123</t>
        </is>
      </c>
      <c r="E258" s="5" t="n">
        <v>238393.21</v>
      </c>
      <c r="J258" s="5" t="n">
        <v>0</v>
      </c>
      <c r="K258" s="5" t="n">
        <v>0</v>
      </c>
      <c r="L258" s="5" t="n">
        <v>0</v>
      </c>
    </row>
    <row r="259">
      <c r="A259" t="inlineStr">
        <is>
          <t>ANCASH</t>
        </is>
      </c>
      <c r="B259" t="inlineStr">
        <is>
          <t>CASMA</t>
        </is>
      </c>
      <c r="C259" t="inlineStr">
        <is>
          <t>COMANDANTE NOEL</t>
        </is>
      </c>
      <c r="D259" t="inlineStr">
        <is>
          <t>020803</t>
        </is>
      </c>
      <c r="E259" s="5" t="n">
        <v>238393.21</v>
      </c>
      <c r="J259" s="5" t="n">
        <v>0</v>
      </c>
      <c r="K259" s="5" t="n">
        <v>0</v>
      </c>
      <c r="L259" s="5" t="n">
        <v>0</v>
      </c>
    </row>
    <row r="260">
      <c r="A260" t="inlineStr">
        <is>
          <t>ICA</t>
        </is>
      </c>
      <c r="B260" t="inlineStr">
        <is>
          <t>CHINCHA</t>
        </is>
      </c>
      <c r="C260" t="inlineStr">
        <is>
          <t>EL CARMEN</t>
        </is>
      </c>
      <c r="D260" t="inlineStr">
        <is>
          <t>110205</t>
        </is>
      </c>
      <c r="E260" s="5" t="n">
        <v>238393.21</v>
      </c>
      <c r="J260" s="5" t="n">
        <v>0</v>
      </c>
      <c r="K260" s="5" t="n">
        <v>0</v>
      </c>
      <c r="L260" s="5" t="n">
        <v>0</v>
      </c>
    </row>
    <row r="261">
      <c r="A261" t="inlineStr">
        <is>
          <t>LIMA</t>
        </is>
      </c>
      <c r="B261" t="inlineStr">
        <is>
          <t>LIMA</t>
        </is>
      </c>
      <c r="C261" t="inlineStr">
        <is>
          <t>PUNTA HERMOSA</t>
        </is>
      </c>
      <c r="D261" t="inlineStr">
        <is>
          <t>150126</t>
        </is>
      </c>
      <c r="E261" s="5" t="n">
        <v>238393.21</v>
      </c>
      <c r="J261" s="5" t="n">
        <v>0</v>
      </c>
      <c r="K261" s="5" t="n">
        <v>0</v>
      </c>
      <c r="L261" s="5" t="n">
        <v>0</v>
      </c>
    </row>
    <row r="262">
      <c r="A262" t="inlineStr">
        <is>
          <t>LAMBAYEQUE</t>
        </is>
      </c>
      <c r="B262" t="inlineStr">
        <is>
          <t>CHICLAYO</t>
        </is>
      </c>
      <c r="C262" t="inlineStr">
        <is>
          <t>MONSEFU</t>
        </is>
      </c>
      <c r="D262" t="inlineStr">
        <is>
          <t>140108</t>
        </is>
      </c>
      <c r="E262" s="5" t="n">
        <v>238393.21</v>
      </c>
      <c r="J262" s="5" t="n">
        <v>0</v>
      </c>
      <c r="K262" s="5" t="n">
        <v>0</v>
      </c>
      <c r="L262" s="5" t="n">
        <v>0</v>
      </c>
    </row>
    <row r="263">
      <c r="A263" t="inlineStr">
        <is>
          <t>LIMA</t>
        </is>
      </c>
      <c r="B263" t="inlineStr">
        <is>
          <t>CAÑETE</t>
        </is>
      </c>
      <c r="C263" t="inlineStr">
        <is>
          <t>CERRO AZUL</t>
        </is>
      </c>
      <c r="D263" t="inlineStr">
        <is>
          <t>150504</t>
        </is>
      </c>
      <c r="E263" s="5" t="n">
        <v>238393.21</v>
      </c>
      <c r="J263" s="5" t="n">
        <v>0</v>
      </c>
      <c r="K263" s="5" t="n">
        <v>0</v>
      </c>
      <c r="L263" s="5" t="n">
        <v>0</v>
      </c>
    </row>
    <row r="264">
      <c r="A264" t="inlineStr">
        <is>
          <t>JUNIN</t>
        </is>
      </c>
      <c r="B264" t="inlineStr">
        <is>
          <t>YAULI</t>
        </is>
      </c>
      <c r="C264" t="inlineStr">
        <is>
          <t>SANTA ROSA DE SACCO</t>
        </is>
      </c>
      <c r="D264" t="inlineStr">
        <is>
          <t>120808</t>
        </is>
      </c>
      <c r="E264" s="5" t="n">
        <v>238393.21</v>
      </c>
      <c r="J264" s="5" t="n">
        <v>0</v>
      </c>
      <c r="K264" s="5" t="n">
        <v>0</v>
      </c>
      <c r="L264" s="5" t="n">
        <v>0</v>
      </c>
    </row>
    <row r="265">
      <c r="A265" t="inlineStr">
        <is>
          <t>ICA</t>
        </is>
      </c>
      <c r="B265" t="inlineStr">
        <is>
          <t>ICA</t>
        </is>
      </c>
      <c r="C265" t="inlineStr">
        <is>
          <t>LOS AQUIJES</t>
        </is>
      </c>
      <c r="D265" t="inlineStr">
        <is>
          <t>110103</t>
        </is>
      </c>
      <c r="E265" s="5" t="n">
        <v>238393.21</v>
      </c>
      <c r="J265" s="5" t="n">
        <v>0</v>
      </c>
      <c r="K265" s="5" t="n">
        <v>0</v>
      </c>
      <c r="L265" s="5" t="n">
        <v>0</v>
      </c>
    </row>
    <row r="266">
      <c r="A266" t="inlineStr">
        <is>
          <t>JUNIN</t>
        </is>
      </c>
      <c r="B266" t="inlineStr">
        <is>
          <t>JUNIN</t>
        </is>
      </c>
      <c r="C266" t="inlineStr">
        <is>
          <t>CARHUAMAYO</t>
        </is>
      </c>
      <c r="D266" t="inlineStr">
        <is>
          <t>120502</t>
        </is>
      </c>
      <c r="E266" s="5" t="n">
        <v>238393.21</v>
      </c>
      <c r="J266" s="5" t="n">
        <v>0</v>
      </c>
      <c r="K266" s="5" t="n">
        <v>0</v>
      </c>
      <c r="L266" s="5" t="n">
        <v>0</v>
      </c>
    </row>
    <row r="267">
      <c r="A267" t="inlineStr">
        <is>
          <t>LIMA</t>
        </is>
      </c>
      <c r="B267" t="inlineStr">
        <is>
          <t>HUAROCHIRI</t>
        </is>
      </c>
      <c r="C267" t="inlineStr">
        <is>
          <t>SANTA CRUZ DE COCACHACRA</t>
        </is>
      </c>
      <c r="D267" t="inlineStr">
        <is>
          <t>150727</t>
        </is>
      </c>
      <c r="E267" s="5" t="n">
        <v>238393.21</v>
      </c>
      <c r="J267" s="5" t="n">
        <v>0</v>
      </c>
      <c r="K267" s="5" t="n">
        <v>0</v>
      </c>
      <c r="L267" s="5" t="n">
        <v>0</v>
      </c>
    </row>
    <row r="268">
      <c r="A268" t="inlineStr">
        <is>
          <t>PUNO</t>
        </is>
      </c>
      <c r="B268" t="inlineStr">
        <is>
          <t>PUNO</t>
        </is>
      </c>
      <c r="C268" t="inlineStr">
        <is>
          <t>MAÑAZO</t>
        </is>
      </c>
      <c r="D268" t="inlineStr">
        <is>
          <t>210109</t>
        </is>
      </c>
      <c r="E268" s="5" t="n">
        <v>229281.81</v>
      </c>
      <c r="F268" t="n">
        <v>4</v>
      </c>
      <c r="G268" t="n">
        <v>3</v>
      </c>
      <c r="H268" t="n">
        <v>3</v>
      </c>
      <c r="I268" t="n">
        <v>3.33</v>
      </c>
      <c r="J268" s="5" t="n">
        <v>917127.24</v>
      </c>
      <c r="K268" s="5" t="n">
        <v>687845.4300000001</v>
      </c>
      <c r="L268" s="5" t="n">
        <v>687845.4300000001</v>
      </c>
    </row>
    <row r="269">
      <c r="A269" t="inlineStr">
        <is>
          <t>HUANUCO</t>
        </is>
      </c>
      <c r="B269" t="inlineStr">
        <is>
          <t>DOS DE MAYO</t>
        </is>
      </c>
      <c r="C269" t="inlineStr">
        <is>
          <t>LA UNION</t>
        </is>
      </c>
      <c r="D269" t="inlineStr">
        <is>
          <t>100301</t>
        </is>
      </c>
      <c r="E269" s="5" t="n">
        <v>227599.81</v>
      </c>
      <c r="F269" t="n">
        <v>4</v>
      </c>
      <c r="G269" t="n">
        <v>3</v>
      </c>
      <c r="H269" t="n">
        <v>3</v>
      </c>
      <c r="I269" t="n">
        <v>3.33</v>
      </c>
      <c r="J269" s="5" t="n">
        <v>910399.24</v>
      </c>
      <c r="K269" s="5" t="n">
        <v>682799.4300000001</v>
      </c>
      <c r="L269" s="5" t="n">
        <v>682799.4300000001</v>
      </c>
    </row>
    <row r="270">
      <c r="A270" t="inlineStr">
        <is>
          <t>ANCASH</t>
        </is>
      </c>
      <c r="B270" t="inlineStr">
        <is>
          <t>SANTA</t>
        </is>
      </c>
      <c r="C270" t="inlineStr">
        <is>
          <t>NEPEÑA</t>
        </is>
      </c>
      <c r="D270" t="inlineStr">
        <is>
          <t>021806</t>
        </is>
      </c>
      <c r="E270" s="5" t="n">
        <v>224003.2</v>
      </c>
      <c r="F270" t="n">
        <v>2</v>
      </c>
      <c r="G270" t="n">
        <v>4</v>
      </c>
      <c r="I270" t="n">
        <v>3</v>
      </c>
      <c r="J270" s="5" t="n">
        <v>448006.4</v>
      </c>
      <c r="K270" s="5" t="n">
        <v>896012.8</v>
      </c>
      <c r="L270" s="5" t="n">
        <v>0</v>
      </c>
    </row>
    <row r="271">
      <c r="A271" t="inlineStr">
        <is>
          <t>PIURA</t>
        </is>
      </c>
      <c r="B271" t="inlineStr">
        <is>
          <t>TALARA</t>
        </is>
      </c>
      <c r="C271" t="inlineStr">
        <is>
          <t>LOS ORGANOS</t>
        </is>
      </c>
      <c r="D271" t="inlineStr">
        <is>
          <t>200705</t>
        </is>
      </c>
      <c r="E271" s="5" t="n">
        <v>219983.65</v>
      </c>
      <c r="F271" t="n">
        <v>3</v>
      </c>
      <c r="G271" t="n">
        <v>3</v>
      </c>
      <c r="I271" t="n">
        <v>3</v>
      </c>
      <c r="J271" s="5" t="n">
        <v>659950.95</v>
      </c>
      <c r="K271" s="5" t="n">
        <v>659950.95</v>
      </c>
      <c r="L271" s="5" t="n">
        <v>0</v>
      </c>
    </row>
    <row r="272">
      <c r="A272" t="inlineStr">
        <is>
          <t>PUNO</t>
        </is>
      </c>
      <c r="B272" t="inlineStr">
        <is>
          <t>HUANCANE</t>
        </is>
      </c>
      <c r="C272" t="inlineStr">
        <is>
          <t>HUANCANE</t>
        </is>
      </c>
      <c r="D272" t="inlineStr">
        <is>
          <t>210601</t>
        </is>
      </c>
      <c r="E272" s="5" t="n">
        <v>218557.77</v>
      </c>
      <c r="F272" t="n">
        <v>3</v>
      </c>
      <c r="G272" t="n">
        <v>3</v>
      </c>
      <c r="H272" t="n">
        <v>4</v>
      </c>
      <c r="I272" t="n">
        <v>3.33</v>
      </c>
      <c r="J272" s="5" t="n">
        <v>655673.3100000001</v>
      </c>
      <c r="K272" s="5" t="n">
        <v>655673.3100000001</v>
      </c>
      <c r="L272" s="5" t="n">
        <v>874231.08</v>
      </c>
    </row>
    <row r="273">
      <c r="A273" t="inlineStr">
        <is>
          <t>AMAZONAS</t>
        </is>
      </c>
      <c r="B273" t="inlineStr">
        <is>
          <t>BONGARA</t>
        </is>
      </c>
      <c r="C273" t="inlineStr">
        <is>
          <t>JAZAN</t>
        </is>
      </c>
      <c r="D273" t="inlineStr">
        <is>
          <t>010307</t>
        </is>
      </c>
      <c r="E273" s="5" t="n">
        <v>216325.71</v>
      </c>
      <c r="F273" t="n">
        <v>5</v>
      </c>
      <c r="G273" t="n">
        <v>2</v>
      </c>
      <c r="H273" t="n">
        <v>3</v>
      </c>
      <c r="I273" t="n">
        <v>3.33</v>
      </c>
      <c r="J273" s="5" t="n">
        <v>1081628.55</v>
      </c>
      <c r="K273" s="5" t="n">
        <v>432651.42</v>
      </c>
      <c r="L273" s="5" t="n">
        <v>648977.13</v>
      </c>
    </row>
    <row r="274">
      <c r="A274" t="inlineStr">
        <is>
          <t>LIMA</t>
        </is>
      </c>
      <c r="B274" t="inlineStr">
        <is>
          <t>HUAURA</t>
        </is>
      </c>
      <c r="C274" t="inlineStr">
        <is>
          <t>HUALMAY</t>
        </is>
      </c>
      <c r="D274" t="inlineStr">
        <is>
          <t>150805</t>
        </is>
      </c>
      <c r="E274" s="5" t="n">
        <v>207253.75</v>
      </c>
      <c r="F274" t="n">
        <v>1</v>
      </c>
      <c r="G274" t="n">
        <v>5</v>
      </c>
      <c r="I274" t="n">
        <v>3</v>
      </c>
      <c r="J274" s="5" t="n">
        <v>207253.75</v>
      </c>
      <c r="K274" s="5" t="n">
        <v>1036268.75</v>
      </c>
      <c r="L274" s="5" t="n">
        <v>0</v>
      </c>
    </row>
    <row r="275">
      <c r="A275" t="inlineStr">
        <is>
          <t>PIURA</t>
        </is>
      </c>
      <c r="B275" t="inlineStr">
        <is>
          <t>AYABACA</t>
        </is>
      </c>
      <c r="C275" t="inlineStr">
        <is>
          <t>AYABACA</t>
        </is>
      </c>
      <c r="D275" t="inlineStr">
        <is>
          <t>200201</t>
        </is>
      </c>
      <c r="E275" s="5" t="n">
        <v>206331.92</v>
      </c>
      <c r="F275" t="n">
        <v>5</v>
      </c>
      <c r="G275" t="n">
        <v>1</v>
      </c>
      <c r="H275" t="n">
        <v>3</v>
      </c>
      <c r="I275" t="n">
        <v>3</v>
      </c>
      <c r="J275" s="5" t="n">
        <v>1031659.6</v>
      </c>
      <c r="K275" s="5" t="n">
        <v>206331.92</v>
      </c>
      <c r="L275" s="5" t="n">
        <v>618995.76</v>
      </c>
    </row>
    <row r="276">
      <c r="A276" t="inlineStr">
        <is>
          <t>ANCASH</t>
        </is>
      </c>
      <c r="B276" t="inlineStr">
        <is>
          <t>HUARMEY</t>
        </is>
      </c>
      <c r="C276" t="inlineStr">
        <is>
          <t>HUARMEY</t>
        </is>
      </c>
      <c r="D276" t="inlineStr">
        <is>
          <t>021101</t>
        </is>
      </c>
      <c r="E276" s="5" t="n">
        <v>203807.17</v>
      </c>
      <c r="F276" t="n">
        <v>3</v>
      </c>
      <c r="G276" t="n">
        <v>4</v>
      </c>
      <c r="I276" t="n">
        <v>3.5</v>
      </c>
      <c r="J276" s="5" t="n">
        <v>611421.51</v>
      </c>
      <c r="K276" s="5" t="n">
        <v>815228.6800000001</v>
      </c>
      <c r="L276" s="5" t="n">
        <v>0</v>
      </c>
    </row>
    <row r="277">
      <c r="A277" t="inlineStr">
        <is>
          <t>CUSCO</t>
        </is>
      </c>
      <c r="B277" t="inlineStr">
        <is>
          <t>CHUMBIVILCAS</t>
        </is>
      </c>
      <c r="C277" t="inlineStr">
        <is>
          <t>SANTO TOMAS</t>
        </is>
      </c>
      <c r="D277" t="inlineStr">
        <is>
          <t>080701</t>
        </is>
      </c>
      <c r="E277" s="5" t="n">
        <v>203090.78</v>
      </c>
      <c r="F277" t="n">
        <v>4</v>
      </c>
      <c r="G277" t="n">
        <v>3</v>
      </c>
      <c r="H277" t="n">
        <v>3</v>
      </c>
      <c r="I277" t="n">
        <v>3.33</v>
      </c>
      <c r="J277" s="5" t="n">
        <v>812363.12</v>
      </c>
      <c r="K277" s="5" t="n">
        <v>609272.34</v>
      </c>
      <c r="L277" s="5" t="n">
        <v>609272.34</v>
      </c>
    </row>
    <row r="278">
      <c r="A278" t="inlineStr">
        <is>
          <t>AREQUIPA</t>
        </is>
      </c>
      <c r="B278" t="inlineStr">
        <is>
          <t>CASTILLA</t>
        </is>
      </c>
      <c r="C278" t="inlineStr">
        <is>
          <t>APLAO</t>
        </is>
      </c>
      <c r="D278" t="inlineStr">
        <is>
          <t>040401</t>
        </is>
      </c>
      <c r="E278" s="5" t="n">
        <v>201423.14</v>
      </c>
      <c r="F278" t="n">
        <v>4</v>
      </c>
      <c r="G278" t="n">
        <v>4</v>
      </c>
      <c r="I278" t="n">
        <v>4</v>
      </c>
      <c r="J278" s="5" t="n">
        <v>805692.5600000001</v>
      </c>
      <c r="K278" s="5" t="n">
        <v>805692.5600000001</v>
      </c>
      <c r="L278" s="5" t="n">
        <v>0</v>
      </c>
    </row>
    <row r="279">
      <c r="A279" t="inlineStr">
        <is>
          <t>CALLAO</t>
        </is>
      </c>
      <c r="B279" t="inlineStr">
        <is>
          <t>CALLAO</t>
        </is>
      </c>
      <c r="C279" t="inlineStr">
        <is>
          <t>MI PERU</t>
        </is>
      </c>
      <c r="D279" t="inlineStr">
        <is>
          <t>070107</t>
        </is>
      </c>
      <c r="E279" s="5" t="n">
        <v>196988.36</v>
      </c>
      <c r="F279" t="n">
        <v>3</v>
      </c>
      <c r="G279" t="n">
        <v>1</v>
      </c>
      <c r="I279" t="n">
        <v>2</v>
      </c>
      <c r="J279" s="5" t="n">
        <v>590965.08</v>
      </c>
      <c r="K279" s="5" t="n">
        <v>196988.36</v>
      </c>
      <c r="L279" s="5" t="n">
        <v>0</v>
      </c>
    </row>
    <row r="280">
      <c r="A280" t="inlineStr">
        <is>
          <t>PUNO</t>
        </is>
      </c>
      <c r="B280" t="inlineStr">
        <is>
          <t>AZANGARO</t>
        </is>
      </c>
      <c r="C280" t="inlineStr">
        <is>
          <t>AZANGARO</t>
        </is>
      </c>
      <c r="D280" t="inlineStr">
        <is>
          <t>210201</t>
        </is>
      </c>
      <c r="E280" s="5" t="n">
        <v>196632.65</v>
      </c>
      <c r="F280" t="n">
        <v>4</v>
      </c>
      <c r="G280" t="n">
        <v>3</v>
      </c>
      <c r="H280" t="n">
        <v>4</v>
      </c>
      <c r="I280" t="n">
        <v>3.67</v>
      </c>
      <c r="J280" s="5" t="n">
        <v>786530.6</v>
      </c>
      <c r="K280" s="5" t="n">
        <v>589897.95</v>
      </c>
      <c r="L280" s="5" t="n">
        <v>786530.6</v>
      </c>
    </row>
    <row r="281">
      <c r="A281" t="inlineStr">
        <is>
          <t>CAJAMARCA</t>
        </is>
      </c>
      <c r="B281" t="inlineStr">
        <is>
          <t>SAN MARCOS</t>
        </is>
      </c>
      <c r="C281" t="inlineStr">
        <is>
          <t>PEDRO GALVEZ</t>
        </is>
      </c>
      <c r="D281" t="inlineStr">
        <is>
          <t>061001</t>
        </is>
      </c>
      <c r="E281" s="5" t="n">
        <v>192815.07</v>
      </c>
      <c r="F281" t="n">
        <v>4</v>
      </c>
      <c r="G281" t="n">
        <v>3</v>
      </c>
      <c r="H281" t="n">
        <v>3</v>
      </c>
      <c r="I281" t="n">
        <v>3.33</v>
      </c>
      <c r="J281" s="5" t="n">
        <v>771260.28</v>
      </c>
      <c r="K281" s="5" t="n">
        <v>578445.21</v>
      </c>
      <c r="L281" s="5" t="n">
        <v>578445.21</v>
      </c>
    </row>
    <row r="282">
      <c r="A282" t="inlineStr">
        <is>
          <t>AREQUIPA</t>
        </is>
      </c>
      <c r="B282" t="inlineStr">
        <is>
          <t>ISLAY</t>
        </is>
      </c>
      <c r="C282" t="inlineStr">
        <is>
          <t>PUNTA DE BOMBON</t>
        </is>
      </c>
      <c r="D282" t="inlineStr">
        <is>
          <t>040706</t>
        </is>
      </c>
      <c r="E282" s="5" t="n">
        <v>176528.9</v>
      </c>
      <c r="F282" t="n">
        <v>4</v>
      </c>
      <c r="G282" t="n">
        <v>4</v>
      </c>
      <c r="I282" t="n">
        <v>4</v>
      </c>
      <c r="J282" s="5" t="n">
        <v>706115.6</v>
      </c>
      <c r="K282" s="5" t="n">
        <v>706115.6</v>
      </c>
      <c r="L282" s="5" t="n">
        <v>0</v>
      </c>
    </row>
    <row r="283">
      <c r="A283" t="inlineStr">
        <is>
          <t>LA LIBERTAD</t>
        </is>
      </c>
      <c r="B283" t="inlineStr">
        <is>
          <t>SANTIAGO DE CHUCO</t>
        </is>
      </c>
      <c r="C283" t="inlineStr">
        <is>
          <t>SANTIAGO DE CHUCO</t>
        </is>
      </c>
      <c r="D283" t="inlineStr">
        <is>
          <t>131001</t>
        </is>
      </c>
      <c r="E283" s="5" t="n">
        <v>168972.81</v>
      </c>
      <c r="F283" t="n">
        <v>4</v>
      </c>
      <c r="G283" t="n">
        <v>2</v>
      </c>
      <c r="H283" t="n">
        <v>4</v>
      </c>
      <c r="I283" t="n">
        <v>3.33</v>
      </c>
      <c r="J283" s="5" t="n">
        <v>675891.24</v>
      </c>
      <c r="K283" s="5" t="n">
        <v>337945.62</v>
      </c>
      <c r="L283" s="5" t="n">
        <v>675891.24</v>
      </c>
    </row>
    <row r="284">
      <c r="A284" t="inlineStr">
        <is>
          <t>UCAYALI</t>
        </is>
      </c>
      <c r="B284" t="inlineStr">
        <is>
          <t>PADRE ABAD</t>
        </is>
      </c>
      <c r="C284" t="inlineStr">
        <is>
          <t>PADRE ABAD</t>
        </is>
      </c>
      <c r="D284" t="inlineStr">
        <is>
          <t>250301</t>
        </is>
      </c>
      <c r="E284" s="5" t="n">
        <v>163368.31</v>
      </c>
      <c r="F284" t="n">
        <v>3</v>
      </c>
      <c r="G284" t="n">
        <v>2</v>
      </c>
      <c r="H284" t="n">
        <v>2</v>
      </c>
      <c r="I284" t="n">
        <v>2.33</v>
      </c>
      <c r="J284" s="5" t="n">
        <v>490104.93</v>
      </c>
      <c r="K284" s="5" t="n">
        <v>326736.62</v>
      </c>
      <c r="L284" s="5" t="n">
        <v>326736.62</v>
      </c>
    </row>
    <row r="285">
      <c r="A285" t="inlineStr">
        <is>
          <t>ANCASH</t>
        </is>
      </c>
      <c r="B285" t="inlineStr">
        <is>
          <t>SIHUAS</t>
        </is>
      </c>
      <c r="C285" t="inlineStr">
        <is>
          <t>SIHUAS</t>
        </is>
      </c>
      <c r="D285" t="inlineStr">
        <is>
          <t>021901</t>
        </is>
      </c>
      <c r="E285" s="5" t="n">
        <v>162270.68</v>
      </c>
      <c r="F285" t="n">
        <v>5</v>
      </c>
      <c r="G285" t="n">
        <v>3</v>
      </c>
      <c r="H285" t="n">
        <v>3</v>
      </c>
      <c r="I285" t="n">
        <v>3.67</v>
      </c>
      <c r="J285" s="5" t="n">
        <v>811353.4</v>
      </c>
      <c r="K285" s="5" t="n">
        <v>486812.04</v>
      </c>
      <c r="L285" s="5" t="n">
        <v>486812.04</v>
      </c>
    </row>
    <row r="286">
      <c r="A286" t="inlineStr">
        <is>
          <t>CAJAMARCA</t>
        </is>
      </c>
      <c r="B286" t="inlineStr">
        <is>
          <t>SAN MIGUEL</t>
        </is>
      </c>
      <c r="C286" t="inlineStr">
        <is>
          <t>SAN MIGUEL</t>
        </is>
      </c>
      <c r="D286" t="inlineStr">
        <is>
          <t>061101</t>
        </is>
      </c>
      <c r="E286" s="5" t="n">
        <v>162264.37</v>
      </c>
      <c r="F286" t="n">
        <v>4</v>
      </c>
      <c r="G286" t="n">
        <v>2</v>
      </c>
      <c r="H286" t="n">
        <v>4</v>
      </c>
      <c r="I286" t="n">
        <v>3.33</v>
      </c>
      <c r="J286" s="5" t="n">
        <v>649057.48</v>
      </c>
      <c r="K286" s="5" t="n">
        <v>324528.74</v>
      </c>
      <c r="L286" s="5" t="n">
        <v>649057.48</v>
      </c>
    </row>
    <row r="287">
      <c r="A287" t="inlineStr">
        <is>
          <t>LAMBAYEQUE</t>
        </is>
      </c>
      <c r="B287" t="inlineStr">
        <is>
          <t>CHICLAYO</t>
        </is>
      </c>
      <c r="C287" t="inlineStr">
        <is>
          <t>PATAPO</t>
        </is>
      </c>
      <c r="D287" t="inlineStr">
        <is>
          <t>140117</t>
        </is>
      </c>
      <c r="E287" s="5" t="n">
        <v>158339.26</v>
      </c>
      <c r="F287" t="n">
        <v>2</v>
      </c>
      <c r="G287" t="n">
        <v>4</v>
      </c>
      <c r="I287" t="n">
        <v>3</v>
      </c>
      <c r="J287" s="5" t="n">
        <v>316678.52</v>
      </c>
      <c r="K287" s="5" t="n">
        <v>633357.04</v>
      </c>
      <c r="L287" s="5" t="n">
        <v>0</v>
      </c>
    </row>
    <row r="288">
      <c r="A288" t="inlineStr">
        <is>
          <t>LORETO</t>
        </is>
      </c>
      <c r="B288" t="inlineStr">
        <is>
          <t>MAYNAS</t>
        </is>
      </c>
      <c r="C288" t="inlineStr">
        <is>
          <t>SAN JUAN BAUTISTA</t>
        </is>
      </c>
      <c r="D288" t="inlineStr">
        <is>
          <t>160113</t>
        </is>
      </c>
      <c r="E288" s="5" t="n">
        <v>156566.06</v>
      </c>
      <c r="F288" t="n">
        <v>3</v>
      </c>
      <c r="G288" t="n">
        <v>4</v>
      </c>
      <c r="H288" t="n">
        <v>2</v>
      </c>
      <c r="I288" t="n">
        <v>3</v>
      </c>
      <c r="J288" s="5" t="n">
        <v>469698.18</v>
      </c>
      <c r="K288" s="5" t="n">
        <v>626264.24</v>
      </c>
      <c r="L288" s="5" t="n">
        <v>313132.12</v>
      </c>
    </row>
    <row r="289">
      <c r="A289" t="inlineStr">
        <is>
          <t>ANCASH</t>
        </is>
      </c>
      <c r="B289" t="inlineStr">
        <is>
          <t>RECUAY</t>
        </is>
      </c>
      <c r="C289" t="inlineStr">
        <is>
          <t>RECUAY</t>
        </is>
      </c>
      <c r="D289" t="inlineStr">
        <is>
          <t>021701</t>
        </is>
      </c>
      <c r="E289" s="5" t="n">
        <v>154576.31</v>
      </c>
      <c r="F289" t="n">
        <v>4</v>
      </c>
      <c r="G289" t="n">
        <v>3</v>
      </c>
      <c r="H289" t="n">
        <v>3</v>
      </c>
      <c r="I289" t="n">
        <v>3.33</v>
      </c>
      <c r="J289" s="5" t="n">
        <v>618305.24</v>
      </c>
      <c r="K289" s="5" t="n">
        <v>463728.93</v>
      </c>
      <c r="L289" s="5" t="n">
        <v>463728.93</v>
      </c>
    </row>
    <row r="290">
      <c r="A290" t="inlineStr">
        <is>
          <t>PIURA</t>
        </is>
      </c>
      <c r="B290" t="inlineStr">
        <is>
          <t>AYABACA</t>
        </is>
      </c>
      <c r="C290" t="inlineStr">
        <is>
          <t>PAIMAS</t>
        </is>
      </c>
      <c r="D290" t="inlineStr">
        <is>
          <t>200207</t>
        </is>
      </c>
      <c r="E290" s="5" t="n">
        <v>153236.65</v>
      </c>
      <c r="F290" t="n">
        <v>4</v>
      </c>
      <c r="G290" t="n">
        <v>2</v>
      </c>
      <c r="H290" t="n">
        <v>4</v>
      </c>
      <c r="I290" t="n">
        <v>3.33</v>
      </c>
      <c r="J290" s="5" t="n">
        <v>612946.6</v>
      </c>
      <c r="K290" s="5" t="n">
        <v>306473.3</v>
      </c>
      <c r="L290" s="5" t="n">
        <v>612946.6</v>
      </c>
    </row>
    <row r="291">
      <c r="A291" t="inlineStr">
        <is>
          <t>LIMA</t>
        </is>
      </c>
      <c r="B291" t="inlineStr">
        <is>
          <t>CANTA</t>
        </is>
      </c>
      <c r="C291" t="inlineStr">
        <is>
          <t>SANTA ROSA DE QUIVES</t>
        </is>
      </c>
      <c r="D291" t="inlineStr">
        <is>
          <t>150407</t>
        </is>
      </c>
      <c r="E291" s="5" t="n">
        <v>151611.94</v>
      </c>
      <c r="F291" t="n">
        <v>5</v>
      </c>
      <c r="G291" t="n">
        <v>2</v>
      </c>
      <c r="H291" t="n">
        <v>4</v>
      </c>
      <c r="I291" t="n">
        <v>3.67</v>
      </c>
      <c r="J291" s="5" t="n">
        <v>758059.7</v>
      </c>
      <c r="K291" s="5" t="n">
        <v>303223.88</v>
      </c>
      <c r="L291" s="5" t="n">
        <v>606447.76</v>
      </c>
    </row>
    <row r="292">
      <c r="A292" t="inlineStr">
        <is>
          <t>PIURA</t>
        </is>
      </c>
      <c r="B292" t="inlineStr">
        <is>
          <t>SULLANA</t>
        </is>
      </c>
      <c r="C292" t="inlineStr">
        <is>
          <t>IGNACIO ESCUDERO</t>
        </is>
      </c>
      <c r="D292" t="inlineStr">
        <is>
          <t>200603</t>
        </is>
      </c>
      <c r="E292" s="5" t="n">
        <v>148161.47</v>
      </c>
      <c r="F292" t="n">
        <v>3</v>
      </c>
      <c r="G292" t="n">
        <v>4</v>
      </c>
      <c r="I292" t="n">
        <v>3.5</v>
      </c>
      <c r="J292" s="5" t="n">
        <v>444484.41</v>
      </c>
      <c r="K292" s="5" t="n">
        <v>592645.88</v>
      </c>
      <c r="L292" s="5" t="n">
        <v>0</v>
      </c>
    </row>
    <row r="293">
      <c r="A293" t="inlineStr">
        <is>
          <t>CUSCO</t>
        </is>
      </c>
      <c r="B293" t="inlineStr">
        <is>
          <t>CALCA</t>
        </is>
      </c>
      <c r="C293" t="inlineStr">
        <is>
          <t>CALCA</t>
        </is>
      </c>
      <c r="D293" t="inlineStr">
        <is>
          <t>080401</t>
        </is>
      </c>
      <c r="E293" s="5" t="n">
        <v>144830.27</v>
      </c>
      <c r="F293" t="n">
        <v>4</v>
      </c>
      <c r="G293" t="n">
        <v>2</v>
      </c>
      <c r="H293" t="n">
        <v>4</v>
      </c>
      <c r="I293" t="n">
        <v>3.33</v>
      </c>
      <c r="J293" s="5" t="n">
        <v>579321.08</v>
      </c>
      <c r="K293" s="5" t="n">
        <v>289660.54</v>
      </c>
      <c r="L293" s="5" t="n">
        <v>579321.08</v>
      </c>
    </row>
    <row r="294">
      <c r="A294" t="inlineStr">
        <is>
          <t>CAJAMARCA</t>
        </is>
      </c>
      <c r="B294" t="inlineStr">
        <is>
          <t>SANTA CRUZ</t>
        </is>
      </c>
      <c r="C294" t="inlineStr">
        <is>
          <t>SANTA CRUZ</t>
        </is>
      </c>
      <c r="D294" t="inlineStr">
        <is>
          <t>061301</t>
        </is>
      </c>
      <c r="E294" s="5" t="n">
        <v>141021.95</v>
      </c>
      <c r="F294" t="n">
        <v>3</v>
      </c>
      <c r="G294" t="n">
        <v>2</v>
      </c>
      <c r="H294" t="n">
        <v>3</v>
      </c>
      <c r="I294" t="n">
        <v>2.67</v>
      </c>
      <c r="J294" s="5" t="n">
        <v>423065.85</v>
      </c>
      <c r="K294" s="5" t="n">
        <v>282043.9</v>
      </c>
      <c r="L294" s="5" t="n">
        <v>423065.85</v>
      </c>
    </row>
    <row r="295">
      <c r="A295" t="inlineStr">
        <is>
          <t>HUANCAVELICA</t>
        </is>
      </c>
      <c r="B295" t="inlineStr">
        <is>
          <t>ACOBAMBA</t>
        </is>
      </c>
      <c r="C295" t="inlineStr">
        <is>
          <t>PAUCARA</t>
        </is>
      </c>
      <c r="D295" t="inlineStr">
        <is>
          <t>090206</t>
        </is>
      </c>
      <c r="E295" s="5" t="n">
        <v>127980.67</v>
      </c>
      <c r="F295" t="n">
        <v>4</v>
      </c>
      <c r="G295" t="n">
        <v>3</v>
      </c>
      <c r="H295" t="n">
        <v>3</v>
      </c>
      <c r="I295" t="n">
        <v>3.33</v>
      </c>
      <c r="J295" s="5" t="n">
        <v>511922.68</v>
      </c>
      <c r="K295" s="5" t="n">
        <v>383942.01</v>
      </c>
      <c r="L295" s="5" t="n">
        <v>383942.01</v>
      </c>
    </row>
    <row r="296">
      <c r="A296" t="inlineStr">
        <is>
          <t>LIMA</t>
        </is>
      </c>
      <c r="B296" t="inlineStr">
        <is>
          <t>BARRANCA</t>
        </is>
      </c>
      <c r="C296" t="inlineStr">
        <is>
          <t>SUPE PUERTO</t>
        </is>
      </c>
      <c r="D296" t="inlineStr">
        <is>
          <t>150205</t>
        </is>
      </c>
      <c r="E296" s="5" t="n">
        <v>115344.65</v>
      </c>
      <c r="F296" t="n">
        <v>3</v>
      </c>
      <c r="G296" t="n">
        <v>4</v>
      </c>
      <c r="I296" t="n">
        <v>3.5</v>
      </c>
      <c r="J296" s="5" t="n">
        <v>346033.95</v>
      </c>
      <c r="K296" s="5" t="n">
        <v>461378.6</v>
      </c>
      <c r="L296" s="5" t="n">
        <v>0</v>
      </c>
    </row>
    <row r="297">
      <c r="A297" t="inlineStr">
        <is>
          <t>LAMBAYEQUE</t>
        </is>
      </c>
      <c r="B297" t="inlineStr">
        <is>
          <t>CHICLAYO</t>
        </is>
      </c>
      <c r="C297" t="inlineStr">
        <is>
          <t>OYOTUN</t>
        </is>
      </c>
      <c r="D297" t="inlineStr">
        <is>
          <t>140110</t>
        </is>
      </c>
      <c r="E297" s="5" t="n">
        <v>91107.67999999999</v>
      </c>
      <c r="F297" t="n">
        <v>5</v>
      </c>
      <c r="G297" t="n">
        <v>4</v>
      </c>
      <c r="H297" t="n">
        <v>2</v>
      </c>
      <c r="I297" t="n">
        <v>3.67</v>
      </c>
      <c r="J297" s="5" t="n">
        <v>455538.4</v>
      </c>
      <c r="K297" s="5" t="n">
        <v>364430.72</v>
      </c>
      <c r="L297" s="5" t="n">
        <v>182215.36</v>
      </c>
    </row>
    <row r="298">
      <c r="A298" t="inlineStr">
        <is>
          <t>LIMA</t>
        </is>
      </c>
      <c r="B298" t="inlineStr">
        <is>
          <t>BARRANCA</t>
        </is>
      </c>
      <c r="C298" t="inlineStr">
        <is>
          <t>PATIVILCA</t>
        </is>
      </c>
      <c r="D298" t="inlineStr">
        <is>
          <t>150203</t>
        </is>
      </c>
      <c r="E298" s="5" t="n">
        <v>90104.19</v>
      </c>
      <c r="F298" t="n">
        <v>4</v>
      </c>
      <c r="G298" t="n">
        <v>3</v>
      </c>
      <c r="I298" t="n">
        <v>3.5</v>
      </c>
      <c r="J298" s="5" t="n">
        <v>360416.76</v>
      </c>
      <c r="K298" s="5" t="n">
        <v>270312.57</v>
      </c>
      <c r="L298" s="5" t="n">
        <v>0</v>
      </c>
    </row>
    <row r="299">
      <c r="A299" t="inlineStr">
        <is>
          <t>PIURA</t>
        </is>
      </c>
      <c r="B299" t="inlineStr">
        <is>
          <t>MORROPON</t>
        </is>
      </c>
      <c r="C299" t="inlineStr">
        <is>
          <t>LA MATANZA</t>
        </is>
      </c>
      <c r="D299" t="inlineStr">
        <is>
          <t>200404</t>
        </is>
      </c>
      <c r="E299" s="5" t="n">
        <v>82808.00999999999</v>
      </c>
      <c r="F299" t="n">
        <v>2</v>
      </c>
      <c r="G299" t="n">
        <v>5</v>
      </c>
      <c r="H299" t="n">
        <v>2</v>
      </c>
      <c r="I299" t="n">
        <v>3</v>
      </c>
      <c r="J299" s="5" t="n">
        <v>165616.02</v>
      </c>
      <c r="K299" s="5" t="n">
        <v>414040.05</v>
      </c>
      <c r="L299" s="5" t="n">
        <v>165616.02</v>
      </c>
    </row>
    <row r="300">
      <c r="A300" t="inlineStr">
        <is>
          <t>CAJAMARCA</t>
        </is>
      </c>
      <c r="B300" t="inlineStr">
        <is>
          <t>SAN PABLO</t>
        </is>
      </c>
      <c r="C300" t="inlineStr">
        <is>
          <t>SAN PABLO</t>
        </is>
      </c>
      <c r="D300" t="inlineStr">
        <is>
          <t>061201</t>
        </is>
      </c>
      <c r="E300" s="5" t="n">
        <v>75282.75</v>
      </c>
      <c r="F300" t="n">
        <v>4</v>
      </c>
      <c r="G300" t="n">
        <v>1</v>
      </c>
      <c r="H300" t="n">
        <v>4</v>
      </c>
      <c r="I300" t="n">
        <v>3</v>
      </c>
      <c r="J300" s="5" t="n">
        <v>301131</v>
      </c>
      <c r="K300" s="5" t="n">
        <v>75282.75</v>
      </c>
      <c r="L300" s="5" t="n">
        <v>301131</v>
      </c>
    </row>
    <row r="301">
      <c r="A301" t="inlineStr">
        <is>
          <t>TUMBES</t>
        </is>
      </c>
      <c r="B301" t="inlineStr">
        <is>
          <t>ZARUMILLA</t>
        </is>
      </c>
      <c r="C301" t="inlineStr">
        <is>
          <t>ZARUMILLA</t>
        </is>
      </c>
      <c r="D301" t="inlineStr">
        <is>
          <t>240301</t>
        </is>
      </c>
      <c r="E301" s="5" t="n">
        <v>74347.33</v>
      </c>
      <c r="J301" s="5" t="n">
        <v>0</v>
      </c>
      <c r="K301" s="5" t="n">
        <v>0</v>
      </c>
      <c r="L301" s="5" t="n">
        <v>0</v>
      </c>
    </row>
    <row r="302">
      <c r="A302" t="inlineStr">
        <is>
          <t>CUSCO</t>
        </is>
      </c>
      <c r="B302" t="inlineStr">
        <is>
          <t>LA CONVENCION</t>
        </is>
      </c>
      <c r="C302" t="inlineStr">
        <is>
          <t>ECHARATE</t>
        </is>
      </c>
      <c r="D302" t="inlineStr">
        <is>
          <t>080902</t>
        </is>
      </c>
      <c r="E302" s="5" t="n">
        <v>73812.53</v>
      </c>
      <c r="F302" t="n">
        <v>4</v>
      </c>
      <c r="G302" t="n">
        <v>2</v>
      </c>
      <c r="H302" t="n">
        <v>2</v>
      </c>
      <c r="I302" t="n">
        <v>2.67</v>
      </c>
      <c r="J302" s="5" t="n">
        <v>295250.12</v>
      </c>
      <c r="K302" s="5" t="n">
        <v>147625.06</v>
      </c>
      <c r="L302" s="5" t="n">
        <v>147625.06</v>
      </c>
    </row>
    <row r="303">
      <c r="A303" t="inlineStr">
        <is>
          <t>AYACUCHO</t>
        </is>
      </c>
      <c r="B303" t="inlineStr">
        <is>
          <t>LA MAR</t>
        </is>
      </c>
      <c r="C303" t="inlineStr">
        <is>
          <t>TAMBO</t>
        </is>
      </c>
      <c r="D303" t="inlineStr">
        <is>
          <t>050508</t>
        </is>
      </c>
      <c r="E303" s="5" t="n">
        <v>72375.64999999999</v>
      </c>
      <c r="F303" t="n">
        <v>4</v>
      </c>
      <c r="G303" t="n">
        <v>3</v>
      </c>
      <c r="H303" t="n">
        <v>3</v>
      </c>
      <c r="I303" t="n">
        <v>3.33</v>
      </c>
      <c r="J303" s="5" t="n">
        <v>289502.6</v>
      </c>
      <c r="K303" s="5" t="n">
        <v>217126.95</v>
      </c>
      <c r="L303" s="5" t="n">
        <v>217126.95</v>
      </c>
    </row>
    <row r="304">
      <c r="A304" t="inlineStr">
        <is>
          <t>SAN MARTIN</t>
        </is>
      </c>
      <c r="B304" t="inlineStr">
        <is>
          <t>RIOJA</t>
        </is>
      </c>
      <c r="C304" t="inlineStr">
        <is>
          <t>RIOJA</t>
        </is>
      </c>
      <c r="D304" t="inlineStr">
        <is>
          <t>220801</t>
        </is>
      </c>
      <c r="E304" s="5" t="n">
        <v>71671.49000000001</v>
      </c>
      <c r="F304" t="n">
        <v>3</v>
      </c>
      <c r="G304" t="n">
        <v>3</v>
      </c>
      <c r="H304" t="n">
        <v>2</v>
      </c>
      <c r="I304" t="n">
        <v>2.67</v>
      </c>
      <c r="J304" s="5" t="n">
        <v>215014.47</v>
      </c>
      <c r="K304" s="5" t="n">
        <v>215014.47</v>
      </c>
      <c r="L304" s="5" t="n">
        <v>143342.98</v>
      </c>
    </row>
    <row r="305">
      <c r="A305" t="inlineStr">
        <is>
          <t>SAN MARTIN</t>
        </is>
      </c>
      <c r="B305" t="inlineStr">
        <is>
          <t>EL DORADO</t>
        </is>
      </c>
      <c r="C305" t="inlineStr">
        <is>
          <t>SAN JOSE DE SISA</t>
        </is>
      </c>
      <c r="D305" t="inlineStr">
        <is>
          <t>220301</t>
        </is>
      </c>
      <c r="E305" s="5" t="n">
        <v>71651.62</v>
      </c>
      <c r="F305" t="n">
        <v>5</v>
      </c>
      <c r="G305" t="n">
        <v>3</v>
      </c>
      <c r="H305" t="n">
        <v>2</v>
      </c>
      <c r="I305" t="n">
        <v>3.33</v>
      </c>
      <c r="J305" s="5" t="n">
        <v>358258.1</v>
      </c>
      <c r="K305" s="5" t="n">
        <v>214954.86</v>
      </c>
      <c r="L305" s="5" t="n">
        <v>143303.24</v>
      </c>
    </row>
    <row r="306">
      <c r="A306" t="inlineStr">
        <is>
          <t>CAJAMARCA</t>
        </is>
      </c>
      <c r="B306" t="inlineStr">
        <is>
          <t>SAN MIGUEL</t>
        </is>
      </c>
      <c r="C306" t="inlineStr">
        <is>
          <t>TONGOD</t>
        </is>
      </c>
      <c r="D306" t="inlineStr">
        <is>
          <t>061112</t>
        </is>
      </c>
      <c r="E306" s="5" t="n">
        <v>70796.89999999999</v>
      </c>
      <c r="F306" t="n">
        <v>3</v>
      </c>
      <c r="G306" t="n">
        <v>2</v>
      </c>
      <c r="H306" t="n">
        <v>2</v>
      </c>
      <c r="I306" t="n">
        <v>2.33</v>
      </c>
      <c r="J306" s="5" t="n">
        <v>212390.7</v>
      </c>
      <c r="K306" s="5" t="n">
        <v>141593.8</v>
      </c>
      <c r="L306" s="5" t="n">
        <v>141593.8</v>
      </c>
    </row>
    <row r="307">
      <c r="A307" t="inlineStr">
        <is>
          <t>ICA</t>
        </is>
      </c>
      <c r="B307" t="inlineStr">
        <is>
          <t>CHINCHA</t>
        </is>
      </c>
      <c r="C307" t="inlineStr">
        <is>
          <t>PUEBLO NUEVO</t>
        </is>
      </c>
      <c r="D307" t="inlineStr">
        <is>
          <t>110207</t>
        </is>
      </c>
      <c r="E307" s="5" t="n">
        <v>67643.28</v>
      </c>
      <c r="J307" s="5" t="n">
        <v>0</v>
      </c>
      <c r="K307" s="5" t="n">
        <v>0</v>
      </c>
      <c r="L307" s="5" t="n">
        <v>0</v>
      </c>
    </row>
    <row r="308">
      <c r="A308" t="inlineStr">
        <is>
          <t>CAJAMARCA</t>
        </is>
      </c>
      <c r="B308" t="inlineStr">
        <is>
          <t>CHOTA</t>
        </is>
      </c>
      <c r="C308" t="inlineStr">
        <is>
          <t>TACABAMBA</t>
        </is>
      </c>
      <c r="D308" t="inlineStr">
        <is>
          <t>060417</t>
        </is>
      </c>
      <c r="E308" s="5" t="n">
        <v>64377.77</v>
      </c>
      <c r="F308" t="n">
        <v>4</v>
      </c>
      <c r="G308" t="n">
        <v>2</v>
      </c>
      <c r="H308" t="n">
        <v>3</v>
      </c>
      <c r="I308" t="n">
        <v>3</v>
      </c>
      <c r="J308" s="5" t="n">
        <v>257511.08</v>
      </c>
      <c r="K308" s="5" t="n">
        <v>128755.54</v>
      </c>
      <c r="L308" s="5" t="n">
        <v>193133.31</v>
      </c>
    </row>
    <row r="309">
      <c r="A309" t="inlineStr">
        <is>
          <t>ANCASH</t>
        </is>
      </c>
      <c r="B309" t="inlineStr">
        <is>
          <t>BOLOGNESI</t>
        </is>
      </c>
      <c r="C309" t="inlineStr">
        <is>
          <t>CHIQUIAN</t>
        </is>
      </c>
      <c r="D309" t="inlineStr">
        <is>
          <t>020501</t>
        </is>
      </c>
      <c r="E309" s="5" t="n">
        <v>62398.26</v>
      </c>
      <c r="F309" t="n">
        <v>5</v>
      </c>
      <c r="G309" t="n">
        <v>3</v>
      </c>
      <c r="H309" t="n">
        <v>4</v>
      </c>
      <c r="I309" t="n">
        <v>4</v>
      </c>
      <c r="J309" s="5" t="n">
        <v>311991.3</v>
      </c>
      <c r="K309" s="5" t="n">
        <v>187194.78</v>
      </c>
      <c r="L309" s="5" t="n">
        <v>249593.04</v>
      </c>
    </row>
    <row r="310">
      <c r="A310" t="inlineStr">
        <is>
          <t>PIURA</t>
        </is>
      </c>
      <c r="B310" t="inlineStr">
        <is>
          <t>TALARA</t>
        </is>
      </c>
      <c r="C310" t="inlineStr">
        <is>
          <t>MANCORA</t>
        </is>
      </c>
      <c r="D310" t="inlineStr">
        <is>
          <t>200706</t>
        </is>
      </c>
      <c r="E310" s="5" t="n">
        <v>60613.71</v>
      </c>
      <c r="J310" s="5" t="n">
        <v>0</v>
      </c>
      <c r="K310" s="5" t="n">
        <v>0</v>
      </c>
      <c r="L310" s="5" t="n">
        <v>0</v>
      </c>
    </row>
    <row r="311">
      <c r="A311" t="inlineStr">
        <is>
          <t>PIURA</t>
        </is>
      </c>
      <c r="B311" t="inlineStr">
        <is>
          <t>PAITA</t>
        </is>
      </c>
      <c r="C311" t="inlineStr">
        <is>
          <t>COLAN</t>
        </is>
      </c>
      <c r="D311" t="inlineStr">
        <is>
          <t>200504</t>
        </is>
      </c>
      <c r="E311" s="5" t="n">
        <v>59499.07</v>
      </c>
      <c r="F311" t="n">
        <v>2</v>
      </c>
      <c r="G311" t="n">
        <v>5</v>
      </c>
      <c r="I311" t="n">
        <v>3.5</v>
      </c>
      <c r="J311" s="5" t="n">
        <v>118998.14</v>
      </c>
      <c r="K311" s="5" t="n">
        <v>297495.35</v>
      </c>
      <c r="L311" s="5" t="n">
        <v>0</v>
      </c>
    </row>
    <row r="312">
      <c r="A312" t="inlineStr">
        <is>
          <t>SAN MARTIN</t>
        </is>
      </c>
      <c r="B312" t="inlineStr">
        <is>
          <t>HUALLAGA</t>
        </is>
      </c>
      <c r="C312" t="inlineStr">
        <is>
          <t>SAPOSOA</t>
        </is>
      </c>
      <c r="D312" t="inlineStr">
        <is>
          <t>220401</t>
        </is>
      </c>
      <c r="E312" s="5" t="n">
        <v>58958.89</v>
      </c>
      <c r="F312" t="n">
        <v>4</v>
      </c>
      <c r="G312" t="n">
        <v>2</v>
      </c>
      <c r="H312" t="n">
        <v>2</v>
      </c>
      <c r="I312" t="n">
        <v>2.67</v>
      </c>
      <c r="J312" s="5" t="n">
        <v>235835.56</v>
      </c>
      <c r="K312" s="5" t="n">
        <v>117917.78</v>
      </c>
      <c r="L312" s="5" t="n">
        <v>117917.78</v>
      </c>
    </row>
    <row r="313">
      <c r="A313" t="inlineStr">
        <is>
          <t>CUSCO</t>
        </is>
      </c>
      <c r="B313" t="inlineStr">
        <is>
          <t>ACOMAYO</t>
        </is>
      </c>
      <c r="C313" t="inlineStr">
        <is>
          <t>POMACANCHI</t>
        </is>
      </c>
      <c r="D313" t="inlineStr">
        <is>
          <t>080205</t>
        </is>
      </c>
      <c r="E313" s="5" t="n">
        <v>58105.43</v>
      </c>
      <c r="F313" t="n">
        <v>4</v>
      </c>
      <c r="G313" t="n">
        <v>2</v>
      </c>
      <c r="H313" t="n">
        <v>3</v>
      </c>
      <c r="I313" t="n">
        <v>3</v>
      </c>
      <c r="J313" s="5" t="n">
        <v>232421.72</v>
      </c>
      <c r="K313" s="5" t="n">
        <v>116210.86</v>
      </c>
      <c r="L313" s="5" t="n">
        <v>174316.29</v>
      </c>
    </row>
    <row r="314">
      <c r="A314" t="inlineStr">
        <is>
          <t>CAJAMARCA</t>
        </is>
      </c>
      <c r="B314" t="inlineStr">
        <is>
          <t>CHOTA</t>
        </is>
      </c>
      <c r="C314" t="inlineStr">
        <is>
          <t>PACCHA</t>
        </is>
      </c>
      <c r="D314" t="inlineStr">
        <is>
          <t>060413</t>
        </is>
      </c>
      <c r="E314" s="5" t="n">
        <v>54032.36</v>
      </c>
      <c r="F314" t="n">
        <v>4</v>
      </c>
      <c r="G314" t="n">
        <v>2</v>
      </c>
      <c r="H314" t="n">
        <v>3</v>
      </c>
      <c r="I314" t="n">
        <v>3</v>
      </c>
      <c r="J314" s="5" t="n">
        <v>216129.44</v>
      </c>
      <c r="K314" s="5" t="n">
        <v>108064.72</v>
      </c>
      <c r="L314" s="5" t="n">
        <v>162097.08</v>
      </c>
    </row>
    <row r="315">
      <c r="A315" t="inlineStr">
        <is>
          <t>PIURA</t>
        </is>
      </c>
      <c r="B315" t="inlineStr">
        <is>
          <t>SULLANA</t>
        </is>
      </c>
      <c r="C315" t="inlineStr">
        <is>
          <t>MARCAVELICA</t>
        </is>
      </c>
      <c r="D315" t="inlineStr">
        <is>
          <t>200605</t>
        </is>
      </c>
      <c r="E315" s="5" t="n">
        <v>51724.93</v>
      </c>
      <c r="J315" s="5" t="n">
        <v>0</v>
      </c>
      <c r="K315" s="5" t="n">
        <v>0</v>
      </c>
      <c r="L315" s="5" t="n">
        <v>0</v>
      </c>
    </row>
    <row r="316">
      <c r="A316" t="inlineStr">
        <is>
          <t>SAN MARTIN</t>
        </is>
      </c>
      <c r="B316" t="inlineStr">
        <is>
          <t>BELLAVISTA</t>
        </is>
      </c>
      <c r="C316" t="inlineStr">
        <is>
          <t>BELLAVISTA</t>
        </is>
      </c>
      <c r="D316" t="inlineStr">
        <is>
          <t>220201</t>
        </is>
      </c>
      <c r="E316" s="5" t="n">
        <v>49625.71</v>
      </c>
      <c r="F316" t="n">
        <v>4</v>
      </c>
      <c r="G316" t="n">
        <v>4</v>
      </c>
      <c r="H316" t="n">
        <v>3</v>
      </c>
      <c r="I316" t="n">
        <v>3.67</v>
      </c>
      <c r="J316" s="5" t="n">
        <v>198502.84</v>
      </c>
      <c r="K316" s="5" t="n">
        <v>198502.84</v>
      </c>
      <c r="L316" s="5" t="n">
        <v>148877.13</v>
      </c>
    </row>
    <row r="317">
      <c r="A317" t="inlineStr">
        <is>
          <t>CUSCO</t>
        </is>
      </c>
      <c r="B317" t="inlineStr">
        <is>
          <t>LA CONVENCION</t>
        </is>
      </c>
      <c r="C317" t="inlineStr">
        <is>
          <t>HUAYOPATA</t>
        </is>
      </c>
      <c r="D317" t="inlineStr">
        <is>
          <t>080903</t>
        </is>
      </c>
      <c r="E317" s="5" t="n">
        <v>41559.72</v>
      </c>
      <c r="F317" t="n">
        <v>4</v>
      </c>
      <c r="G317" t="n">
        <v>2</v>
      </c>
      <c r="H317" t="n">
        <v>3</v>
      </c>
      <c r="I317" t="n">
        <v>3</v>
      </c>
      <c r="J317" s="5" t="n">
        <v>166238.88</v>
      </c>
      <c r="K317" s="5" t="n">
        <v>83119.44</v>
      </c>
      <c r="L317" s="5" t="n">
        <v>124679.16</v>
      </c>
    </row>
    <row r="318">
      <c r="A318" t="inlineStr">
        <is>
          <t>ANCASH</t>
        </is>
      </c>
      <c r="B318" t="inlineStr">
        <is>
          <t>POMABAMBA</t>
        </is>
      </c>
      <c r="C318" t="inlineStr">
        <is>
          <t>POMABAMBA</t>
        </is>
      </c>
      <c r="D318" t="inlineStr">
        <is>
          <t>021601</t>
        </is>
      </c>
      <c r="E318" s="5" t="n">
        <v>40882.26</v>
      </c>
      <c r="F318" t="n">
        <v>5</v>
      </c>
      <c r="G318" t="n">
        <v>4</v>
      </c>
      <c r="H318" t="n">
        <v>3</v>
      </c>
      <c r="I318" t="n">
        <v>4</v>
      </c>
      <c r="J318" s="5" t="n">
        <v>204411.3</v>
      </c>
      <c r="K318" s="5" t="n">
        <v>163529.04</v>
      </c>
      <c r="L318" s="5" t="n">
        <v>122646.78</v>
      </c>
    </row>
    <row r="319">
      <c r="A319" t="inlineStr">
        <is>
          <t>LIMA</t>
        </is>
      </c>
      <c r="B319" t="inlineStr">
        <is>
          <t>OYON</t>
        </is>
      </c>
      <c r="C319" t="inlineStr">
        <is>
          <t>PACHANGARA</t>
        </is>
      </c>
      <c r="D319" t="inlineStr">
        <is>
          <t>150906</t>
        </is>
      </c>
      <c r="E319" s="5" t="n">
        <v>39905.3</v>
      </c>
      <c r="F319" t="n">
        <v>5</v>
      </c>
      <c r="G319" t="n">
        <v>2</v>
      </c>
      <c r="H319" t="n">
        <v>4</v>
      </c>
      <c r="I319" t="n">
        <v>3.67</v>
      </c>
      <c r="J319" s="5" t="n">
        <v>199526.5</v>
      </c>
      <c r="K319" s="5" t="n">
        <v>79810.60000000001</v>
      </c>
      <c r="L319" s="5" t="n">
        <v>159621.2</v>
      </c>
    </row>
    <row r="320">
      <c r="A320" t="inlineStr">
        <is>
          <t>CUSCO</t>
        </is>
      </c>
      <c r="B320" t="inlineStr">
        <is>
          <t>PAUCARTAMBO</t>
        </is>
      </c>
      <c r="C320" t="inlineStr">
        <is>
          <t>PAUCARTAMBO</t>
        </is>
      </c>
      <c r="D320" t="inlineStr">
        <is>
          <t>081101</t>
        </is>
      </c>
      <c r="E320" s="5" t="n">
        <v>38535.15</v>
      </c>
      <c r="F320" t="n">
        <v>4</v>
      </c>
      <c r="G320" t="n">
        <v>3</v>
      </c>
      <c r="H320" t="n">
        <v>3</v>
      </c>
      <c r="I320" t="n">
        <v>3.33</v>
      </c>
      <c r="J320" s="5" t="n">
        <v>154140.6</v>
      </c>
      <c r="K320" s="5" t="n">
        <v>115605.45</v>
      </c>
      <c r="L320" s="5" t="n">
        <v>115605.45</v>
      </c>
    </row>
    <row r="321">
      <c r="A321" t="inlineStr">
        <is>
          <t>LIMA</t>
        </is>
      </c>
      <c r="B321" t="inlineStr">
        <is>
          <t>HUAURA</t>
        </is>
      </c>
      <c r="C321" t="inlineStr">
        <is>
          <t>CALETA DE CARQUIN</t>
        </is>
      </c>
      <c r="D321" t="inlineStr">
        <is>
          <t>150803</t>
        </is>
      </c>
      <c r="E321" s="5" t="n">
        <v>38213.2</v>
      </c>
      <c r="F321" t="n">
        <v>1</v>
      </c>
      <c r="G321" t="n">
        <v>5</v>
      </c>
      <c r="I321" t="n">
        <v>3</v>
      </c>
      <c r="J321" s="5" t="n">
        <v>38213.2</v>
      </c>
      <c r="K321" s="5" t="n">
        <v>191066</v>
      </c>
      <c r="L321" s="5" t="n">
        <v>0</v>
      </c>
    </row>
    <row r="322">
      <c r="A322" t="inlineStr">
        <is>
          <t>CAJAMARCA</t>
        </is>
      </c>
      <c r="B322" t="inlineStr">
        <is>
          <t>CELENDIN</t>
        </is>
      </c>
      <c r="C322" t="inlineStr">
        <is>
          <t>SOROCHUCO</t>
        </is>
      </c>
      <c r="D322" t="inlineStr">
        <is>
          <t>060309</t>
        </is>
      </c>
      <c r="E322" s="5" t="n">
        <v>32043.3</v>
      </c>
      <c r="F322" t="n">
        <v>4</v>
      </c>
      <c r="G322" t="n">
        <v>2</v>
      </c>
      <c r="H322" t="n">
        <v>3</v>
      </c>
      <c r="I322" t="n">
        <v>3</v>
      </c>
      <c r="J322" s="5" t="n">
        <v>128173.2</v>
      </c>
      <c r="K322" s="5" t="n">
        <v>64086.6</v>
      </c>
      <c r="L322" s="5" t="n">
        <v>96129.89999999999</v>
      </c>
    </row>
    <row r="323">
      <c r="A323" t="inlineStr">
        <is>
          <t>LIMA</t>
        </is>
      </c>
      <c r="B323" t="inlineStr">
        <is>
          <t>CANTA</t>
        </is>
      </c>
      <c r="C323" t="inlineStr">
        <is>
          <t>CANTA</t>
        </is>
      </c>
      <c r="D323" t="inlineStr">
        <is>
          <t>150401</t>
        </is>
      </c>
      <c r="E323" s="5" t="n">
        <v>29893.72</v>
      </c>
      <c r="F323" t="n">
        <v>4</v>
      </c>
      <c r="G323" t="n">
        <v>1</v>
      </c>
      <c r="H323" t="n">
        <v>3</v>
      </c>
      <c r="I323" t="n">
        <v>2.67</v>
      </c>
      <c r="J323" s="5" t="n">
        <v>119574.88</v>
      </c>
      <c r="K323" s="5" t="n">
        <v>29893.72</v>
      </c>
      <c r="L323" s="5" t="n">
        <v>89681.16</v>
      </c>
    </row>
    <row r="324">
      <c r="A324" t="inlineStr">
        <is>
          <t>AYACUCHO</t>
        </is>
      </c>
      <c r="B324" t="inlineStr">
        <is>
          <t>CANGALLO</t>
        </is>
      </c>
      <c r="C324" t="inlineStr">
        <is>
          <t>CANGALLO</t>
        </is>
      </c>
      <c r="D324" t="inlineStr">
        <is>
          <t>050201</t>
        </is>
      </c>
      <c r="E324" s="5" t="n">
        <v>27248.27</v>
      </c>
      <c r="F324" t="n">
        <v>4</v>
      </c>
      <c r="G324" t="n">
        <v>4</v>
      </c>
      <c r="H324" t="n">
        <v>4</v>
      </c>
      <c r="I324" t="n">
        <v>4</v>
      </c>
      <c r="J324" s="5" t="n">
        <v>108993.08</v>
      </c>
      <c r="K324" s="5" t="n">
        <v>108993.08</v>
      </c>
      <c r="L324" s="5" t="n">
        <v>108993.08</v>
      </c>
    </row>
    <row r="325">
      <c r="A325" t="inlineStr">
        <is>
          <t>AREQUIPA</t>
        </is>
      </c>
      <c r="B325" t="inlineStr">
        <is>
          <t>CASTILLA</t>
        </is>
      </c>
      <c r="C325" t="inlineStr">
        <is>
          <t>PAMPACOLCA</t>
        </is>
      </c>
      <c r="D325" t="inlineStr">
        <is>
          <t>040410</t>
        </is>
      </c>
      <c r="E325" s="5" t="n">
        <v>24198.68</v>
      </c>
      <c r="F325" t="n">
        <v>4</v>
      </c>
      <c r="G325" t="n">
        <v>2</v>
      </c>
      <c r="H325" t="n">
        <v>4</v>
      </c>
      <c r="I325" t="n">
        <v>3.33</v>
      </c>
      <c r="J325" s="5" t="n">
        <v>96794.72</v>
      </c>
      <c r="K325" s="5" t="n">
        <v>48397.36</v>
      </c>
      <c r="L325" s="5" t="n">
        <v>96794.72</v>
      </c>
    </row>
    <row r="326">
      <c r="A326" t="inlineStr">
        <is>
          <t>CUSCO</t>
        </is>
      </c>
      <c r="B326" t="inlineStr">
        <is>
          <t>ACOMAYO</t>
        </is>
      </c>
      <c r="C326" t="inlineStr">
        <is>
          <t>ACOMAYO</t>
        </is>
      </c>
      <c r="D326" t="inlineStr">
        <is>
          <t>080201</t>
        </is>
      </c>
      <c r="E326" s="5" t="n">
        <v>22306.7</v>
      </c>
      <c r="F326" t="n">
        <v>4</v>
      </c>
      <c r="G326" t="n">
        <v>2</v>
      </c>
      <c r="H326" t="n">
        <v>3</v>
      </c>
      <c r="I326" t="n">
        <v>3</v>
      </c>
      <c r="J326" s="5" t="n">
        <v>89226.8</v>
      </c>
      <c r="K326" s="5" t="n">
        <v>44613.4</v>
      </c>
      <c r="L326" s="5" t="n">
        <v>66920.10000000001</v>
      </c>
    </row>
    <row r="327">
      <c r="A327" t="inlineStr">
        <is>
          <t>APURIMAC</t>
        </is>
      </c>
      <c r="B327" t="inlineStr">
        <is>
          <t>ANDAHUAYLAS</t>
        </is>
      </c>
      <c r="C327" t="inlineStr">
        <is>
          <t>HUANCARAMA</t>
        </is>
      </c>
      <c r="D327" t="inlineStr">
        <is>
          <t>030204</t>
        </is>
      </c>
      <c r="E327" s="5" t="n">
        <v>20524.84</v>
      </c>
      <c r="F327" t="n">
        <v>4</v>
      </c>
      <c r="G327" t="n">
        <v>2</v>
      </c>
      <c r="H327" t="n">
        <v>4</v>
      </c>
      <c r="I327" t="n">
        <v>3.33</v>
      </c>
      <c r="J327" s="5" t="n">
        <v>82099.36</v>
      </c>
      <c r="K327" s="5" t="n">
        <v>41049.68</v>
      </c>
      <c r="L327" s="5" t="n">
        <v>82099.36</v>
      </c>
    </row>
    <row r="328">
      <c r="A328" t="inlineStr">
        <is>
          <t>TACNA</t>
        </is>
      </c>
      <c r="B328" t="inlineStr">
        <is>
          <t>TACNA</t>
        </is>
      </c>
      <c r="C328" t="inlineStr">
        <is>
          <t>PALCA</t>
        </is>
      </c>
      <c r="D328" t="inlineStr">
        <is>
          <t>230107</t>
        </is>
      </c>
      <c r="E328" s="5" t="n">
        <v>20424.36</v>
      </c>
      <c r="F328" t="n">
        <v>4</v>
      </c>
      <c r="G328" t="n">
        <v>2</v>
      </c>
      <c r="H328" t="n">
        <v>4</v>
      </c>
      <c r="I328" t="n">
        <v>3.33</v>
      </c>
      <c r="J328" s="5" t="n">
        <v>81697.44</v>
      </c>
      <c r="K328" s="5" t="n">
        <v>40848.72</v>
      </c>
      <c r="L328" s="5" t="n">
        <v>81697.44</v>
      </c>
    </row>
    <row r="329">
      <c r="A329" t="inlineStr">
        <is>
          <t>AREQUIPA</t>
        </is>
      </c>
      <c r="B329" t="inlineStr">
        <is>
          <t>CASTILLA</t>
        </is>
      </c>
      <c r="C329" t="inlineStr">
        <is>
          <t>ORCOPAMPA</t>
        </is>
      </c>
      <c r="D329" t="inlineStr">
        <is>
          <t>040409</t>
        </is>
      </c>
      <c r="E329" s="5" t="n">
        <v>16150.69</v>
      </c>
      <c r="F329" t="n">
        <v>4</v>
      </c>
      <c r="G329" t="n">
        <v>3</v>
      </c>
      <c r="H329" t="n">
        <v>4</v>
      </c>
      <c r="I329" t="n">
        <v>3.67</v>
      </c>
      <c r="J329" s="5" t="n">
        <v>64602.76</v>
      </c>
      <c r="K329" s="5" t="n">
        <v>48452.07</v>
      </c>
      <c r="L329" s="5" t="n">
        <v>64602.76</v>
      </c>
    </row>
    <row r="330">
      <c r="A330" t="inlineStr">
        <is>
          <t>LIMA</t>
        </is>
      </c>
      <c r="B330" t="inlineStr">
        <is>
          <t>HUARAL</t>
        </is>
      </c>
      <c r="C330" t="inlineStr">
        <is>
          <t>PACARAOS</t>
        </is>
      </c>
      <c r="D330" t="inlineStr">
        <is>
          <t>150608</t>
        </is>
      </c>
      <c r="E330" s="5" t="n">
        <v>11562.67</v>
      </c>
      <c r="F330" t="n">
        <v>4</v>
      </c>
      <c r="G330" t="n">
        <v>2</v>
      </c>
      <c r="H330" t="n">
        <v>2</v>
      </c>
      <c r="I330" t="n">
        <v>2.67</v>
      </c>
      <c r="J330" s="5" t="n">
        <v>46250.68</v>
      </c>
      <c r="K330" s="5" t="n">
        <v>23125.34</v>
      </c>
      <c r="L330" s="5" t="n">
        <v>23125.34</v>
      </c>
    </row>
    <row r="331">
      <c r="A331" t="inlineStr">
        <is>
          <t>LIMA</t>
        </is>
      </c>
      <c r="B331" t="inlineStr">
        <is>
          <t>HUARAL</t>
        </is>
      </c>
      <c r="C331" t="inlineStr">
        <is>
          <t>ATAVILLOS BAJO</t>
        </is>
      </c>
      <c r="D331" t="inlineStr">
        <is>
          <t>150603</t>
        </is>
      </c>
      <c r="E331" s="5" t="n">
        <v>11280.65</v>
      </c>
      <c r="F331" t="n">
        <v>5</v>
      </c>
      <c r="G331" t="n">
        <v>2</v>
      </c>
      <c r="H331" t="n">
        <v>4</v>
      </c>
      <c r="I331" t="n">
        <v>3.67</v>
      </c>
      <c r="J331" s="5" t="n">
        <v>56403.25</v>
      </c>
      <c r="K331" s="5" t="n">
        <v>22561.3</v>
      </c>
      <c r="L331" s="5" t="n">
        <v>45122.6</v>
      </c>
    </row>
    <row r="332">
      <c r="A332" t="inlineStr">
        <is>
          <t>LIMA</t>
        </is>
      </c>
      <c r="B332" t="inlineStr">
        <is>
          <t>CANTA</t>
        </is>
      </c>
      <c r="C332" t="inlineStr">
        <is>
          <t>SAN BUENAVENTURA</t>
        </is>
      </c>
      <c r="D332" t="inlineStr">
        <is>
          <t>150406</t>
        </is>
      </c>
      <c r="E332" s="5" t="n">
        <v>10998.63</v>
      </c>
      <c r="F332" t="n">
        <v>5</v>
      </c>
      <c r="G332" t="n">
        <v>1</v>
      </c>
      <c r="H332" t="n">
        <v>4</v>
      </c>
      <c r="I332" t="n">
        <v>3.33</v>
      </c>
      <c r="J332" s="5" t="n">
        <v>54993.15</v>
      </c>
      <c r="K332" s="5" t="n">
        <v>10998.63</v>
      </c>
      <c r="L332" s="5" t="n">
        <v>43994.52</v>
      </c>
    </row>
    <row r="333">
      <c r="A333" t="inlineStr">
        <is>
          <t>LA LIBERTAD</t>
        </is>
      </c>
      <c r="B333" t="inlineStr">
        <is>
          <t>PATAZ</t>
        </is>
      </c>
      <c r="C333" t="inlineStr">
        <is>
          <t>PARCOY</t>
        </is>
      </c>
      <c r="D333" t="inlineStr">
        <is>
          <t>130808</t>
        </is>
      </c>
      <c r="E333" s="5" t="n">
        <v>9434.870000000001</v>
      </c>
      <c r="F333" t="n">
        <v>5</v>
      </c>
      <c r="G333" t="n">
        <v>2</v>
      </c>
      <c r="H333" t="n">
        <v>2</v>
      </c>
      <c r="I333" t="n">
        <v>3</v>
      </c>
      <c r="J333" s="5" t="n">
        <v>47174.35</v>
      </c>
      <c r="K333" s="5" t="n">
        <v>18869.74</v>
      </c>
      <c r="L333" s="5" t="n">
        <v>18869.74</v>
      </c>
    </row>
    <row r="334">
      <c r="A334" t="inlineStr">
        <is>
          <t>LIMA</t>
        </is>
      </c>
      <c r="B334" t="inlineStr">
        <is>
          <t>CANTA</t>
        </is>
      </c>
      <c r="C334" t="inlineStr">
        <is>
          <t>HUAROS</t>
        </is>
      </c>
      <c r="D334" t="inlineStr">
        <is>
          <t>150404</t>
        </is>
      </c>
      <c r="E334" s="5" t="n">
        <v>6486.37</v>
      </c>
      <c r="F334" t="n">
        <v>4</v>
      </c>
      <c r="G334" t="n">
        <v>1</v>
      </c>
      <c r="H334" t="n">
        <v>2</v>
      </c>
      <c r="I334" t="n">
        <v>2.33</v>
      </c>
      <c r="J334" s="5" t="n">
        <v>25945.48</v>
      </c>
      <c r="K334" s="5" t="n">
        <v>6486.37</v>
      </c>
      <c r="L334" s="5" t="n">
        <v>12972.74</v>
      </c>
    </row>
    <row r="335">
      <c r="A335" t="inlineStr">
        <is>
          <t>LIMA</t>
        </is>
      </c>
      <c r="B335" t="inlineStr">
        <is>
          <t>CANTA</t>
        </is>
      </c>
      <c r="C335" t="inlineStr">
        <is>
          <t>HUAMANTANGA</t>
        </is>
      </c>
      <c r="D335" t="inlineStr">
        <is>
          <t>150403</t>
        </is>
      </c>
      <c r="E335" s="5" t="n">
        <v>6119.75</v>
      </c>
      <c r="F335" t="n">
        <v>5</v>
      </c>
      <c r="G335" t="n">
        <v>2</v>
      </c>
      <c r="H335" t="n">
        <v>4</v>
      </c>
      <c r="I335" t="n">
        <v>3.67</v>
      </c>
      <c r="J335" s="5" t="n">
        <v>30598.75</v>
      </c>
      <c r="K335" s="5" t="n">
        <v>12239.5</v>
      </c>
      <c r="L335" s="5" t="n">
        <v>24479</v>
      </c>
    </row>
    <row r="336">
      <c r="A336" t="inlineStr">
        <is>
          <t>LIMA</t>
        </is>
      </c>
      <c r="B336" t="inlineStr">
        <is>
          <t>HUARAL</t>
        </is>
      </c>
      <c r="C336" t="inlineStr">
        <is>
          <t>LAMPIAN</t>
        </is>
      </c>
      <c r="D336" t="inlineStr">
        <is>
          <t>150607</t>
        </is>
      </c>
      <c r="E336" s="5" t="n">
        <v>5696.73</v>
      </c>
      <c r="F336" t="n">
        <v>4</v>
      </c>
      <c r="G336" t="n">
        <v>1</v>
      </c>
      <c r="H336" t="n">
        <v>5</v>
      </c>
      <c r="I336" t="n">
        <v>3.33</v>
      </c>
      <c r="J336" s="5" t="n">
        <v>22786.92</v>
      </c>
      <c r="K336" s="5" t="n">
        <v>5696.73</v>
      </c>
      <c r="L336" s="5" t="n">
        <v>28483.65</v>
      </c>
    </row>
    <row r="337">
      <c r="A337" t="inlineStr">
        <is>
          <t>LIMA</t>
        </is>
      </c>
      <c r="B337" t="inlineStr">
        <is>
          <t>OYON</t>
        </is>
      </c>
      <c r="C337" t="inlineStr">
        <is>
          <t>ANDAJES</t>
        </is>
      </c>
      <c r="D337" t="inlineStr">
        <is>
          <t>150902</t>
        </is>
      </c>
      <c r="E337" s="5" t="n">
        <v>4709.67</v>
      </c>
      <c r="F337" t="n">
        <v>4</v>
      </c>
      <c r="G337" t="n">
        <v>2</v>
      </c>
      <c r="H337" t="n">
        <v>4</v>
      </c>
      <c r="I337" t="n">
        <v>3.33</v>
      </c>
      <c r="J337" s="5" t="n">
        <v>18838.68</v>
      </c>
      <c r="K337" s="5" t="n">
        <v>9419.34</v>
      </c>
      <c r="L337" s="5" t="n">
        <v>18838.68</v>
      </c>
    </row>
    <row r="338">
      <c r="A338" t="inlineStr">
        <is>
          <t>LIMA</t>
        </is>
      </c>
      <c r="B338" t="inlineStr">
        <is>
          <t>CANTA</t>
        </is>
      </c>
      <c r="C338" t="inlineStr">
        <is>
          <t>LACHAQUI</t>
        </is>
      </c>
      <c r="D338" t="inlineStr">
        <is>
          <t>150405</t>
        </is>
      </c>
      <c r="E338" s="5" t="n">
        <v>4653.27</v>
      </c>
      <c r="F338" t="n">
        <v>4</v>
      </c>
      <c r="G338" t="n">
        <v>1</v>
      </c>
      <c r="H338" t="n">
        <v>4</v>
      </c>
      <c r="I338" t="n">
        <v>3</v>
      </c>
      <c r="J338" s="5" t="n">
        <v>18613.08</v>
      </c>
      <c r="K338" s="5" t="n">
        <v>4653.27</v>
      </c>
      <c r="L338" s="5" t="n">
        <v>18613.08</v>
      </c>
    </row>
    <row r="339">
      <c r="A339" t="inlineStr">
        <is>
          <t>LIMA</t>
        </is>
      </c>
      <c r="B339" t="inlineStr">
        <is>
          <t>HUARAL</t>
        </is>
      </c>
      <c r="C339" t="inlineStr">
        <is>
          <t>SAN MIGUEL DE ACOS</t>
        </is>
      </c>
      <c r="D339" t="inlineStr">
        <is>
          <t>150609</t>
        </is>
      </c>
      <c r="E339" s="5" t="n">
        <v>4371.25</v>
      </c>
      <c r="F339" t="n">
        <v>4</v>
      </c>
      <c r="G339" t="n">
        <v>2</v>
      </c>
      <c r="H339" t="n">
        <v>4</v>
      </c>
      <c r="I339" t="n">
        <v>3.33</v>
      </c>
      <c r="J339" s="5" t="n">
        <v>17485</v>
      </c>
      <c r="K339" s="5" t="n">
        <v>8742.5</v>
      </c>
      <c r="L339" s="5" t="n">
        <v>17485</v>
      </c>
    </row>
    <row r="340">
      <c r="A340" t="inlineStr">
        <is>
          <t>LIMA</t>
        </is>
      </c>
      <c r="B340" t="inlineStr">
        <is>
          <t>HUARAL</t>
        </is>
      </c>
      <c r="C340" t="inlineStr">
        <is>
          <t>ATAVILLOS ALTO</t>
        </is>
      </c>
      <c r="D340" t="inlineStr">
        <is>
          <t>150602</t>
        </is>
      </c>
      <c r="E340" s="5" t="n">
        <v>4230.24</v>
      </c>
      <c r="F340" t="n">
        <v>4</v>
      </c>
      <c r="G340" t="n">
        <v>1</v>
      </c>
      <c r="H340" t="n">
        <v>2</v>
      </c>
      <c r="I340" t="n">
        <v>2.33</v>
      </c>
      <c r="J340" s="5" t="n">
        <v>16920.96</v>
      </c>
      <c r="K340" s="5" t="n">
        <v>4230.24</v>
      </c>
      <c r="L340" s="5" t="n">
        <v>8460.48</v>
      </c>
    </row>
    <row r="341">
      <c r="A341" t="inlineStr">
        <is>
          <t>LIMA</t>
        </is>
      </c>
      <c r="B341" t="inlineStr">
        <is>
          <t>HUARAL</t>
        </is>
      </c>
      <c r="C341" t="inlineStr">
        <is>
          <t>VEINTISIETE DE NOVIEMBRE</t>
        </is>
      </c>
      <c r="D341" t="inlineStr">
        <is>
          <t>150612</t>
        </is>
      </c>
      <c r="E341" s="5" t="n">
        <v>4032.83</v>
      </c>
      <c r="F341" t="n">
        <v>4</v>
      </c>
      <c r="G341" t="n">
        <v>1</v>
      </c>
      <c r="H341" t="n">
        <v>4</v>
      </c>
      <c r="I341" t="n">
        <v>3</v>
      </c>
      <c r="J341" s="5" t="n">
        <v>16131.32</v>
      </c>
      <c r="K341" s="5" t="n">
        <v>4032.83</v>
      </c>
      <c r="L341" s="5" t="n">
        <v>16131.32</v>
      </c>
    </row>
    <row r="342">
      <c r="A342" t="inlineStr">
        <is>
          <t>LIMA</t>
        </is>
      </c>
      <c r="B342" t="inlineStr">
        <is>
          <t>HUARAL</t>
        </is>
      </c>
      <c r="C342" t="inlineStr">
        <is>
          <t>SANTA CRUZ DE ANDAMARCA</t>
        </is>
      </c>
      <c r="D342" t="inlineStr">
        <is>
          <t>150610</t>
        </is>
      </c>
      <c r="E342" s="5" t="n">
        <v>1833.11</v>
      </c>
      <c r="F342" t="n">
        <v>4</v>
      </c>
      <c r="G342" t="n">
        <v>2</v>
      </c>
      <c r="H342" t="n">
        <v>2</v>
      </c>
      <c r="I342" t="n">
        <v>2.67</v>
      </c>
      <c r="J342" s="5" t="n">
        <v>7332.44</v>
      </c>
      <c r="K342" s="5" t="n">
        <v>3666.22</v>
      </c>
      <c r="L342" s="5" t="n">
        <v>3666.22</v>
      </c>
    </row>
    <row r="343">
      <c r="A343" t="inlineStr">
        <is>
          <t>LIMA</t>
        </is>
      </c>
      <c r="B343" t="inlineStr">
        <is>
          <t>HUARAL</t>
        </is>
      </c>
      <c r="C343" t="inlineStr">
        <is>
          <t>SUMBILCA</t>
        </is>
      </c>
      <c r="D343" t="inlineStr">
        <is>
          <t>150611</t>
        </is>
      </c>
      <c r="E343" s="5" t="n">
        <v>1410.08</v>
      </c>
      <c r="F343" t="n">
        <v>5</v>
      </c>
      <c r="G343" t="n">
        <v>2</v>
      </c>
      <c r="H343" t="n">
        <v>5</v>
      </c>
      <c r="I343" t="n">
        <v>4</v>
      </c>
      <c r="J343" s="5" t="n">
        <v>7050.4</v>
      </c>
      <c r="K343" s="5" t="n">
        <v>2820.16</v>
      </c>
      <c r="L343" s="5" t="n">
        <v>7050.4</v>
      </c>
    </row>
    <row r="344">
      <c r="A344" t="inlineStr">
        <is>
          <t>AREQUIPA</t>
        </is>
      </c>
      <c r="B344" t="inlineStr">
        <is>
          <t>AREQUIPA</t>
        </is>
      </c>
      <c r="C344" t="inlineStr">
        <is>
          <t>MARIANO MELGAR</t>
        </is>
      </c>
      <c r="D344" t="inlineStr">
        <is>
          <t>040109</t>
        </is>
      </c>
      <c r="E344" s="5" t="n">
        <v>377.29</v>
      </c>
      <c r="F344" t="n">
        <v>4</v>
      </c>
      <c r="G344" t="n">
        <v>3</v>
      </c>
      <c r="H344" t="n">
        <v>2</v>
      </c>
      <c r="I344" t="n">
        <v>3</v>
      </c>
      <c r="J344" s="5" t="n">
        <v>1509.16</v>
      </c>
      <c r="K344" s="5" t="n">
        <v>1131.87</v>
      </c>
      <c r="L344" s="5" t="n">
        <v>754.58</v>
      </c>
    </row>
    <row r="345">
      <c r="A345" t="inlineStr">
        <is>
          <t>LIMA</t>
        </is>
      </c>
      <c r="B345" t="inlineStr">
        <is>
          <t>CAÑETE</t>
        </is>
      </c>
      <c r="C345" t="inlineStr">
        <is>
          <t>IMPERIAL</t>
        </is>
      </c>
      <c r="D345" t="inlineStr">
        <is>
          <t>150507</t>
        </is>
      </c>
      <c r="E345" s="5" t="n">
        <v>167.54</v>
      </c>
      <c r="F345" t="n">
        <v>1</v>
      </c>
      <c r="G345" t="n">
        <v>4</v>
      </c>
      <c r="I345" t="n">
        <v>2.5</v>
      </c>
      <c r="J345" s="5" t="n">
        <v>167.54</v>
      </c>
      <c r="K345" s="5" t="n">
        <v>670.16</v>
      </c>
      <c r="L345" s="5" t="n">
        <v>0</v>
      </c>
    </row>
    <row r="346">
      <c r="A346" t="inlineStr">
        <is>
          <t>MOQUEGUA</t>
        </is>
      </c>
      <c r="B346" t="inlineStr">
        <is>
          <t>ILO</t>
        </is>
      </c>
      <c r="C346" t="inlineStr">
        <is>
          <t>PACOCHA</t>
        </is>
      </c>
      <c r="D346" t="inlineStr">
        <is>
          <t>180303</t>
        </is>
      </c>
      <c r="E346" s="5" t="n">
        <v>40.88</v>
      </c>
      <c r="F346" t="n">
        <v>4</v>
      </c>
      <c r="G346" t="n">
        <v>2</v>
      </c>
      <c r="I346" t="n">
        <v>3</v>
      </c>
      <c r="J346" s="5" t="n">
        <v>163.52</v>
      </c>
      <c r="K346" s="5" t="n">
        <v>81.76000000000001</v>
      </c>
      <c r="L346" s="5" t="n">
        <v>0</v>
      </c>
    </row>
    <row r="347">
      <c r="A347" t="inlineStr">
        <is>
          <t>LIMA</t>
        </is>
      </c>
      <c r="B347" t="inlineStr">
        <is>
          <t>OYON</t>
        </is>
      </c>
      <c r="C347" t="inlineStr">
        <is>
          <t>NAVAN</t>
        </is>
      </c>
      <c r="D347" t="inlineStr">
        <is>
          <t>150905</t>
        </is>
      </c>
      <c r="E347" s="5" t="n">
        <v>36.1</v>
      </c>
      <c r="J347" s="5" t="n">
        <v>0</v>
      </c>
      <c r="K347" s="5" t="n">
        <v>0</v>
      </c>
      <c r="L347" s="5" t="n">
        <v>0</v>
      </c>
    </row>
    <row r="348">
      <c r="A348" t="inlineStr">
        <is>
          <t>AREQUIPA</t>
        </is>
      </c>
      <c r="B348" t="inlineStr">
        <is>
          <t>AREQUIPA</t>
        </is>
      </c>
      <c r="C348" t="inlineStr">
        <is>
          <t>YARABAMBA</t>
        </is>
      </c>
      <c r="D348" t="inlineStr">
        <is>
          <t>040127</t>
        </is>
      </c>
      <c r="E348" s="5" t="n">
        <v>0</v>
      </c>
      <c r="J348" s="5" t="n">
        <v>0</v>
      </c>
      <c r="K348" s="5" t="n">
        <v>0</v>
      </c>
      <c r="L348" s="5" t="n">
        <v>0</v>
      </c>
    </row>
    <row r="349">
      <c r="A349" t="inlineStr">
        <is>
          <t>JUNIN</t>
        </is>
      </c>
      <c r="B349" t="inlineStr">
        <is>
          <t>CHANCHAMAYO</t>
        </is>
      </c>
      <c r="C349" t="inlineStr">
        <is>
          <t>SAN RAMON</t>
        </is>
      </c>
      <c r="D349" t="inlineStr">
        <is>
          <t>120305</t>
        </is>
      </c>
      <c r="E349" s="5" t="n">
        <v>0</v>
      </c>
      <c r="F349" t="n">
        <v>5</v>
      </c>
      <c r="G349" t="n">
        <v>2</v>
      </c>
      <c r="H349" t="n">
        <v>3</v>
      </c>
      <c r="I349" t="n">
        <v>3.33</v>
      </c>
      <c r="J349" s="5" t="n">
        <v>0</v>
      </c>
      <c r="K349" s="5" t="n">
        <v>0</v>
      </c>
      <c r="L349" s="5" t="n">
        <v>0</v>
      </c>
    </row>
    <row r="350">
      <c r="A350" t="inlineStr">
        <is>
          <t>LAMBAYEQUE</t>
        </is>
      </c>
      <c r="B350" t="inlineStr">
        <is>
          <t>LAMBAYEQUE</t>
        </is>
      </c>
      <c r="C350" t="inlineStr">
        <is>
          <t>MOTUPE</t>
        </is>
      </c>
      <c r="D350" t="inlineStr">
        <is>
          <t>140307</t>
        </is>
      </c>
      <c r="E350" s="5" t="n">
        <v>0</v>
      </c>
      <c r="F350" t="n">
        <v>3</v>
      </c>
      <c r="G350" t="n">
        <v>5</v>
      </c>
      <c r="H350" t="n">
        <v>3</v>
      </c>
      <c r="I350" t="n">
        <v>3.67</v>
      </c>
      <c r="J350" s="5" t="n">
        <v>0</v>
      </c>
      <c r="K350" s="5" t="n">
        <v>0</v>
      </c>
      <c r="L350" s="5" t="n">
        <v>0</v>
      </c>
    </row>
    <row r="351">
      <c r="A351" t="inlineStr">
        <is>
          <t>JUNIN</t>
        </is>
      </c>
      <c r="B351" t="inlineStr">
        <is>
          <t>JAUJA</t>
        </is>
      </c>
      <c r="C351" t="inlineStr">
        <is>
          <t>MONOBAMBA</t>
        </is>
      </c>
      <c r="D351" t="inlineStr">
        <is>
          <t>120419</t>
        </is>
      </c>
      <c r="E351" s="5" t="n">
        <v>0</v>
      </c>
      <c r="F351" t="n">
        <v>4</v>
      </c>
      <c r="G351" t="n">
        <v>2</v>
      </c>
      <c r="H351" t="n">
        <v>3</v>
      </c>
      <c r="I351" t="n">
        <v>3</v>
      </c>
      <c r="J351" s="5" t="n">
        <v>0</v>
      </c>
      <c r="K351" s="5" t="n">
        <v>0</v>
      </c>
      <c r="L351" s="5" t="n">
        <v>0</v>
      </c>
    </row>
    <row r="352">
      <c r="A352" t="inlineStr">
        <is>
          <t>CAJAMARCA</t>
        </is>
      </c>
      <c r="B352" t="inlineStr">
        <is>
          <t>CHOTA</t>
        </is>
      </c>
      <c r="C352" t="inlineStr">
        <is>
          <t>HUAMBOS</t>
        </is>
      </c>
      <c r="D352" t="inlineStr">
        <is>
          <t>060409</t>
        </is>
      </c>
      <c r="E352" s="5" t="n">
        <v>0</v>
      </c>
      <c r="F352" t="n">
        <v>4</v>
      </c>
      <c r="G352" t="n">
        <v>1</v>
      </c>
      <c r="H352" t="n">
        <v>3</v>
      </c>
      <c r="I352" t="n">
        <v>2.67</v>
      </c>
      <c r="J352" s="5" t="n">
        <v>0</v>
      </c>
      <c r="K352" s="5" t="n">
        <v>0</v>
      </c>
      <c r="L352" s="5" t="n">
        <v>0</v>
      </c>
    </row>
    <row r="353">
      <c r="A353" t="inlineStr">
        <is>
          <t>CUSCO</t>
        </is>
      </c>
      <c r="B353" t="inlineStr">
        <is>
          <t>CHUMBIVILCAS</t>
        </is>
      </c>
      <c r="C353" t="inlineStr">
        <is>
          <t>VELILLE</t>
        </is>
      </c>
      <c r="D353" t="inlineStr">
        <is>
          <t>080708</t>
        </is>
      </c>
      <c r="E353" s="5" t="n">
        <v>0</v>
      </c>
      <c r="J353" s="5" t="n">
        <v>0</v>
      </c>
      <c r="K353" s="5" t="n">
        <v>0</v>
      </c>
      <c r="L353" s="5" t="n">
        <v>0</v>
      </c>
    </row>
    <row r="354">
      <c r="A354" t="inlineStr">
        <is>
          <t>AYACUCHO</t>
        </is>
      </c>
      <c r="B354" t="inlineStr">
        <is>
          <t>PAUCAR DEL SARA SARA</t>
        </is>
      </c>
      <c r="C354" t="inlineStr">
        <is>
          <t>OYOLO</t>
        </is>
      </c>
      <c r="D354" t="inlineStr">
        <is>
          <t>050806</t>
        </is>
      </c>
      <c r="E354" s="5" t="n">
        <v>0</v>
      </c>
      <c r="J354" s="5" t="n">
        <v>0</v>
      </c>
      <c r="K354" s="5" t="n">
        <v>0</v>
      </c>
      <c r="L354" s="5" t="n">
        <v>0</v>
      </c>
    </row>
    <row r="355">
      <c r="A355" t="inlineStr">
        <is>
          <t>JUNIN</t>
        </is>
      </c>
      <c r="B355" t="inlineStr">
        <is>
          <t>TARMA</t>
        </is>
      </c>
      <c r="C355" t="inlineStr">
        <is>
          <t>LA UNION</t>
        </is>
      </c>
      <c r="D355" t="inlineStr">
        <is>
          <t>120705</t>
        </is>
      </c>
      <c r="E355" s="5" t="n">
        <v>0</v>
      </c>
      <c r="F355" t="n">
        <v>4</v>
      </c>
      <c r="G355" t="n">
        <v>3</v>
      </c>
      <c r="H355" t="n">
        <v>4</v>
      </c>
      <c r="I355" t="n">
        <v>3.67</v>
      </c>
      <c r="J355" s="5" t="n">
        <v>0</v>
      </c>
      <c r="K355" s="5" t="n">
        <v>0</v>
      </c>
      <c r="L355" s="5" t="n">
        <v>0</v>
      </c>
    </row>
    <row r="356">
      <c r="A356" t="inlineStr">
        <is>
          <t>CAJAMARCA</t>
        </is>
      </c>
      <c r="B356" t="inlineStr">
        <is>
          <t>SANTA CRUZ</t>
        </is>
      </c>
      <c r="C356" t="inlineStr">
        <is>
          <t>PULAN</t>
        </is>
      </c>
      <c r="D356" t="inlineStr">
        <is>
          <t>061307</t>
        </is>
      </c>
      <c r="E356" s="5" t="n">
        <v>0</v>
      </c>
      <c r="F356" t="n">
        <v>4</v>
      </c>
      <c r="G356" t="n">
        <v>1</v>
      </c>
      <c r="H356" t="n">
        <v>3</v>
      </c>
      <c r="I356" t="n">
        <v>2.67</v>
      </c>
      <c r="J356" s="5" t="n">
        <v>0</v>
      </c>
      <c r="K356" s="5" t="n">
        <v>0</v>
      </c>
      <c r="L356" s="5" t="n">
        <v>0</v>
      </c>
    </row>
    <row r="357">
      <c r="A357" t="inlineStr">
        <is>
          <t>LAMBAYEQUE</t>
        </is>
      </c>
      <c r="B357" t="inlineStr">
        <is>
          <t>CHICLAYO</t>
        </is>
      </c>
      <c r="C357" t="inlineStr">
        <is>
          <t>POMALCA</t>
        </is>
      </c>
      <c r="D357" t="inlineStr">
        <is>
          <t>140118</t>
        </is>
      </c>
      <c r="E357" s="5" t="n">
        <v>0</v>
      </c>
      <c r="F357" t="n">
        <v>1</v>
      </c>
      <c r="G357" t="n">
        <v>4</v>
      </c>
      <c r="I357" t="n">
        <v>2.5</v>
      </c>
      <c r="J357" s="5" t="n">
        <v>0</v>
      </c>
      <c r="K357" s="5" t="n">
        <v>0</v>
      </c>
      <c r="L357" s="5" t="n">
        <v>0</v>
      </c>
    </row>
    <row r="358">
      <c r="A358" t="inlineStr">
        <is>
          <t>ANCASH</t>
        </is>
      </c>
      <c r="B358" t="inlineStr">
        <is>
          <t>HUAYLAS</t>
        </is>
      </c>
      <c r="C358" t="inlineStr">
        <is>
          <t>YURACMARCA</t>
        </is>
      </c>
      <c r="D358" t="inlineStr">
        <is>
          <t>021210</t>
        </is>
      </c>
      <c r="E358" s="5" t="n">
        <v>0</v>
      </c>
      <c r="F358" t="n">
        <v>5</v>
      </c>
      <c r="G358" t="n">
        <v>3</v>
      </c>
      <c r="H358" t="n">
        <v>4</v>
      </c>
      <c r="I358" t="n">
        <v>4</v>
      </c>
      <c r="J358" s="5" t="n">
        <v>0</v>
      </c>
      <c r="K358" s="5" t="n">
        <v>0</v>
      </c>
      <c r="L358" s="5" t="n">
        <v>0</v>
      </c>
    </row>
    <row r="359">
      <c r="A359" t="inlineStr">
        <is>
          <t>CAJAMARCA</t>
        </is>
      </c>
      <c r="B359" t="inlineStr">
        <is>
          <t>HUALGAYOC</t>
        </is>
      </c>
      <c r="C359" t="inlineStr">
        <is>
          <t>HUALGAYOC</t>
        </is>
      </c>
      <c r="D359" t="inlineStr">
        <is>
          <t>060703</t>
        </is>
      </c>
      <c r="E359" s="5" t="n">
        <v>0</v>
      </c>
      <c r="F359" t="n">
        <v>4</v>
      </c>
      <c r="G359" t="n">
        <v>2</v>
      </c>
      <c r="H359" t="n">
        <v>3</v>
      </c>
      <c r="I359" t="n">
        <v>3</v>
      </c>
      <c r="J359" s="5" t="n">
        <v>0</v>
      </c>
      <c r="K359" s="5" t="n">
        <v>0</v>
      </c>
      <c r="L359" s="5" t="n">
        <v>0</v>
      </c>
    </row>
    <row r="360">
      <c r="A360" t="inlineStr">
        <is>
          <t>PASCO</t>
        </is>
      </c>
      <c r="B360" t="inlineStr">
        <is>
          <t>PASCO</t>
        </is>
      </c>
      <c r="C360" t="inlineStr">
        <is>
          <t>HUAYLLAY</t>
        </is>
      </c>
      <c r="D360" t="inlineStr">
        <is>
          <t>190104</t>
        </is>
      </c>
      <c r="E360" s="5" t="n">
        <v>0</v>
      </c>
      <c r="F360" t="n">
        <v>4</v>
      </c>
      <c r="G360" t="n">
        <v>4</v>
      </c>
      <c r="H360" t="n">
        <v>3</v>
      </c>
      <c r="I360" t="n">
        <v>3.67</v>
      </c>
      <c r="J360" s="5" t="n">
        <v>0</v>
      </c>
      <c r="K360" s="5" t="n">
        <v>0</v>
      </c>
      <c r="L360" s="5" t="n">
        <v>0</v>
      </c>
    </row>
    <row r="361">
      <c r="A361" t="inlineStr">
        <is>
          <t>SAN MARTIN</t>
        </is>
      </c>
      <c r="B361" t="inlineStr">
        <is>
          <t>RIOJA</t>
        </is>
      </c>
      <c r="C361" t="inlineStr">
        <is>
          <t>ELIAS SOPLIN VARGAS</t>
        </is>
      </c>
      <c r="D361" t="inlineStr">
        <is>
          <t>220803</t>
        </is>
      </c>
      <c r="E361" s="5" t="n">
        <v>0</v>
      </c>
      <c r="F361" t="n">
        <v>4</v>
      </c>
      <c r="G361" t="n">
        <v>2</v>
      </c>
      <c r="H361" t="n">
        <v>2</v>
      </c>
      <c r="I361" t="n">
        <v>2.67</v>
      </c>
      <c r="J361" s="5" t="n">
        <v>0</v>
      </c>
      <c r="K361" s="5" t="n">
        <v>0</v>
      </c>
      <c r="L361" s="5" t="n">
        <v>0</v>
      </c>
    </row>
    <row r="362">
      <c r="A362" t="inlineStr">
        <is>
          <t>TACNA</t>
        </is>
      </c>
      <c r="B362" t="inlineStr">
        <is>
          <t>TACNA</t>
        </is>
      </c>
      <c r="C362" t="inlineStr">
        <is>
          <t>CORONEL GREGORIO ALBARRACIN LANCHIPA</t>
        </is>
      </c>
      <c r="D362" t="inlineStr">
        <is>
          <t>230110</t>
        </is>
      </c>
      <c r="E362" s="5" t="n">
        <v>0</v>
      </c>
      <c r="F362" t="n">
        <v>3</v>
      </c>
      <c r="G362" t="n">
        <v>5</v>
      </c>
      <c r="I362" t="n">
        <v>4</v>
      </c>
      <c r="J362" s="5" t="n">
        <v>0</v>
      </c>
      <c r="K362" s="5" t="n">
        <v>0</v>
      </c>
      <c r="L362" s="5" t="n">
        <v>0</v>
      </c>
    </row>
    <row r="363">
      <c r="A363" t="inlineStr">
        <is>
          <t>JUNIN</t>
        </is>
      </c>
      <c r="B363" t="inlineStr">
        <is>
          <t>YAULI</t>
        </is>
      </c>
      <c r="C363" t="inlineStr">
        <is>
          <t>SANTA BARBARA DE CARHUACAYAN</t>
        </is>
      </c>
      <c r="D363" t="inlineStr">
        <is>
          <t>120807</t>
        </is>
      </c>
      <c r="E363" s="5" t="n">
        <v>0</v>
      </c>
      <c r="F363" t="n">
        <v>4</v>
      </c>
      <c r="G363" t="n">
        <v>2</v>
      </c>
      <c r="H363" t="n">
        <v>3</v>
      </c>
      <c r="I363" t="n">
        <v>3</v>
      </c>
      <c r="J363" s="5" t="n">
        <v>0</v>
      </c>
      <c r="K363" s="5" t="n">
        <v>0</v>
      </c>
      <c r="L363" s="5" t="n">
        <v>0</v>
      </c>
    </row>
    <row r="364">
      <c r="A364" t="inlineStr">
        <is>
          <t>AYACUCHO</t>
        </is>
      </c>
      <c r="B364" t="inlineStr">
        <is>
          <t>LUCANAS</t>
        </is>
      </c>
      <c r="C364" t="inlineStr">
        <is>
          <t>SAN PEDRO</t>
        </is>
      </c>
      <c r="D364" t="inlineStr">
        <is>
          <t>050617</t>
        </is>
      </c>
      <c r="E364" s="5" t="n">
        <v>0</v>
      </c>
      <c r="F364" t="n">
        <v>5</v>
      </c>
      <c r="G364" t="n">
        <v>3</v>
      </c>
      <c r="H364" t="n">
        <v>4</v>
      </c>
      <c r="I364" t="n">
        <v>4</v>
      </c>
      <c r="J364" s="5" t="n">
        <v>0</v>
      </c>
      <c r="K364" s="5" t="n">
        <v>0</v>
      </c>
      <c r="L364" s="5" t="n">
        <v>0</v>
      </c>
    </row>
    <row r="365">
      <c r="A365" t="inlineStr">
        <is>
          <t>ANCASH</t>
        </is>
      </c>
      <c r="B365" t="inlineStr">
        <is>
          <t>HUAYLAS</t>
        </is>
      </c>
      <c r="C365" t="inlineStr">
        <is>
          <t>HUALLANCA</t>
        </is>
      </c>
      <c r="D365" t="inlineStr">
        <is>
          <t>021202</t>
        </is>
      </c>
      <c r="E365" s="5" t="n">
        <v>0</v>
      </c>
      <c r="J365" s="5" t="n">
        <v>0</v>
      </c>
      <c r="K365" s="5" t="n">
        <v>0</v>
      </c>
      <c r="L365" s="5" t="n">
        <v>0</v>
      </c>
    </row>
    <row r="366">
      <c r="A366" t="inlineStr">
        <is>
          <t>CAJAMARCA</t>
        </is>
      </c>
      <c r="B366" t="inlineStr">
        <is>
          <t>CHOTA</t>
        </is>
      </c>
      <c r="C366" t="inlineStr">
        <is>
          <t>LLAMA</t>
        </is>
      </c>
      <c r="D366" t="inlineStr">
        <is>
          <t>060411</t>
        </is>
      </c>
      <c r="E366" s="5" t="n">
        <v>0</v>
      </c>
      <c r="J366" s="5" t="n">
        <v>0</v>
      </c>
      <c r="K366" s="5" t="n">
        <v>0</v>
      </c>
      <c r="L366" s="5" t="n">
        <v>0</v>
      </c>
    </row>
    <row r="367">
      <c r="A367" t="inlineStr">
        <is>
          <t>LIMA</t>
        </is>
      </c>
      <c r="B367" t="inlineStr">
        <is>
          <t>HUAURA</t>
        </is>
      </c>
      <c r="C367" t="inlineStr">
        <is>
          <t>CHECRAS</t>
        </is>
      </c>
      <c r="D367" t="inlineStr">
        <is>
          <t>150804</t>
        </is>
      </c>
      <c r="E367" s="5" t="n">
        <v>0</v>
      </c>
      <c r="J367" s="5" t="n">
        <v>0</v>
      </c>
      <c r="K367" s="5" t="n">
        <v>0</v>
      </c>
      <c r="L367" s="5" t="n">
        <v>0</v>
      </c>
    </row>
    <row r="368">
      <c r="A368" t="inlineStr">
        <is>
          <t>LIMA</t>
        </is>
      </c>
      <c r="B368" t="inlineStr">
        <is>
          <t>CANTA</t>
        </is>
      </c>
      <c r="C368" t="inlineStr">
        <is>
          <t>ARAHUAY</t>
        </is>
      </c>
      <c r="D368" t="inlineStr">
        <is>
          <t>150402</t>
        </is>
      </c>
      <c r="E368" s="5" t="n">
        <v>0</v>
      </c>
      <c r="J368" s="5" t="n">
        <v>0</v>
      </c>
      <c r="K368" s="5" t="n">
        <v>0</v>
      </c>
      <c r="L368" s="5" t="n">
        <v>0</v>
      </c>
    </row>
    <row r="369">
      <c r="A369" t="inlineStr">
        <is>
          <t>LIMA</t>
        </is>
      </c>
      <c r="B369" t="inlineStr">
        <is>
          <t>HUARAL</t>
        </is>
      </c>
      <c r="C369" t="inlineStr">
        <is>
          <t>IHUARI</t>
        </is>
      </c>
      <c r="D369" t="inlineStr">
        <is>
          <t>150606</t>
        </is>
      </c>
      <c r="E369" s="5" t="n">
        <v>0</v>
      </c>
      <c r="J369" s="5" t="n">
        <v>0</v>
      </c>
      <c r="K369" s="5" t="n">
        <v>0</v>
      </c>
      <c r="L369" s="5" t="n">
        <v>0</v>
      </c>
    </row>
    <row r="370">
      <c r="A370" t="inlineStr">
        <is>
          <t>LIMA</t>
        </is>
      </c>
      <c r="B370" t="inlineStr">
        <is>
          <t>HUAURA</t>
        </is>
      </c>
      <c r="C370" t="inlineStr">
        <is>
          <t>SANTA LEONOR</t>
        </is>
      </c>
      <c r="D370" t="inlineStr">
        <is>
          <t>150809</t>
        </is>
      </c>
      <c r="E370" s="5" t="n">
        <v>0</v>
      </c>
      <c r="J370" s="5" t="n">
        <v>0</v>
      </c>
      <c r="K370" s="5" t="n">
        <v>0</v>
      </c>
      <c r="L370" s="5" t="n">
        <v>0</v>
      </c>
    </row>
    <row r="371">
      <c r="A371" t="inlineStr">
        <is>
          <t>LIMA</t>
        </is>
      </c>
      <c r="B371" t="inlineStr">
        <is>
          <t>HUAURA</t>
        </is>
      </c>
      <c r="C371" t="inlineStr">
        <is>
          <t>AMBAR</t>
        </is>
      </c>
      <c r="D371" t="inlineStr">
        <is>
          <t>150802</t>
        </is>
      </c>
      <c r="E371" s="5" t="n">
        <v>0</v>
      </c>
      <c r="J371" s="5" t="n">
        <v>0</v>
      </c>
      <c r="K371" s="5" t="n">
        <v>0</v>
      </c>
      <c r="L371" s="5" t="n">
        <v>0</v>
      </c>
    </row>
    <row r="372">
      <c r="A372" t="inlineStr">
        <is>
          <t>LIMA</t>
        </is>
      </c>
      <c r="B372" t="inlineStr">
        <is>
          <t>BARRANCA</t>
        </is>
      </c>
      <c r="C372" t="inlineStr">
        <is>
          <t>PARAMONGA</t>
        </is>
      </c>
      <c r="D372" t="inlineStr">
        <is>
          <t>150202</t>
        </is>
      </c>
      <c r="E372" s="5" t="n">
        <v>0</v>
      </c>
      <c r="J372" s="5" t="n">
        <v>0</v>
      </c>
      <c r="K372" s="5" t="n">
        <v>0</v>
      </c>
      <c r="L372" s="5" t="n">
        <v>0</v>
      </c>
    </row>
    <row r="373">
      <c r="A373" t="inlineStr">
        <is>
          <t>LIMA</t>
        </is>
      </c>
      <c r="B373" t="inlineStr">
        <is>
          <t>OYON</t>
        </is>
      </c>
      <c r="C373" t="inlineStr">
        <is>
          <t>CAUJUL</t>
        </is>
      </c>
      <c r="D373" t="inlineStr">
        <is>
          <t>150903</t>
        </is>
      </c>
      <c r="E373" s="5" t="n">
        <v>0</v>
      </c>
      <c r="J373" s="5" t="n">
        <v>0</v>
      </c>
      <c r="K373" s="5" t="n">
        <v>0</v>
      </c>
      <c r="L373" s="5" t="n">
        <v>0</v>
      </c>
    </row>
    <row r="374">
      <c r="A374" t="inlineStr">
        <is>
          <t>LIMA</t>
        </is>
      </c>
      <c r="B374" t="inlineStr">
        <is>
          <t>HUAURA</t>
        </is>
      </c>
      <c r="C374" t="inlineStr">
        <is>
          <t>LEONCIO PRADO</t>
        </is>
      </c>
      <c r="D374" t="inlineStr">
        <is>
          <t>150807</t>
        </is>
      </c>
      <c r="E374" s="5" t="n">
        <v>0</v>
      </c>
      <c r="J374" s="5" t="n">
        <v>0</v>
      </c>
      <c r="K374" s="5" t="n">
        <v>0</v>
      </c>
      <c r="L374" s="5" t="n">
        <v>0</v>
      </c>
    </row>
    <row r="375">
      <c r="A375" t="inlineStr">
        <is>
          <t>LIMA</t>
        </is>
      </c>
      <c r="B375" t="inlineStr">
        <is>
          <t>HUAURA</t>
        </is>
      </c>
      <c r="C375" t="inlineStr">
        <is>
          <t>PACCHO</t>
        </is>
      </c>
      <c r="D375" t="inlineStr">
        <is>
          <t>150808</t>
        </is>
      </c>
      <c r="E375" s="5" t="n">
        <v>0</v>
      </c>
      <c r="J375" s="5" t="n">
        <v>0</v>
      </c>
      <c r="K375" s="5" t="n">
        <v>0</v>
      </c>
      <c r="L375" s="5" t="n">
        <v>0</v>
      </c>
    </row>
    <row r="376">
      <c r="A376" t="inlineStr">
        <is>
          <t>LIMA</t>
        </is>
      </c>
      <c r="B376" t="inlineStr">
        <is>
          <t>OYON</t>
        </is>
      </c>
      <c r="C376" t="inlineStr">
        <is>
          <t>COCHAMARCA</t>
        </is>
      </c>
      <c r="D376" t="inlineStr">
        <is>
          <t>150904</t>
        </is>
      </c>
      <c r="E376" s="5" t="n">
        <v>0</v>
      </c>
      <c r="J376" s="5" t="n">
        <v>0</v>
      </c>
      <c r="K376" s="5" t="n">
        <v>0</v>
      </c>
      <c r="L376" s="5" t="n">
        <v>0</v>
      </c>
    </row>
    <row r="377">
      <c r="A377" t="inlineStr">
        <is>
          <t>ICA</t>
        </is>
      </c>
      <c r="B377" t="inlineStr">
        <is>
          <t>CHINCHA</t>
        </is>
      </c>
      <c r="C377" t="inlineStr">
        <is>
          <t>ALTO LARAN</t>
        </is>
      </c>
      <c r="D377" t="inlineStr">
        <is>
          <t>110202</t>
        </is>
      </c>
      <c r="E377" s="5" t="n">
        <v>0</v>
      </c>
      <c r="J377" s="5" t="n">
        <v>0</v>
      </c>
      <c r="K377" s="5" t="n">
        <v>0</v>
      </c>
      <c r="L377" s="5" t="n">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40" customWidth="1" min="1" max="1"/>
    <col width="26" customWidth="1" min="2" max="2"/>
    <col width="24" customWidth="1" min="3" max="3"/>
    <col width="44" customWidth="1" min="4" max="4"/>
    <col width="14" customWidth="1" min="5" max="5"/>
  </cols>
  <sheetData>
    <row r="1">
      <c r="A1" s="1" t="inlineStr">
        <is>
          <t>Equivalencias de unidades y de nombres de empresa</t>
        </is>
      </c>
    </row>
    <row r="3">
      <c r="A3" s="15" t="inlineStr">
        <is>
          <t>Unidades de medida (todo se lleva a TMF)</t>
        </is>
      </c>
    </row>
    <row r="4">
      <c r="A4" s="3" t="inlineStr">
        <is>
          <t>Abreviatura</t>
        </is>
      </c>
      <c r="B4" s="3" t="inlineStr">
        <is>
          <t>Significado</t>
        </is>
      </c>
      <c r="C4" s="3" t="inlineStr">
        <is>
          <t>Inglés</t>
        </is>
      </c>
      <c r="D4" s="3" t="inlineStr">
        <is>
          <t>Uso típico</t>
        </is>
      </c>
      <c r="E4" s="3" t="inlineStr">
        <is>
          <t>Factor a TMF</t>
        </is>
      </c>
    </row>
    <row r="5">
      <c r="A5" t="inlineStr">
        <is>
          <t>TMF</t>
        </is>
      </c>
      <c r="B5" t="inlineStr">
        <is>
          <t>Tonelada Métrica Fina</t>
        </is>
      </c>
      <c r="C5" t="inlineStr">
        <is>
          <t>Metric Fine Ton (MFT)</t>
        </is>
      </c>
      <c r="D5" t="inlineStr">
        <is>
          <t>Cobre, zinc, plomo, molibdeno, hierro, estaño</t>
        </is>
      </c>
      <c r="E5" t="n">
        <v>1</v>
      </c>
    </row>
    <row r="6">
      <c r="A6" t="inlineStr">
        <is>
          <t>Grs. f.</t>
        </is>
      </c>
      <c r="B6" t="inlineStr">
        <is>
          <t>Gramos finos</t>
        </is>
      </c>
      <c r="C6" t="inlineStr">
        <is>
          <t>Fine grams</t>
        </is>
      </c>
      <c r="D6" t="inlineStr">
        <is>
          <t>Oro</t>
        </is>
      </c>
      <c r="E6" t="inlineStr">
        <is>
          <t>1 / 1,000,000</t>
        </is>
      </c>
    </row>
    <row r="7">
      <c r="A7" t="inlineStr">
        <is>
          <t>Kg. f.</t>
        </is>
      </c>
      <c r="B7" t="inlineStr">
        <is>
          <t>Kilogramos finos</t>
        </is>
      </c>
      <c r="C7" t="inlineStr">
        <is>
          <t>Fine kilograms</t>
        </is>
      </c>
      <c r="D7" t="inlineStr">
        <is>
          <t>Plata</t>
        </is>
      </c>
      <c r="E7" t="inlineStr">
        <is>
          <t>1 / 1,000</t>
        </is>
      </c>
    </row>
    <row r="9">
      <c r="A9" s="15" t="inlineStr">
        <is>
          <t>Equivalencia de empresas (producción → canónico)</t>
        </is>
      </c>
    </row>
    <row r="10">
      <c r="A10" s="3" t="inlineStr">
        <is>
          <t>Nombre en producción (TITULAR)</t>
        </is>
      </c>
      <c r="B10" s="3" t="inlineStr">
        <is>
          <t>Nombre canónico</t>
        </is>
      </c>
    </row>
    <row r="11">
      <c r="A11" t="inlineStr">
        <is>
          <t>COMPAÑIA DE MINAS BUENAVENTURA S.A.A.</t>
        </is>
      </c>
      <c r="B11" t="inlineStr">
        <is>
          <t>Buenaventura</t>
        </is>
      </c>
    </row>
    <row r="12">
      <c r="A12" t="inlineStr">
        <is>
          <t>SOCIEDAD MINERA EL BROCAL S.A.A.</t>
        </is>
      </c>
      <c r="B12" t="inlineStr">
        <is>
          <t>Buenaventura</t>
        </is>
      </c>
    </row>
    <row r="13">
      <c r="A13" t="inlineStr">
        <is>
          <t>VOLCAN COMPAÑIA MINERA S.A.A.</t>
        </is>
      </c>
      <c r="B13" t="inlineStr">
        <is>
          <t>Volcan</t>
        </is>
      </c>
    </row>
    <row r="14">
      <c r="A14" t="inlineStr">
        <is>
          <t>MINSUR S.A.</t>
        </is>
      </c>
      <c r="B14" t="inlineStr">
        <is>
          <t>Minsur</t>
        </is>
      </c>
    </row>
    <row r="15">
      <c r="A15" t="inlineStr">
        <is>
          <t>NEXA RESOURCES PERU S.A.A.</t>
        </is>
      </c>
      <c r="B15" t="inlineStr">
        <is>
          <t>Nexa Resources Perú</t>
        </is>
      </c>
    </row>
    <row r="16">
      <c r="A16" t="inlineStr">
        <is>
          <t>NEXA RESOURCES ATACOCHA S.A.A.</t>
        </is>
      </c>
      <c r="B16" t="inlineStr">
        <is>
          <t>Nexa Resources Perú</t>
        </is>
      </c>
    </row>
    <row r="17">
      <c r="A17" t="inlineStr">
        <is>
          <t>NEXA RESOURCES EL PORVENIR S.A.C.</t>
        </is>
      </c>
      <c r="B17" t="inlineStr">
        <is>
          <t>Nexa Resources Perú</t>
        </is>
      </c>
    </row>
    <row r="18">
      <c r="A18" t="inlineStr">
        <is>
          <t>NEXA RESOURCES CAJAMARQUILLA S.A.</t>
        </is>
      </c>
      <c r="B18" t="inlineStr">
        <is>
          <t>Nexa Resources Perú</t>
        </is>
      </c>
    </row>
    <row r="19">
      <c r="A19" t="inlineStr">
        <is>
          <t>COMPAÑIA MINERA ARES S.A.C.</t>
        </is>
      </c>
      <c r="B19" t="inlineStr">
        <is>
          <t>Hochschild</t>
        </is>
      </c>
    </row>
    <row r="20">
      <c r="A20" t="inlineStr">
        <is>
          <t>SOCIEDAD MINERA CERRO VERDE S.A.A.</t>
        </is>
      </c>
      <c r="B20" t="inlineStr">
        <is>
          <t>Cerro Verde</t>
        </is>
      </c>
    </row>
    <row r="21">
      <c r="A21" t="inlineStr">
        <is>
          <t>MARCOBRE S.A.C.</t>
        </is>
      </c>
      <c r="B21" t="inlineStr">
        <is>
          <t>Minsur</t>
        </is>
      </c>
    </row>
    <row r="22">
      <c r="A22" t="inlineStr">
        <is>
          <t>HUDBAY PERU S.A.C.</t>
        </is>
      </c>
      <c r="B22" t="inlineStr">
        <is>
          <t>Hudbay</t>
        </is>
      </c>
    </row>
    <row r="24">
      <c r="A24" s="15" t="inlineStr">
        <is>
          <t>Equivalencia de empresas (exposición → canónico)</t>
        </is>
      </c>
    </row>
    <row r="25">
      <c r="A25" s="3" t="inlineStr">
        <is>
          <t>Nombre en Valorización (col. H)</t>
        </is>
      </c>
      <c r="B25" s="3" t="inlineStr">
        <is>
          <t>Nombre canónico</t>
        </is>
      </c>
    </row>
    <row r="26">
      <c r="A26" t="inlineStr">
        <is>
          <t>Nexa Resources</t>
        </is>
      </c>
      <c r="B26" t="inlineStr">
        <is>
          <t>Nexa Resources Perú</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2" customWidth="1" min="1" max="1"/>
    <col width="18" customWidth="1" min="2" max="2"/>
    <col width="18" customWidth="1" min="3" max="3"/>
    <col width="20" customWidth="1" min="4" max="4"/>
    <col width="16" customWidth="1" min="5" max="5"/>
    <col width="16" customWidth="1" min="6" max="6"/>
  </cols>
  <sheetData>
    <row r="1">
      <c r="A1" s="1" t="inlineStr">
        <is>
          <t>Filas de producción sin ubigeo asignado (excluidas del mapa)</t>
        </is>
      </c>
    </row>
    <row r="3">
      <c r="A3" s="3" t="inlineStr">
        <is>
          <t>Empresa</t>
        </is>
      </c>
      <c r="B3" s="3" t="inlineStr">
        <is>
          <t>Departamento</t>
        </is>
      </c>
      <c r="C3" s="3" t="inlineStr">
        <is>
          <t>Provincia</t>
        </is>
      </c>
      <c r="D3" s="3" t="inlineStr">
        <is>
          <t>Distrito</t>
        </is>
      </c>
      <c r="E3" s="3" t="inlineStr">
        <is>
          <t>Motivo</t>
        </is>
      </c>
      <c r="F3" s="3" t="inlineStr">
        <is>
          <t>Producción (TMF)</t>
        </is>
      </c>
    </row>
    <row r="4">
      <c r="A4" t="inlineStr">
        <is>
          <t>Aenza</t>
        </is>
      </c>
      <c r="B4" t="inlineStr">
        <is>
          <t>Ica</t>
        </is>
      </c>
      <c r="C4" t="inlineStr">
        <is>
          <t>Nasca</t>
        </is>
      </c>
      <c r="D4" t="inlineStr">
        <is>
          <t>Nasca</t>
        </is>
      </c>
      <c r="E4" t="inlineStr">
        <is>
          <t>no_encontrado</t>
        </is>
      </c>
      <c r="F4" s="11" t="n">
        <v>0.125</v>
      </c>
    </row>
    <row r="5">
      <c r="A5" t="inlineStr">
        <is>
          <t>Banco de Crédito del Perú</t>
        </is>
      </c>
      <c r="B5" t="inlineStr">
        <is>
          <t>Extranjero</t>
        </is>
      </c>
      <c r="C5" t="inlineStr">
        <is>
          <t>Extranjero</t>
        </is>
      </c>
      <c r="D5" t="inlineStr">
        <is>
          <t>Extranjero</t>
        </is>
      </c>
      <c r="E5" t="inlineStr">
        <is>
          <t>extranjero</t>
        </is>
      </c>
      <c r="F5" s="11" t="n">
        <v>797987.6468</v>
      </c>
    </row>
    <row r="6">
      <c r="A6" t="inlineStr">
        <is>
          <t>Casa Andina</t>
        </is>
      </c>
      <c r="B6" t="inlineStr">
        <is>
          <t>Ica</t>
        </is>
      </c>
      <c r="C6" t="inlineStr">
        <is>
          <t>Nasca</t>
        </is>
      </c>
      <c r="D6" t="inlineStr">
        <is>
          <t>Nasca</t>
        </is>
      </c>
      <c r="E6" t="inlineStr">
        <is>
          <t>no_encontrado</t>
        </is>
      </c>
      <c r="F6" s="11" t="n">
        <v>0.0217</v>
      </c>
    </row>
    <row r="7">
      <c r="A7" t="inlineStr">
        <is>
          <t>Compartamos Banco</t>
        </is>
      </c>
      <c r="B7" t="inlineStr">
        <is>
          <t>Tacna</t>
        </is>
      </c>
      <c r="C7" t="inlineStr">
        <is>
          <t>Tacna</t>
        </is>
      </c>
      <c r="D7" t="inlineStr">
        <is>
          <t>Coronel Gregorio Albarracín L</t>
        </is>
      </c>
      <c r="E7" t="inlineStr">
        <is>
          <t>no_encontrado</t>
        </is>
      </c>
      <c r="F7" s="11" t="n">
        <v>26925.0686</v>
      </c>
    </row>
    <row r="8">
      <c r="A8" t="inlineStr">
        <is>
          <t>Credicorp</t>
        </is>
      </c>
      <c r="B8" t="inlineStr">
        <is>
          <t>Extranjero</t>
        </is>
      </c>
      <c r="C8" t="inlineStr">
        <is>
          <t>Extranjero</t>
        </is>
      </c>
      <c r="D8" t="inlineStr">
        <is>
          <t>Extranjero</t>
        </is>
      </c>
      <c r="E8" t="inlineStr">
        <is>
          <t>extranjero</t>
        </is>
      </c>
      <c r="F8" s="11" t="n">
        <v>797987.6468</v>
      </c>
    </row>
    <row r="9">
      <c r="A9" t="inlineStr">
        <is>
          <t>Credicorp</t>
        </is>
      </c>
      <c r="B9" t="inlineStr">
        <is>
          <t>Tacna</t>
        </is>
      </c>
      <c r="C9" t="inlineStr">
        <is>
          <t>Tacna</t>
        </is>
      </c>
      <c r="D9" t="inlineStr">
        <is>
          <t>Coronel Gregorio Albarracín L</t>
        </is>
      </c>
      <c r="E9" t="inlineStr">
        <is>
          <t>no_encontrado</t>
        </is>
      </c>
      <c r="F9" s="11" t="n">
        <v>70776.897</v>
      </c>
    </row>
    <row r="10">
      <c r="A10" t="inlineStr">
        <is>
          <t>Hunt Oil</t>
        </is>
      </c>
      <c r="B10" t="inlineStr">
        <is>
          <t>Cusco</t>
        </is>
      </c>
      <c r="C10" t="inlineStr">
        <is>
          <t>La Convencion</t>
        </is>
      </c>
      <c r="D10" t="inlineStr">
        <is>
          <t>Megantoni</t>
        </is>
      </c>
      <c r="E10" t="inlineStr">
        <is>
          <t>no_encontrado</t>
        </is>
      </c>
      <c r="F10" s="11" t="n">
        <v>0.6</v>
      </c>
    </row>
    <row r="11">
      <c r="A11" t="inlineStr">
        <is>
          <t>Intercorp Perú</t>
        </is>
      </c>
      <c r="B11" t="inlineStr">
        <is>
          <t>Arequipa</t>
        </is>
      </c>
      <c r="C11" t="inlineStr">
        <is>
          <t>Arequipa</t>
        </is>
      </c>
      <c r="D11" t="inlineStr">
        <is>
          <t>Bustamante y Rivero</t>
        </is>
      </c>
      <c r="E11" t="inlineStr">
        <is>
          <t>no_encontrado</t>
        </is>
      </c>
      <c r="F11" s="11" t="n">
        <v>0.0083</v>
      </c>
    </row>
    <row r="12">
      <c r="A12" t="inlineStr">
        <is>
          <t>Intercorp Perú</t>
        </is>
      </c>
      <c r="B12" t="inlineStr">
        <is>
          <t>Lima</t>
        </is>
      </c>
      <c r="C12" t="inlineStr">
        <is>
          <t>Callao</t>
        </is>
      </c>
      <c r="D12" t="inlineStr">
        <is>
          <t>Bellavista</t>
        </is>
      </c>
      <c r="E12" t="inlineStr">
        <is>
          <t>no_encontrado</t>
        </is>
      </c>
      <c r="F12" s="11" t="n">
        <v>0.0083</v>
      </c>
    </row>
    <row r="13">
      <c r="A13" t="inlineStr">
        <is>
          <t>Intercorp Perú</t>
        </is>
      </c>
      <c r="B13" t="inlineStr">
        <is>
          <t>Lima</t>
        </is>
      </c>
      <c r="C13" t="inlineStr">
        <is>
          <t>Callao</t>
        </is>
      </c>
      <c r="D13" t="inlineStr">
        <is>
          <t>Callao</t>
        </is>
      </c>
      <c r="E13" t="inlineStr">
        <is>
          <t>no_encontrado</t>
        </is>
      </c>
      <c r="F13" s="11" t="n">
        <v>0.0083</v>
      </c>
    </row>
    <row r="14">
      <c r="A14" t="inlineStr">
        <is>
          <t>Intercorp Perú</t>
        </is>
      </c>
      <c r="B14" t="inlineStr">
        <is>
          <t>Lima</t>
        </is>
      </c>
      <c r="C14" t="inlineStr">
        <is>
          <t>Cañete</t>
        </is>
      </c>
      <c r="D14" t="inlineStr">
        <is>
          <t>San Vicente</t>
        </is>
      </c>
      <c r="E14" t="inlineStr">
        <is>
          <t>no_encontrado</t>
        </is>
      </c>
      <c r="F14" s="11" t="n">
        <v>0.0083</v>
      </c>
    </row>
    <row r="15">
      <c r="A15" t="inlineStr">
        <is>
          <t>Intercorp Perú</t>
        </is>
      </c>
      <c r="B15" t="inlineStr">
        <is>
          <t>Lima</t>
        </is>
      </c>
      <c r="C15" t="inlineStr">
        <is>
          <t>Lima</t>
        </is>
      </c>
      <c r="D15" t="inlineStr">
        <is>
          <t>Angamos</t>
        </is>
      </c>
      <c r="E15" t="inlineStr">
        <is>
          <t>no_encontrado</t>
        </is>
      </c>
      <c r="F15" s="11" t="n">
        <v>0.0083</v>
      </c>
    </row>
    <row r="16">
      <c r="A16" t="inlineStr">
        <is>
          <t>Intercorp Perú</t>
        </is>
      </c>
      <c r="B16" t="inlineStr">
        <is>
          <t>Lima</t>
        </is>
      </c>
      <c r="C16" t="inlineStr">
        <is>
          <t>Lima</t>
        </is>
      </c>
      <c r="D16" t="inlineStr">
        <is>
          <t>Atocongo</t>
        </is>
      </c>
      <c r="E16" t="inlineStr">
        <is>
          <t>no_encontrado</t>
        </is>
      </c>
      <c r="F16" s="11" t="n">
        <v>0.0083</v>
      </c>
    </row>
    <row r="17">
      <c r="A17" t="inlineStr">
        <is>
          <t>Intercorp Perú</t>
        </is>
      </c>
      <c r="B17" t="inlineStr">
        <is>
          <t>Lima</t>
        </is>
      </c>
      <c r="C17" t="inlineStr">
        <is>
          <t>Lima</t>
        </is>
      </c>
      <c r="D17" t="inlineStr">
        <is>
          <t>Canta Callao</t>
        </is>
      </c>
      <c r="E17" t="inlineStr">
        <is>
          <t>no_encontrado</t>
        </is>
      </c>
      <c r="F17" s="11" t="n">
        <v>0.0083</v>
      </c>
    </row>
    <row r="18">
      <c r="A18" t="inlineStr">
        <is>
          <t>Intercorp Perú</t>
        </is>
      </c>
      <c r="B18" t="inlineStr">
        <is>
          <t>Lima</t>
        </is>
      </c>
      <c r="C18" t="inlineStr">
        <is>
          <t>Lima</t>
        </is>
      </c>
      <c r="D18" t="inlineStr">
        <is>
          <t>Huancayo</t>
        </is>
      </c>
      <c r="E18" t="inlineStr">
        <is>
          <t>no_encontrado</t>
        </is>
      </c>
      <c r="F18" s="11" t="n">
        <v>0.0083</v>
      </c>
    </row>
    <row r="19">
      <c r="A19" t="inlineStr">
        <is>
          <t>Intercorp Perú</t>
        </is>
      </c>
      <c r="B19" t="inlineStr">
        <is>
          <t>Lima</t>
        </is>
      </c>
      <c r="C19" t="inlineStr">
        <is>
          <t>Lima</t>
        </is>
      </c>
      <c r="D19" t="inlineStr">
        <is>
          <t>La Marina</t>
        </is>
      </c>
      <c r="E19" t="inlineStr">
        <is>
          <t>no_encontrado</t>
        </is>
      </c>
      <c r="F19" s="11" t="n">
        <v>0.0083</v>
      </c>
    </row>
    <row r="20">
      <c r="A20" t="inlineStr">
        <is>
          <t>Intercorp Perú</t>
        </is>
      </c>
      <c r="B20" t="inlineStr">
        <is>
          <t>Lima</t>
        </is>
      </c>
      <c r="C20" t="inlineStr">
        <is>
          <t>Lima</t>
        </is>
      </c>
      <c r="D20" t="inlineStr">
        <is>
          <t>Monterrico</t>
        </is>
      </c>
      <c r="E20" t="inlineStr">
        <is>
          <t>no_encontrado</t>
        </is>
      </c>
      <c r="F20" s="11" t="n">
        <v>0.0083</v>
      </c>
    </row>
    <row r="21">
      <c r="A21" t="inlineStr">
        <is>
          <t>Intercorp Perú</t>
        </is>
      </c>
      <c r="B21" t="inlineStr">
        <is>
          <t>Piura</t>
        </is>
      </c>
      <c r="C21" t="inlineStr">
        <is>
          <t>Piura</t>
        </is>
      </c>
      <c r="D21" t="inlineStr">
        <is>
          <t>26 de Octubre</t>
        </is>
      </c>
      <c r="E21" t="inlineStr">
        <is>
          <t>no_encontrado</t>
        </is>
      </c>
      <c r="F21" s="11" t="n">
        <v>0.0083</v>
      </c>
    </row>
    <row r="22">
      <c r="A22" t="inlineStr">
        <is>
          <t>Intercorp Perú</t>
        </is>
      </c>
      <c r="B22" t="inlineStr">
        <is>
          <t>Ucayali</t>
        </is>
      </c>
      <c r="C22" t="inlineStr">
        <is>
          <t>Pucallpa</t>
        </is>
      </c>
      <c r="D22" t="inlineStr">
        <is>
          <t>Pucallpa</t>
        </is>
      </c>
      <c r="E22" t="inlineStr">
        <is>
          <t>no_encontrado</t>
        </is>
      </c>
      <c r="F22" s="11" t="n">
        <v>0.0083</v>
      </c>
    </row>
    <row r="23">
      <c r="A23" t="inlineStr">
        <is>
          <t>MiBanco</t>
        </is>
      </c>
      <c r="B23" t="inlineStr">
        <is>
          <t>Tacna</t>
        </is>
      </c>
      <c r="C23" t="inlineStr">
        <is>
          <t>Tacna</t>
        </is>
      </c>
      <c r="D23" t="inlineStr">
        <is>
          <t>Coronel Gregorio Albarracín L</t>
        </is>
      </c>
      <c r="E23" t="inlineStr">
        <is>
          <t>no_encontrado</t>
        </is>
      </c>
      <c r="F23" s="11" t="n">
        <v>70776.897</v>
      </c>
    </row>
    <row r="24">
      <c r="A24" t="inlineStr">
        <is>
          <t>Primax</t>
        </is>
      </c>
      <c r="B24" t="inlineStr">
        <is>
          <t>Ica</t>
        </is>
      </c>
      <c r="C24" t="inlineStr">
        <is>
          <t>Nasca</t>
        </is>
      </c>
      <c r="D24" t="inlineStr">
        <is>
          <t>Nasca</t>
        </is>
      </c>
      <c r="E24" t="inlineStr">
        <is>
          <t>no_encontrado</t>
        </is>
      </c>
      <c r="F24" s="11" t="n">
        <v>0.0092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2026-07-02T20:27:57Z</dcterms:created>
  <dcterms:modified xmlns:dcterms="http://purl.org/dc/terms/" xmlns:xsi="http://www.w3.org/2001/XMLSchema-instance" xsi:type="dcterms:W3CDTF">2026-07-02T20:27:58Z</dcterms:modified>
</cp:coreProperties>
</file>